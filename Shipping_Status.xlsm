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Backup\Proc_Reports\Reports\"/>
    </mc:Choice>
  </mc:AlternateContent>
  <xr:revisionPtr revIDLastSave="0" documentId="13_ncr:1_{298FC8A4-09D1-4F7F-BA51-449C062508D5}" xr6:coauthVersionLast="28" xr6:coauthVersionMax="28" xr10:uidLastSave="{00000000-0000-0000-0000-000000000000}"/>
  <bookViews>
    <workbookView xWindow="0" yWindow="0" windowWidth="20490" windowHeight="7230" activeTab="3" xr2:uid="{00000000-000D-0000-FFFF-FFFF00000000}"/>
  </bookViews>
  <sheets>
    <sheet name="Data" sheetId="3" r:id="rId1"/>
    <sheet name="DashBoard" sheetId="2" r:id="rId2"/>
    <sheet name="Sheet3" sheetId="4" r:id="rId3"/>
    <sheet name="Control" sheetId="5" r:id="rId4"/>
  </sheets>
  <definedNames>
    <definedName name="_xlnm._FilterDatabase" localSheetId="0" hidden="1">Data!$A$1:$AE$46710</definedName>
    <definedName name="_xlnm._FilterDatabase" localSheetId="2" hidden="1">Sheet3!$G$1:$G$7</definedName>
  </definedNames>
  <calcPr calcId="171027" calcMode="manual"/>
</workbook>
</file>

<file path=xl/calcChain.xml><?xml version="1.0" encoding="utf-8"?>
<calcChain xmlns="http://schemas.openxmlformats.org/spreadsheetml/2006/main">
  <c r="I4" i="2" l="1"/>
  <c r="O4" i="2" s="1"/>
  <c r="A1" i="2"/>
  <c r="M4" i="2" l="1"/>
  <c r="N4" i="2"/>
  <c r="K4" i="2"/>
  <c r="L4" i="2" s="1"/>
  <c r="C1" i="2"/>
  <c r="C7" i="2" s="1"/>
  <c r="B1" i="2"/>
  <c r="B7" i="2" s="1"/>
  <c r="I5" i="2"/>
  <c r="B3" i="2"/>
  <c r="C3" i="2"/>
  <c r="J4" i="2"/>
  <c r="N5" i="2" l="1"/>
  <c r="O5" i="2"/>
  <c r="K5" i="2"/>
  <c r="L5" i="2" s="1"/>
  <c r="M5" i="2" s="1"/>
  <c r="I6" i="2"/>
  <c r="O6" i="2" s="1"/>
  <c r="C5" i="2"/>
  <c r="C9" i="2" s="1"/>
  <c r="C10" i="2" s="1"/>
  <c r="C11" i="2" s="1"/>
  <c r="C12" i="2" s="1"/>
  <c r="C4" i="2"/>
  <c r="C6" i="2"/>
  <c r="J5" i="2"/>
  <c r="B5" i="2"/>
  <c r="B9" i="2" s="1"/>
  <c r="B10" i="2" s="1"/>
  <c r="B11" i="2" s="1"/>
  <c r="B12" i="2" s="1"/>
  <c r="B4" i="2"/>
  <c r="B6" i="2"/>
  <c r="J6" i="2"/>
  <c r="I7" i="2"/>
  <c r="L7" i="2" l="1"/>
  <c r="M7" i="2" s="1"/>
  <c r="N7" i="2" s="1"/>
  <c r="O7" i="2" s="1"/>
  <c r="K7" i="2"/>
  <c r="K6" i="2"/>
  <c r="L6" i="2" s="1"/>
  <c r="M6" i="2" s="1"/>
  <c r="N6" i="2" s="1"/>
  <c r="C8" i="2"/>
  <c r="C13" i="2" s="1"/>
  <c r="B8" i="2"/>
  <c r="B13" i="2" s="1"/>
  <c r="J7" i="2"/>
  <c r="I8" i="2"/>
  <c r="K8" i="2" l="1"/>
  <c r="L8" i="2" s="1"/>
  <c r="M8" i="2" s="1"/>
  <c r="N8" i="2" s="1"/>
  <c r="O8" i="2" s="1"/>
  <c r="I9" i="2"/>
  <c r="J8" i="2"/>
  <c r="K9" i="2" l="1"/>
  <c r="L9" i="2" s="1"/>
  <c r="M9" i="2" s="1"/>
  <c r="N9" i="2" s="1"/>
  <c r="O9" i="2" s="1"/>
  <c r="I10" i="2"/>
  <c r="J9" i="2"/>
  <c r="K10" i="2" l="1"/>
  <c r="L10" i="2" s="1"/>
  <c r="M10" i="2" s="1"/>
  <c r="N10" i="2" s="1"/>
  <c r="O10" i="2" s="1"/>
  <c r="I11" i="2"/>
  <c r="J10" i="2"/>
  <c r="K11" i="2" l="1"/>
  <c r="I12" i="2"/>
  <c r="J11" i="2"/>
  <c r="L11" i="2" l="1"/>
  <c r="K12" i="2"/>
  <c r="L12" i="2" s="1"/>
  <c r="M12" i="2" s="1"/>
  <c r="N12" i="2" s="1"/>
  <c r="O12" i="2" s="1"/>
  <c r="I13" i="2"/>
  <c r="J12" i="2"/>
  <c r="M11" i="2" l="1"/>
  <c r="K13" i="2"/>
  <c r="I14" i="2"/>
  <c r="J13" i="2"/>
  <c r="N11" i="2" l="1"/>
  <c r="O11" i="2" s="1"/>
  <c r="L13" i="2"/>
  <c r="M13" i="2" s="1"/>
  <c r="I15" i="2"/>
  <c r="K14" i="2"/>
  <c r="L14" i="2" s="1"/>
  <c r="M14" i="2" s="1"/>
  <c r="N14" i="2" s="1"/>
  <c r="O14" i="2" s="1"/>
  <c r="J14" i="2"/>
  <c r="N13" i="2" l="1"/>
  <c r="O13" i="2" s="1"/>
  <c r="K15" i="2"/>
  <c r="L15" i="2" s="1"/>
  <c r="M15" i="2" s="1"/>
  <c r="N15" i="2" s="1"/>
  <c r="O15" i="2" s="1"/>
  <c r="J15" i="2"/>
  <c r="I16" i="2"/>
  <c r="J16" i="2" l="1"/>
  <c r="I17" i="2"/>
  <c r="K16" i="2"/>
  <c r="L16" i="2" s="1"/>
  <c r="M16" i="2" s="1"/>
  <c r="N16" i="2" s="1"/>
  <c r="O16" i="2" s="1"/>
  <c r="J17" i="2" l="1"/>
  <c r="I18" i="2"/>
  <c r="K17" i="2"/>
  <c r="L17" i="2" s="1"/>
  <c r="M17" i="2" s="1"/>
  <c r="N17" i="2" s="1"/>
  <c r="O17" i="2" s="1"/>
  <c r="K18" i="2" l="1"/>
  <c r="L18" i="2" s="1"/>
  <c r="M18" i="2" s="1"/>
  <c r="N18" i="2" s="1"/>
  <c r="O18" i="2" s="1"/>
  <c r="J18" i="2"/>
</calcChain>
</file>

<file path=xl/sharedStrings.xml><?xml version="1.0" encoding="utf-8"?>
<sst xmlns="http://schemas.openxmlformats.org/spreadsheetml/2006/main" count="35" uniqueCount="30">
  <si>
    <t>Orders Confirmed</t>
  </si>
  <si>
    <t>Shipped</t>
  </si>
  <si>
    <t>Shipped_GMV</t>
  </si>
  <si>
    <t>% within 24 hours</t>
  </si>
  <si>
    <t>% within 48 hours</t>
  </si>
  <si>
    <t>% within 72 Hours</t>
  </si>
  <si>
    <t>% within 5 days</t>
  </si>
  <si>
    <t>24 Hours</t>
  </si>
  <si>
    <t>48 Hours</t>
  </si>
  <si>
    <t>Over 5 Days</t>
  </si>
  <si>
    <t>% After 5 days</t>
  </si>
  <si>
    <t>Same Day</t>
  </si>
  <si>
    <t>Same Day +3</t>
  </si>
  <si>
    <t>Same Days Reference</t>
  </si>
  <si>
    <t>Same Day +1</t>
  </si>
  <si>
    <t>Same Day +2</t>
  </si>
  <si>
    <t>Less Than 72 Hours</t>
  </si>
  <si>
    <t>Less Than 5 Days</t>
  </si>
  <si>
    <t>Confirmed_GMV (in millions)</t>
  </si>
  <si>
    <t># Orders</t>
  </si>
  <si>
    <t>Day</t>
  </si>
  <si>
    <t>% Fulfillment</t>
  </si>
  <si>
    <t>3 Day +</t>
  </si>
  <si>
    <t>Query</t>
  </si>
  <si>
    <t>Legends\Month</t>
  </si>
  <si>
    <t>To</t>
  </si>
  <si>
    <t>Cc</t>
  </si>
  <si>
    <t>Bcc</t>
  </si>
  <si>
    <t>Select concat(wadi_indexer.db,wadi_indexer.item_id)item_id,
order_nr,
ordered_at,
bob_item_status,
wadi_indexer.sku,
bids,
replace(replace(replace(item_name,',',''),'\r',''),'\n','')item_name,
wadi_indexer.unit_price,
wadi_indexer.paid_price,
po_number,
transfer_price,
actual_cost,
stock_type,
vendor_id,
vendor_name,
shipping_location,
HAWB_number,
cancellation_reason_code,
category_level_1,
category_level_2,
category_level_3,
category_level_4,
brand,
vendor_code,
exp_date.occured_at as exportable_at,
ship_date.occured_at as shipped_at, 
if(ship_date.occured_at is null,0,1)is_shipped,
date(exp_date.occured_at )Exported_date,
month(exp_date.occured_at)month,
CASE 
 When timestampdiff(hour,exp_date.occured_at,ship_date.occured_at)/24 &lt;=1 then '24_Hours'
 When timestampdiff(hour,exp_date.occured_at,ship_date.occured_at)/24 &lt;=2 then '48_Hours'
 When timestampdiff(hour,exp_date.occured_at,ship_date.occured_at)/24 &lt;=3 then 'Less_Than_72_Hours'
 When timestampdiff(hour,exp_date.occured_at,ship_date.occured_at)/24 &lt;=5 then 'Less_Than_5_Days'
 When timestampdiff(hour,exp_date.occured_at,ship_date.occured_at)/24 &gt;5 then 'Over_5_Days'
END as period,
CASE 
 When date(ship_date.occured_at) = date(exp_date.occured_at) then 'Same Day'
 When date(ship_date.occured_at) = date(exp_date.occured_at) + interval 1 day then 'Same Day +1'
 When date(ship_date.occured_at) = date(exp_date.occured_at) + interval 2 day then 'Same Day +2'
 When date(ship_date.occured_at) = date(exp_date.occured_at) + interval 3 day then 'Same Day +3'
 When date(ship_date.occured_at) &gt;= date(exp_date.occured_at) + interval 4 day then '3 Day +'
END as day_configure
from wadi_indexer 
left join
 (select db,item_id,min(occured_at +interval 4 hour)occured_at 
 from status_cache 
 where status = 'exportable' 
  and date(occured_at + interval 4 hour) &gt;= date_format((curdate() - interval 1 month),"%Y-%m-01") group by 1,2)exp_date
  on exp_date.db = wadi_indexer.db and exp_date.item_id = wadi_indexer.item_id
left join
 (select db,item_id,min(occured_at +interval 4 hour)occured_at 
 from status_cache 
 where status = 'shipped' 
  and date(occured_at + interval 4 hour) &gt;= date_format((curdate() - interval 1 month),"%Y-%m-01") group by 1,2)ship_date
  on ship_date.db = wadi_indexer.db and ship_date.item_id = wadi_indexer.item_id
where vendor_code &gt; 999 and exp_date.occured_at is not null;</t>
  </si>
  <si>
    <t>Targets(CM)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</si>
</sst>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dd\ mmm\'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26">
    <xf numFmtId="0" fontId="0" fillId="0" borderId="0" xfId="0"/>
    <xf numFmtId="9" fontId="0" fillId="0" borderId="0" xfId="0" applyNumberFormat="1"/>
    <xf numFmtId="14" fontId="0" fillId="0" borderId="0" xfId="0" applyNumberFormat="1"/>
    <xf numFmtId="0" fontId="17" fillId="0" borderId="0" xfId="0" applyFont="1"/>
    <xf numFmtId="0" fontId="0" fillId="0" borderId="10" xfId="0" applyNumberFormat="1" applyBorder="1" applyAlignment="1">
      <alignment horizontal="center"/>
    </xf>
    <xf numFmtId="0" fontId="16" fillId="33" borderId="11" xfId="0" applyFont="1" applyFill="1" applyBorder="1" applyAlignment="1">
      <alignment horizontal="center"/>
    </xf>
    <xf numFmtId="0" fontId="16" fillId="33" borderId="12" xfId="0" applyFont="1" applyFill="1" applyBorder="1" applyAlignment="1">
      <alignment horizontal="center"/>
    </xf>
    <xf numFmtId="0" fontId="16" fillId="33" borderId="13" xfId="0" applyFont="1" applyFill="1" applyBorder="1" applyAlignment="1">
      <alignment horizontal="center"/>
    </xf>
    <xf numFmtId="0" fontId="0" fillId="0" borderId="17" xfId="0" applyNumberFormat="1" applyBorder="1" applyAlignment="1">
      <alignment horizontal="center"/>
    </xf>
    <xf numFmtId="166" fontId="16" fillId="34" borderId="14" xfId="0" applyNumberFormat="1" applyFont="1" applyFill="1" applyBorder="1" applyAlignment="1">
      <alignment horizontal="center"/>
    </xf>
    <xf numFmtId="166" fontId="16" fillId="34" borderId="16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10" xfId="1" applyNumberFormat="1" applyFon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6" fontId="16" fillId="34" borderId="14" xfId="0" applyNumberFormat="1" applyFont="1" applyFill="1" applyBorder="1" applyAlignment="1"/>
    <xf numFmtId="166" fontId="16" fillId="34" borderId="16" xfId="0" applyNumberFormat="1" applyFont="1" applyFill="1" applyBorder="1" applyAlignment="1"/>
    <xf numFmtId="2" fontId="0" fillId="0" borderId="0" xfId="0" applyNumberFormat="1"/>
    <xf numFmtId="1" fontId="0" fillId="0" borderId="0" xfId="0" applyNumberFormat="1"/>
    <xf numFmtId="0" fontId="0" fillId="0" borderId="0" xfId="0" applyAlignment="1"/>
    <xf numFmtId="0" fontId="18" fillId="0" borderId="0" xfId="43"/>
    <xf numFmtId="165" fontId="0" fillId="0" borderId="0" xfId="1" applyNumberFormat="1" applyFont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D1:AD46710"/>
  <sheetViews>
    <sheetView workbookViewId="0">
      <selection activeCell="A3" sqref="A3"/>
    </sheetView>
  </sheetViews>
  <sheetFormatPr defaultRowHeight="15" x14ac:dyDescent="0.25"/>
  <cols>
    <col min="25" max="26" width="15.85546875" bestFit="1" customWidth="1"/>
    <col min="28" max="28" width="14.140625" bestFit="1" customWidth="1"/>
    <col min="30" max="30" width="14.85546875" style="21" bestFit="1" customWidth="1"/>
  </cols>
  <sheetData>
    <row r="1" spans="30:30" x14ac:dyDescent="0.25">
      <c r="AD1"/>
    </row>
    <row r="2" spans="30:30" x14ac:dyDescent="0.25">
      <c r="AD2"/>
    </row>
    <row r="3" spans="30:30" x14ac:dyDescent="0.25">
      <c r="AD3"/>
    </row>
    <row r="4" spans="30:30" x14ac:dyDescent="0.25">
      <c r="AD4"/>
    </row>
    <row r="5" spans="30:30" x14ac:dyDescent="0.25">
      <c r="AD5"/>
    </row>
    <row r="6" spans="30:30" x14ac:dyDescent="0.25">
      <c r="AD6"/>
    </row>
    <row r="7" spans="30:30" x14ac:dyDescent="0.25">
      <c r="AD7"/>
    </row>
    <row r="8" spans="30:30" x14ac:dyDescent="0.25">
      <c r="AD8"/>
    </row>
    <row r="9" spans="30:30" x14ac:dyDescent="0.25">
      <c r="AD9"/>
    </row>
    <row r="10" spans="30:30" x14ac:dyDescent="0.25">
      <c r="AD10"/>
    </row>
    <row r="11" spans="30:30" x14ac:dyDescent="0.25">
      <c r="AD11"/>
    </row>
    <row r="12" spans="30:30" x14ac:dyDescent="0.25">
      <c r="AD12"/>
    </row>
    <row r="13" spans="30:30" x14ac:dyDescent="0.25">
      <c r="AD13"/>
    </row>
    <row r="14" spans="30:30" x14ac:dyDescent="0.25">
      <c r="AD14"/>
    </row>
    <row r="15" spans="30:30" x14ac:dyDescent="0.25">
      <c r="AD15"/>
    </row>
    <row r="16" spans="30:30" x14ac:dyDescent="0.25">
      <c r="AD16"/>
    </row>
    <row r="17" spans="30:30" x14ac:dyDescent="0.25">
      <c r="AD17"/>
    </row>
    <row r="18" spans="30:30" x14ac:dyDescent="0.25">
      <c r="AD18"/>
    </row>
    <row r="19" spans="30:30" x14ac:dyDescent="0.25">
      <c r="AD19"/>
    </row>
    <row r="20" spans="30:30" x14ac:dyDescent="0.25">
      <c r="AD20"/>
    </row>
    <row r="21" spans="30:30" x14ac:dyDescent="0.25">
      <c r="AD21"/>
    </row>
    <row r="22" spans="30:30" x14ac:dyDescent="0.25">
      <c r="AD22"/>
    </row>
    <row r="23" spans="30:30" x14ac:dyDescent="0.25">
      <c r="AD23"/>
    </row>
    <row r="24" spans="30:30" x14ac:dyDescent="0.25">
      <c r="AD24"/>
    </row>
    <row r="25" spans="30:30" x14ac:dyDescent="0.25">
      <c r="AD25"/>
    </row>
    <row r="26" spans="30:30" x14ac:dyDescent="0.25">
      <c r="AD26"/>
    </row>
    <row r="27" spans="30:30" x14ac:dyDescent="0.25">
      <c r="AD27"/>
    </row>
    <row r="28" spans="30:30" x14ac:dyDescent="0.25">
      <c r="AD28"/>
    </row>
    <row r="29" spans="30:30" x14ac:dyDescent="0.25">
      <c r="AD29"/>
    </row>
    <row r="30" spans="30:30" x14ac:dyDescent="0.25">
      <c r="AD30"/>
    </row>
    <row r="31" spans="30:30" x14ac:dyDescent="0.25">
      <c r="AD31"/>
    </row>
    <row r="32" spans="30:30" x14ac:dyDescent="0.25">
      <c r="AD32"/>
    </row>
    <row r="33" spans="30:30" x14ac:dyDescent="0.25">
      <c r="AD33"/>
    </row>
    <row r="34" spans="30:30" x14ac:dyDescent="0.25">
      <c r="AD34"/>
    </row>
    <row r="35" spans="30:30" x14ac:dyDescent="0.25">
      <c r="AD35"/>
    </row>
    <row r="36" spans="30:30" x14ac:dyDescent="0.25">
      <c r="AD36"/>
    </row>
    <row r="37" spans="30:30" x14ac:dyDescent="0.25">
      <c r="AD37"/>
    </row>
    <row r="38" spans="30:30" x14ac:dyDescent="0.25">
      <c r="AD38"/>
    </row>
    <row r="39" spans="30:30" x14ac:dyDescent="0.25">
      <c r="AD39"/>
    </row>
    <row r="40" spans="30:30" x14ac:dyDescent="0.25">
      <c r="AD40"/>
    </row>
    <row r="41" spans="30:30" x14ac:dyDescent="0.25">
      <c r="AD41"/>
    </row>
    <row r="42" spans="30:30" x14ac:dyDescent="0.25">
      <c r="AD42"/>
    </row>
    <row r="43" spans="30:30" x14ac:dyDescent="0.25">
      <c r="AD43"/>
    </row>
    <row r="44" spans="30:30" x14ac:dyDescent="0.25">
      <c r="AD44"/>
    </row>
    <row r="45" spans="30:30" x14ac:dyDescent="0.25">
      <c r="AD45"/>
    </row>
    <row r="46" spans="30:30" x14ac:dyDescent="0.25">
      <c r="AD46"/>
    </row>
    <row r="47" spans="30:30" x14ac:dyDescent="0.25">
      <c r="AD47"/>
    </row>
    <row r="48" spans="30:30" x14ac:dyDescent="0.25">
      <c r="AD48"/>
    </row>
    <row r="49" spans="30:30" x14ac:dyDescent="0.25">
      <c r="AD49"/>
    </row>
    <row r="50" spans="30:30" x14ac:dyDescent="0.25">
      <c r="AD50"/>
    </row>
    <row r="51" spans="30:30" x14ac:dyDescent="0.25">
      <c r="AD51"/>
    </row>
    <row r="52" spans="30:30" x14ac:dyDescent="0.25">
      <c r="AD52"/>
    </row>
    <row r="53" spans="30:30" x14ac:dyDescent="0.25">
      <c r="AD53"/>
    </row>
    <row r="54" spans="30:30" x14ac:dyDescent="0.25">
      <c r="AD54"/>
    </row>
    <row r="55" spans="30:30" x14ac:dyDescent="0.25">
      <c r="AD55"/>
    </row>
    <row r="56" spans="30:30" x14ac:dyDescent="0.25">
      <c r="AD56"/>
    </row>
    <row r="57" spans="30:30" x14ac:dyDescent="0.25">
      <c r="AD57"/>
    </row>
    <row r="58" spans="30:30" x14ac:dyDescent="0.25">
      <c r="AD58"/>
    </row>
    <row r="59" spans="30:30" x14ac:dyDescent="0.25">
      <c r="AD59"/>
    </row>
    <row r="60" spans="30:30" x14ac:dyDescent="0.25">
      <c r="AD60"/>
    </row>
    <row r="61" spans="30:30" x14ac:dyDescent="0.25">
      <c r="AD61"/>
    </row>
    <row r="62" spans="30:30" x14ac:dyDescent="0.25">
      <c r="AD62"/>
    </row>
    <row r="63" spans="30:30" x14ac:dyDescent="0.25">
      <c r="AD63"/>
    </row>
    <row r="64" spans="30:30" x14ac:dyDescent="0.25">
      <c r="AD64"/>
    </row>
    <row r="65" spans="30:30" x14ac:dyDescent="0.25">
      <c r="AD65"/>
    </row>
    <row r="66" spans="30:30" x14ac:dyDescent="0.25">
      <c r="AD66"/>
    </row>
    <row r="67" spans="30:30" x14ac:dyDescent="0.25">
      <c r="AD67"/>
    </row>
    <row r="68" spans="30:30" x14ac:dyDescent="0.25">
      <c r="AD68"/>
    </row>
    <row r="69" spans="30:30" x14ac:dyDescent="0.25">
      <c r="AD69"/>
    </row>
    <row r="70" spans="30:30" x14ac:dyDescent="0.25">
      <c r="AD70"/>
    </row>
    <row r="71" spans="30:30" x14ac:dyDescent="0.25">
      <c r="AD71"/>
    </row>
    <row r="72" spans="30:30" x14ac:dyDescent="0.25">
      <c r="AD72"/>
    </row>
    <row r="73" spans="30:30" x14ac:dyDescent="0.25">
      <c r="AD73"/>
    </row>
    <row r="74" spans="30:30" x14ac:dyDescent="0.25">
      <c r="AD74"/>
    </row>
    <row r="75" spans="30:30" x14ac:dyDescent="0.25">
      <c r="AD75"/>
    </row>
    <row r="76" spans="30:30" x14ac:dyDescent="0.25">
      <c r="AD76"/>
    </row>
    <row r="77" spans="30:30" x14ac:dyDescent="0.25">
      <c r="AD77"/>
    </row>
    <row r="78" spans="30:30" x14ac:dyDescent="0.25">
      <c r="AD78"/>
    </row>
    <row r="79" spans="30:30" x14ac:dyDescent="0.25">
      <c r="AD79"/>
    </row>
    <row r="80" spans="30:30" x14ac:dyDescent="0.25">
      <c r="AD80"/>
    </row>
    <row r="81" spans="30:30" x14ac:dyDescent="0.25">
      <c r="AD81"/>
    </row>
    <row r="82" spans="30:30" x14ac:dyDescent="0.25">
      <c r="AD82"/>
    </row>
    <row r="83" spans="30:30" x14ac:dyDescent="0.25">
      <c r="AD83"/>
    </row>
    <row r="84" spans="30:30" x14ac:dyDescent="0.25">
      <c r="AD84"/>
    </row>
    <row r="85" spans="30:30" x14ac:dyDescent="0.25">
      <c r="AD85"/>
    </row>
    <row r="86" spans="30:30" x14ac:dyDescent="0.25">
      <c r="AD86"/>
    </row>
    <row r="87" spans="30:30" x14ac:dyDescent="0.25">
      <c r="AD87"/>
    </row>
    <row r="88" spans="30:30" x14ac:dyDescent="0.25">
      <c r="AD88"/>
    </row>
    <row r="89" spans="30:30" x14ac:dyDescent="0.25">
      <c r="AD89"/>
    </row>
    <row r="90" spans="30:30" x14ac:dyDescent="0.25">
      <c r="AD90"/>
    </row>
    <row r="91" spans="30:30" x14ac:dyDescent="0.25">
      <c r="AD91"/>
    </row>
    <row r="92" spans="30:30" x14ac:dyDescent="0.25">
      <c r="AD92"/>
    </row>
    <row r="93" spans="30:30" x14ac:dyDescent="0.25">
      <c r="AD93"/>
    </row>
    <row r="94" spans="30:30" x14ac:dyDescent="0.25">
      <c r="AD94"/>
    </row>
    <row r="95" spans="30:30" x14ac:dyDescent="0.25">
      <c r="AD95"/>
    </row>
    <row r="96" spans="30:30" x14ac:dyDescent="0.25">
      <c r="AD96"/>
    </row>
    <row r="97" spans="30:30" x14ac:dyDescent="0.25">
      <c r="AD97"/>
    </row>
    <row r="98" spans="30:30" x14ac:dyDescent="0.25">
      <c r="AD98"/>
    </row>
    <row r="99" spans="30:30" x14ac:dyDescent="0.25">
      <c r="AD99"/>
    </row>
    <row r="100" spans="30:30" x14ac:dyDescent="0.25">
      <c r="AD100"/>
    </row>
    <row r="101" spans="30:30" x14ac:dyDescent="0.25">
      <c r="AD101"/>
    </row>
    <row r="102" spans="30:30" x14ac:dyDescent="0.25">
      <c r="AD102"/>
    </row>
    <row r="103" spans="30:30" x14ac:dyDescent="0.25">
      <c r="AD103"/>
    </row>
    <row r="104" spans="30:30" x14ac:dyDescent="0.25">
      <c r="AD104"/>
    </row>
    <row r="105" spans="30:30" x14ac:dyDescent="0.25">
      <c r="AD105"/>
    </row>
    <row r="106" spans="30:30" x14ac:dyDescent="0.25">
      <c r="AD106"/>
    </row>
    <row r="107" spans="30:30" x14ac:dyDescent="0.25">
      <c r="AD107"/>
    </row>
    <row r="108" spans="30:30" x14ac:dyDescent="0.25">
      <c r="AD108"/>
    </row>
    <row r="109" spans="30:30" x14ac:dyDescent="0.25">
      <c r="AD109"/>
    </row>
    <row r="110" spans="30:30" x14ac:dyDescent="0.25">
      <c r="AD110"/>
    </row>
    <row r="111" spans="30:30" x14ac:dyDescent="0.25">
      <c r="AD111"/>
    </row>
    <row r="112" spans="30:30" x14ac:dyDescent="0.25">
      <c r="AD112"/>
    </row>
    <row r="113" spans="30:30" x14ac:dyDescent="0.25">
      <c r="AD113"/>
    </row>
    <row r="114" spans="30:30" x14ac:dyDescent="0.25">
      <c r="AD114"/>
    </row>
    <row r="115" spans="30:30" x14ac:dyDescent="0.25">
      <c r="AD115"/>
    </row>
    <row r="116" spans="30:30" x14ac:dyDescent="0.25">
      <c r="AD116"/>
    </row>
    <row r="117" spans="30:30" x14ac:dyDescent="0.25">
      <c r="AD117"/>
    </row>
    <row r="118" spans="30:30" x14ac:dyDescent="0.25">
      <c r="AD118"/>
    </row>
    <row r="119" spans="30:30" x14ac:dyDescent="0.25">
      <c r="AD119"/>
    </row>
    <row r="120" spans="30:30" x14ac:dyDescent="0.25">
      <c r="AD120"/>
    </row>
    <row r="121" spans="30:30" x14ac:dyDescent="0.25">
      <c r="AD121"/>
    </row>
    <row r="122" spans="30:30" x14ac:dyDescent="0.25">
      <c r="AD122"/>
    </row>
    <row r="123" spans="30:30" x14ac:dyDescent="0.25">
      <c r="AD123"/>
    </row>
    <row r="124" spans="30:30" x14ac:dyDescent="0.25">
      <c r="AD124"/>
    </row>
    <row r="125" spans="30:30" x14ac:dyDescent="0.25">
      <c r="AD125"/>
    </row>
    <row r="126" spans="30:30" x14ac:dyDescent="0.25">
      <c r="AD126"/>
    </row>
    <row r="127" spans="30:30" x14ac:dyDescent="0.25">
      <c r="AD127"/>
    </row>
    <row r="128" spans="30:30" x14ac:dyDescent="0.25">
      <c r="AD128"/>
    </row>
    <row r="129" spans="30:30" x14ac:dyDescent="0.25">
      <c r="AD129"/>
    </row>
    <row r="130" spans="30:30" x14ac:dyDescent="0.25">
      <c r="AD130"/>
    </row>
    <row r="131" spans="30:30" x14ac:dyDescent="0.25">
      <c r="AD131"/>
    </row>
    <row r="132" spans="30:30" x14ac:dyDescent="0.25">
      <c r="AD132"/>
    </row>
    <row r="133" spans="30:30" x14ac:dyDescent="0.25">
      <c r="AD133"/>
    </row>
    <row r="134" spans="30:30" x14ac:dyDescent="0.25">
      <c r="AD134"/>
    </row>
    <row r="135" spans="30:30" x14ac:dyDescent="0.25">
      <c r="AD135"/>
    </row>
    <row r="136" spans="30:30" x14ac:dyDescent="0.25">
      <c r="AD136"/>
    </row>
    <row r="137" spans="30:30" x14ac:dyDescent="0.25">
      <c r="AD137"/>
    </row>
    <row r="138" spans="30:30" x14ac:dyDescent="0.25">
      <c r="AD138"/>
    </row>
    <row r="139" spans="30:30" x14ac:dyDescent="0.25">
      <c r="AD139"/>
    </row>
    <row r="140" spans="30:30" x14ac:dyDescent="0.25">
      <c r="AD140"/>
    </row>
    <row r="141" spans="30:30" x14ac:dyDescent="0.25">
      <c r="AD141"/>
    </row>
    <row r="142" spans="30:30" x14ac:dyDescent="0.25">
      <c r="AD142"/>
    </row>
    <row r="143" spans="30:30" x14ac:dyDescent="0.25">
      <c r="AD143"/>
    </row>
    <row r="144" spans="30:30" x14ac:dyDescent="0.25">
      <c r="AD144"/>
    </row>
    <row r="145" spans="30:30" x14ac:dyDescent="0.25">
      <c r="AD145"/>
    </row>
    <row r="146" spans="30:30" x14ac:dyDescent="0.25">
      <c r="AD146"/>
    </row>
    <row r="147" spans="30:30" x14ac:dyDescent="0.25">
      <c r="AD147"/>
    </row>
    <row r="148" spans="30:30" x14ac:dyDescent="0.25">
      <c r="AD148"/>
    </row>
    <row r="149" spans="30:30" x14ac:dyDescent="0.25">
      <c r="AD149"/>
    </row>
    <row r="150" spans="30:30" x14ac:dyDescent="0.25">
      <c r="AD150"/>
    </row>
    <row r="151" spans="30:30" x14ac:dyDescent="0.25">
      <c r="AD151"/>
    </row>
    <row r="152" spans="30:30" x14ac:dyDescent="0.25">
      <c r="AD152"/>
    </row>
    <row r="153" spans="30:30" x14ac:dyDescent="0.25">
      <c r="AD153"/>
    </row>
    <row r="154" spans="30:30" x14ac:dyDescent="0.25">
      <c r="AD154"/>
    </row>
    <row r="155" spans="30:30" x14ac:dyDescent="0.25">
      <c r="AD155"/>
    </row>
    <row r="156" spans="30:30" x14ac:dyDescent="0.25">
      <c r="AD156"/>
    </row>
    <row r="157" spans="30:30" x14ac:dyDescent="0.25">
      <c r="AD157"/>
    </row>
    <row r="158" spans="30:30" x14ac:dyDescent="0.25">
      <c r="AD158"/>
    </row>
    <row r="159" spans="30:30" x14ac:dyDescent="0.25">
      <c r="AD159"/>
    </row>
    <row r="160" spans="30:30" x14ac:dyDescent="0.25">
      <c r="AD160"/>
    </row>
    <row r="161" spans="30:30" x14ac:dyDescent="0.25">
      <c r="AD161"/>
    </row>
    <row r="162" spans="30:30" x14ac:dyDescent="0.25">
      <c r="AD162"/>
    </row>
    <row r="163" spans="30:30" x14ac:dyDescent="0.25">
      <c r="AD163"/>
    </row>
    <row r="164" spans="30:30" x14ac:dyDescent="0.25">
      <c r="AD164"/>
    </row>
    <row r="165" spans="30:30" x14ac:dyDescent="0.25">
      <c r="AD165"/>
    </row>
    <row r="166" spans="30:30" x14ac:dyDescent="0.25">
      <c r="AD166"/>
    </row>
    <row r="167" spans="30:30" x14ac:dyDescent="0.25">
      <c r="AD167"/>
    </row>
    <row r="168" spans="30:30" x14ac:dyDescent="0.25">
      <c r="AD168"/>
    </row>
    <row r="169" spans="30:30" x14ac:dyDescent="0.25">
      <c r="AD169"/>
    </row>
    <row r="170" spans="30:30" x14ac:dyDescent="0.25">
      <c r="AD170"/>
    </row>
    <row r="171" spans="30:30" x14ac:dyDescent="0.25">
      <c r="AD171"/>
    </row>
    <row r="172" spans="30:30" x14ac:dyDescent="0.25">
      <c r="AD172"/>
    </row>
    <row r="173" spans="30:30" x14ac:dyDescent="0.25">
      <c r="AD173"/>
    </row>
    <row r="174" spans="30:30" x14ac:dyDescent="0.25">
      <c r="AD174"/>
    </row>
    <row r="175" spans="30:30" x14ac:dyDescent="0.25">
      <c r="AD175"/>
    </row>
    <row r="176" spans="30:30" x14ac:dyDescent="0.25">
      <c r="AD176"/>
    </row>
    <row r="177" spans="30:30" x14ac:dyDescent="0.25">
      <c r="AD177"/>
    </row>
    <row r="178" spans="30:30" x14ac:dyDescent="0.25">
      <c r="AD178"/>
    </row>
    <row r="179" spans="30:30" x14ac:dyDescent="0.25">
      <c r="AD179"/>
    </row>
    <row r="180" spans="30:30" x14ac:dyDescent="0.25">
      <c r="AD180"/>
    </row>
    <row r="181" spans="30:30" x14ac:dyDescent="0.25">
      <c r="AD181"/>
    </row>
    <row r="182" spans="30:30" x14ac:dyDescent="0.25">
      <c r="AD182"/>
    </row>
    <row r="183" spans="30:30" x14ac:dyDescent="0.25">
      <c r="AD183"/>
    </row>
    <row r="184" spans="30:30" x14ac:dyDescent="0.25">
      <c r="AD184"/>
    </row>
    <row r="185" spans="30:30" x14ac:dyDescent="0.25">
      <c r="AD185"/>
    </row>
    <row r="186" spans="30:30" x14ac:dyDescent="0.25">
      <c r="AD186"/>
    </row>
    <row r="187" spans="30:30" x14ac:dyDescent="0.25">
      <c r="AD187"/>
    </row>
    <row r="188" spans="30:30" x14ac:dyDescent="0.25">
      <c r="AD188"/>
    </row>
    <row r="189" spans="30:30" x14ac:dyDescent="0.25">
      <c r="AD189"/>
    </row>
    <row r="190" spans="30:30" x14ac:dyDescent="0.25">
      <c r="AD190"/>
    </row>
    <row r="191" spans="30:30" x14ac:dyDescent="0.25">
      <c r="AD191"/>
    </row>
    <row r="192" spans="30:30" x14ac:dyDescent="0.25">
      <c r="AD192"/>
    </row>
    <row r="193" spans="30:30" x14ac:dyDescent="0.25">
      <c r="AD193"/>
    </row>
    <row r="194" spans="30:30" x14ac:dyDescent="0.25">
      <c r="AD194"/>
    </row>
    <row r="195" spans="30:30" x14ac:dyDescent="0.25">
      <c r="AD195"/>
    </row>
    <row r="196" spans="30:30" x14ac:dyDescent="0.25">
      <c r="AD196"/>
    </row>
    <row r="197" spans="30:30" x14ac:dyDescent="0.25">
      <c r="AD197"/>
    </row>
    <row r="198" spans="30:30" x14ac:dyDescent="0.25">
      <c r="AD198"/>
    </row>
    <row r="199" spans="30:30" x14ac:dyDescent="0.25">
      <c r="AD199"/>
    </row>
    <row r="200" spans="30:30" x14ac:dyDescent="0.25">
      <c r="AD200"/>
    </row>
    <row r="201" spans="30:30" x14ac:dyDescent="0.25">
      <c r="AD201"/>
    </row>
    <row r="202" spans="30:30" x14ac:dyDescent="0.25">
      <c r="AD202"/>
    </row>
    <row r="203" spans="30:30" x14ac:dyDescent="0.25">
      <c r="AD203"/>
    </row>
    <row r="204" spans="30:30" x14ac:dyDescent="0.25">
      <c r="AD204"/>
    </row>
    <row r="205" spans="30:30" x14ac:dyDescent="0.25">
      <c r="AD205"/>
    </row>
    <row r="206" spans="30:30" x14ac:dyDescent="0.25">
      <c r="AD206"/>
    </row>
    <row r="207" spans="30:30" x14ac:dyDescent="0.25">
      <c r="AD207"/>
    </row>
    <row r="208" spans="30:30" x14ac:dyDescent="0.25">
      <c r="AD208"/>
    </row>
    <row r="209" spans="30:30" x14ac:dyDescent="0.25">
      <c r="AD209"/>
    </row>
    <row r="210" spans="30:30" x14ac:dyDescent="0.25">
      <c r="AD210"/>
    </row>
    <row r="211" spans="30:30" x14ac:dyDescent="0.25">
      <c r="AD211"/>
    </row>
    <row r="212" spans="30:30" x14ac:dyDescent="0.25">
      <c r="AD212"/>
    </row>
    <row r="213" spans="30:30" x14ac:dyDescent="0.25">
      <c r="AD213"/>
    </row>
    <row r="214" spans="30:30" x14ac:dyDescent="0.25">
      <c r="AD214"/>
    </row>
    <row r="215" spans="30:30" x14ac:dyDescent="0.25">
      <c r="AD215"/>
    </row>
    <row r="216" spans="30:30" x14ac:dyDescent="0.25">
      <c r="AD216"/>
    </row>
    <row r="217" spans="30:30" x14ac:dyDescent="0.25">
      <c r="AD217"/>
    </row>
    <row r="218" spans="30:30" x14ac:dyDescent="0.25">
      <c r="AD218"/>
    </row>
    <row r="219" spans="30:30" x14ac:dyDescent="0.25">
      <c r="AD219"/>
    </row>
    <row r="220" spans="30:30" x14ac:dyDescent="0.25">
      <c r="AD220"/>
    </row>
    <row r="221" spans="30:30" x14ac:dyDescent="0.25">
      <c r="AD221"/>
    </row>
    <row r="222" spans="30:30" x14ac:dyDescent="0.25">
      <c r="AD222"/>
    </row>
    <row r="223" spans="30:30" x14ac:dyDescent="0.25">
      <c r="AD223"/>
    </row>
    <row r="224" spans="30:30" x14ac:dyDescent="0.25">
      <c r="AD224"/>
    </row>
    <row r="225" spans="30:30" x14ac:dyDescent="0.25">
      <c r="AD225"/>
    </row>
    <row r="226" spans="30:30" x14ac:dyDescent="0.25">
      <c r="AD226"/>
    </row>
    <row r="227" spans="30:30" x14ac:dyDescent="0.25">
      <c r="AD227"/>
    </row>
    <row r="228" spans="30:30" x14ac:dyDescent="0.25">
      <c r="AD228"/>
    </row>
    <row r="229" spans="30:30" x14ac:dyDescent="0.25">
      <c r="AD229"/>
    </row>
    <row r="230" spans="30:30" x14ac:dyDescent="0.25">
      <c r="AD230"/>
    </row>
    <row r="231" spans="30:30" x14ac:dyDescent="0.25">
      <c r="AD231"/>
    </row>
    <row r="232" spans="30:30" x14ac:dyDescent="0.25">
      <c r="AD232"/>
    </row>
    <row r="233" spans="30:30" x14ac:dyDescent="0.25">
      <c r="AD233"/>
    </row>
    <row r="234" spans="30:30" x14ac:dyDescent="0.25">
      <c r="AD234"/>
    </row>
    <row r="235" spans="30:30" x14ac:dyDescent="0.25">
      <c r="AD235"/>
    </row>
    <row r="236" spans="30:30" x14ac:dyDescent="0.25">
      <c r="AD236"/>
    </row>
    <row r="237" spans="30:30" x14ac:dyDescent="0.25">
      <c r="AD237"/>
    </row>
    <row r="238" spans="30:30" x14ac:dyDescent="0.25">
      <c r="AD238"/>
    </row>
    <row r="239" spans="30:30" x14ac:dyDescent="0.25">
      <c r="AD239"/>
    </row>
    <row r="240" spans="30:30" x14ac:dyDescent="0.25">
      <c r="AD240"/>
    </row>
    <row r="241" spans="30:30" x14ac:dyDescent="0.25">
      <c r="AD241"/>
    </row>
    <row r="242" spans="30:30" x14ac:dyDescent="0.25">
      <c r="AD242"/>
    </row>
    <row r="243" spans="30:30" x14ac:dyDescent="0.25">
      <c r="AD243"/>
    </row>
    <row r="244" spans="30:30" x14ac:dyDescent="0.25">
      <c r="AD244"/>
    </row>
    <row r="245" spans="30:30" x14ac:dyDescent="0.25">
      <c r="AD245"/>
    </row>
    <row r="246" spans="30:30" x14ac:dyDescent="0.25">
      <c r="AD246"/>
    </row>
    <row r="247" spans="30:30" x14ac:dyDescent="0.25">
      <c r="AD247"/>
    </row>
    <row r="248" spans="30:30" x14ac:dyDescent="0.25">
      <c r="AD248"/>
    </row>
    <row r="249" spans="30:30" x14ac:dyDescent="0.25">
      <c r="AD249"/>
    </row>
    <row r="250" spans="30:30" x14ac:dyDescent="0.25">
      <c r="AD250"/>
    </row>
    <row r="251" spans="30:30" x14ac:dyDescent="0.25">
      <c r="AD251"/>
    </row>
    <row r="252" spans="30:30" x14ac:dyDescent="0.25">
      <c r="AD252"/>
    </row>
    <row r="253" spans="30:30" x14ac:dyDescent="0.25">
      <c r="AD253"/>
    </row>
    <row r="254" spans="30:30" x14ac:dyDescent="0.25">
      <c r="AD254"/>
    </row>
    <row r="255" spans="30:30" x14ac:dyDescent="0.25">
      <c r="AD255"/>
    </row>
    <row r="256" spans="30:30" x14ac:dyDescent="0.25">
      <c r="AD256"/>
    </row>
    <row r="257" spans="30:30" x14ac:dyDescent="0.25">
      <c r="AD257"/>
    </row>
    <row r="258" spans="30:30" x14ac:dyDescent="0.25">
      <c r="AD258"/>
    </row>
    <row r="259" spans="30:30" x14ac:dyDescent="0.25">
      <c r="AD259"/>
    </row>
    <row r="260" spans="30:30" x14ac:dyDescent="0.25">
      <c r="AD260"/>
    </row>
    <row r="261" spans="30:30" x14ac:dyDescent="0.25">
      <c r="AD261"/>
    </row>
    <row r="262" spans="30:30" x14ac:dyDescent="0.25">
      <c r="AD262"/>
    </row>
    <row r="263" spans="30:30" x14ac:dyDescent="0.25">
      <c r="AD263"/>
    </row>
    <row r="264" spans="30:30" x14ac:dyDescent="0.25">
      <c r="AD264"/>
    </row>
    <row r="265" spans="30:30" x14ac:dyDescent="0.25">
      <c r="AD265"/>
    </row>
    <row r="266" spans="30:30" x14ac:dyDescent="0.25">
      <c r="AD266"/>
    </row>
    <row r="267" spans="30:30" x14ac:dyDescent="0.25">
      <c r="AD267"/>
    </row>
    <row r="268" spans="30:30" x14ac:dyDescent="0.25">
      <c r="AD268"/>
    </row>
    <row r="269" spans="30:30" x14ac:dyDescent="0.25">
      <c r="AD269"/>
    </row>
    <row r="270" spans="30:30" x14ac:dyDescent="0.25">
      <c r="AD270"/>
    </row>
    <row r="271" spans="30:30" x14ac:dyDescent="0.25">
      <c r="AD271"/>
    </row>
    <row r="272" spans="30:30" x14ac:dyDescent="0.25">
      <c r="AD272"/>
    </row>
    <row r="273" spans="30:30" x14ac:dyDescent="0.25">
      <c r="AD273"/>
    </row>
    <row r="274" spans="30:30" x14ac:dyDescent="0.25">
      <c r="AD274"/>
    </row>
    <row r="275" spans="30:30" x14ac:dyDescent="0.25">
      <c r="AD275"/>
    </row>
    <row r="276" spans="30:30" x14ac:dyDescent="0.25">
      <c r="AD276"/>
    </row>
    <row r="277" spans="30:30" x14ac:dyDescent="0.25">
      <c r="AD277"/>
    </row>
    <row r="278" spans="30:30" x14ac:dyDescent="0.25">
      <c r="AD278"/>
    </row>
    <row r="279" spans="30:30" x14ac:dyDescent="0.25">
      <c r="AD279"/>
    </row>
    <row r="280" spans="30:30" x14ac:dyDescent="0.25">
      <c r="AD280"/>
    </row>
    <row r="281" spans="30:30" x14ac:dyDescent="0.25">
      <c r="AD281"/>
    </row>
    <row r="282" spans="30:30" x14ac:dyDescent="0.25">
      <c r="AD282"/>
    </row>
    <row r="283" spans="30:30" x14ac:dyDescent="0.25">
      <c r="AD283"/>
    </row>
    <row r="284" spans="30:30" x14ac:dyDescent="0.25">
      <c r="AD284"/>
    </row>
    <row r="285" spans="30:30" x14ac:dyDescent="0.25">
      <c r="AD285"/>
    </row>
    <row r="286" spans="30:30" x14ac:dyDescent="0.25">
      <c r="AD286"/>
    </row>
    <row r="287" spans="30:30" x14ac:dyDescent="0.25">
      <c r="AD287"/>
    </row>
    <row r="288" spans="30:30" x14ac:dyDescent="0.25">
      <c r="AD288"/>
    </row>
    <row r="289" spans="30:30" x14ac:dyDescent="0.25">
      <c r="AD289"/>
    </row>
    <row r="290" spans="30:30" x14ac:dyDescent="0.25">
      <c r="AD290"/>
    </row>
    <row r="291" spans="30:30" x14ac:dyDescent="0.25">
      <c r="AD291"/>
    </row>
    <row r="292" spans="30:30" x14ac:dyDescent="0.25">
      <c r="AD292"/>
    </row>
    <row r="293" spans="30:30" x14ac:dyDescent="0.25">
      <c r="AD293"/>
    </row>
    <row r="294" spans="30:30" x14ac:dyDescent="0.25">
      <c r="AD294"/>
    </row>
    <row r="295" spans="30:30" x14ac:dyDescent="0.25">
      <c r="AD295"/>
    </row>
    <row r="296" spans="30:30" x14ac:dyDescent="0.25">
      <c r="AD296"/>
    </row>
    <row r="297" spans="30:30" x14ac:dyDescent="0.25">
      <c r="AD297"/>
    </row>
    <row r="298" spans="30:30" x14ac:dyDescent="0.25">
      <c r="AD298"/>
    </row>
    <row r="299" spans="30:30" x14ac:dyDescent="0.25">
      <c r="AD299"/>
    </row>
    <row r="300" spans="30:30" x14ac:dyDescent="0.25">
      <c r="AD300"/>
    </row>
    <row r="301" spans="30:30" x14ac:dyDescent="0.25">
      <c r="AD301"/>
    </row>
    <row r="302" spans="30:30" x14ac:dyDescent="0.25">
      <c r="AD302"/>
    </row>
    <row r="303" spans="30:30" x14ac:dyDescent="0.25">
      <c r="AD303"/>
    </row>
    <row r="304" spans="30:30" x14ac:dyDescent="0.25">
      <c r="AD304"/>
    </row>
    <row r="305" spans="30:30" x14ac:dyDescent="0.25">
      <c r="AD305"/>
    </row>
    <row r="306" spans="30:30" x14ac:dyDescent="0.25">
      <c r="AD306"/>
    </row>
    <row r="307" spans="30:30" x14ac:dyDescent="0.25">
      <c r="AD307"/>
    </row>
    <row r="308" spans="30:30" x14ac:dyDescent="0.25">
      <c r="AD308"/>
    </row>
    <row r="309" spans="30:30" x14ac:dyDescent="0.25">
      <c r="AD309"/>
    </row>
    <row r="310" spans="30:30" x14ac:dyDescent="0.25">
      <c r="AD310"/>
    </row>
    <row r="311" spans="30:30" x14ac:dyDescent="0.25">
      <c r="AD311"/>
    </row>
    <row r="312" spans="30:30" x14ac:dyDescent="0.25">
      <c r="AD312"/>
    </row>
    <row r="313" spans="30:30" x14ac:dyDescent="0.25">
      <c r="AD313"/>
    </row>
    <row r="314" spans="30:30" x14ac:dyDescent="0.25">
      <c r="AD314"/>
    </row>
    <row r="315" spans="30:30" x14ac:dyDescent="0.25">
      <c r="AD315"/>
    </row>
    <row r="316" spans="30:30" x14ac:dyDescent="0.25">
      <c r="AD316"/>
    </row>
    <row r="317" spans="30:30" x14ac:dyDescent="0.25">
      <c r="AD317"/>
    </row>
    <row r="318" spans="30:30" x14ac:dyDescent="0.25">
      <c r="AD318"/>
    </row>
    <row r="319" spans="30:30" x14ac:dyDescent="0.25">
      <c r="AD319"/>
    </row>
    <row r="320" spans="30:30" x14ac:dyDescent="0.25">
      <c r="AD320"/>
    </row>
    <row r="321" spans="30:30" x14ac:dyDescent="0.25">
      <c r="AD321"/>
    </row>
    <row r="322" spans="30:30" x14ac:dyDescent="0.25">
      <c r="AD322"/>
    </row>
    <row r="323" spans="30:30" x14ac:dyDescent="0.25">
      <c r="AD323"/>
    </row>
    <row r="324" spans="30:30" x14ac:dyDescent="0.25">
      <c r="AD324"/>
    </row>
    <row r="325" spans="30:30" x14ac:dyDescent="0.25">
      <c r="AD325"/>
    </row>
    <row r="326" spans="30:30" x14ac:dyDescent="0.25">
      <c r="AD326"/>
    </row>
    <row r="327" spans="30:30" x14ac:dyDescent="0.25">
      <c r="AD327"/>
    </row>
    <row r="328" spans="30:30" x14ac:dyDescent="0.25">
      <c r="AD328"/>
    </row>
    <row r="329" spans="30:30" x14ac:dyDescent="0.25">
      <c r="AD329"/>
    </row>
    <row r="330" spans="30:30" x14ac:dyDescent="0.25">
      <c r="AD330"/>
    </row>
    <row r="331" spans="30:30" x14ac:dyDescent="0.25">
      <c r="AD331"/>
    </row>
    <row r="332" spans="30:30" x14ac:dyDescent="0.25">
      <c r="AD332"/>
    </row>
    <row r="333" spans="30:30" x14ac:dyDescent="0.25">
      <c r="AD333"/>
    </row>
    <row r="334" spans="30:30" x14ac:dyDescent="0.25">
      <c r="AD334"/>
    </row>
    <row r="335" spans="30:30" x14ac:dyDescent="0.25">
      <c r="AD335"/>
    </row>
    <row r="336" spans="30:30" x14ac:dyDescent="0.25">
      <c r="AD336"/>
    </row>
    <row r="337" spans="30:30" x14ac:dyDescent="0.25">
      <c r="AD337"/>
    </row>
    <row r="338" spans="30:30" x14ac:dyDescent="0.25">
      <c r="AD338"/>
    </row>
    <row r="339" spans="30:30" x14ac:dyDescent="0.25">
      <c r="AD339"/>
    </row>
    <row r="340" spans="30:30" x14ac:dyDescent="0.25">
      <c r="AD340"/>
    </row>
    <row r="341" spans="30:30" x14ac:dyDescent="0.25">
      <c r="AD341"/>
    </row>
    <row r="342" spans="30:30" x14ac:dyDescent="0.25">
      <c r="AD342"/>
    </row>
    <row r="343" spans="30:30" x14ac:dyDescent="0.25">
      <c r="AD343"/>
    </row>
    <row r="344" spans="30:30" x14ac:dyDescent="0.25">
      <c r="AD344"/>
    </row>
    <row r="345" spans="30:30" x14ac:dyDescent="0.25">
      <c r="AD345"/>
    </row>
    <row r="346" spans="30:30" x14ac:dyDescent="0.25">
      <c r="AD346"/>
    </row>
    <row r="347" spans="30:30" x14ac:dyDescent="0.25">
      <c r="AD347"/>
    </row>
    <row r="348" spans="30:30" x14ac:dyDescent="0.25">
      <c r="AD348"/>
    </row>
    <row r="349" spans="30:30" x14ac:dyDescent="0.25">
      <c r="AD349"/>
    </row>
    <row r="350" spans="30:30" x14ac:dyDescent="0.25">
      <c r="AD350"/>
    </row>
    <row r="351" spans="30:30" x14ac:dyDescent="0.25">
      <c r="AD351"/>
    </row>
    <row r="352" spans="30:30" x14ac:dyDescent="0.25">
      <c r="AD352"/>
    </row>
    <row r="353" spans="30:30" x14ac:dyDescent="0.25">
      <c r="AD353"/>
    </row>
    <row r="354" spans="30:30" x14ac:dyDescent="0.25">
      <c r="AD354"/>
    </row>
    <row r="355" spans="30:30" x14ac:dyDescent="0.25">
      <c r="AD355"/>
    </row>
    <row r="356" spans="30:30" x14ac:dyDescent="0.25">
      <c r="AD356"/>
    </row>
    <row r="357" spans="30:30" x14ac:dyDescent="0.25">
      <c r="AD357"/>
    </row>
    <row r="358" spans="30:30" x14ac:dyDescent="0.25">
      <c r="AD358"/>
    </row>
    <row r="359" spans="30:30" x14ac:dyDescent="0.25">
      <c r="AD359"/>
    </row>
    <row r="360" spans="30:30" x14ac:dyDescent="0.25">
      <c r="AD360"/>
    </row>
    <row r="361" spans="30:30" x14ac:dyDescent="0.25">
      <c r="AD361"/>
    </row>
    <row r="362" spans="30:30" x14ac:dyDescent="0.25">
      <c r="AD362"/>
    </row>
    <row r="363" spans="30:30" x14ac:dyDescent="0.25">
      <c r="AD363"/>
    </row>
    <row r="364" spans="30:30" x14ac:dyDescent="0.25">
      <c r="AD364"/>
    </row>
    <row r="365" spans="30:30" x14ac:dyDescent="0.25">
      <c r="AD365"/>
    </row>
    <row r="366" spans="30:30" x14ac:dyDescent="0.25">
      <c r="AD366"/>
    </row>
    <row r="367" spans="30:30" x14ac:dyDescent="0.25">
      <c r="AD367"/>
    </row>
    <row r="368" spans="30:30" x14ac:dyDescent="0.25">
      <c r="AD368"/>
    </row>
    <row r="369" spans="30:30" x14ac:dyDescent="0.25">
      <c r="AD369"/>
    </row>
    <row r="370" spans="30:30" x14ac:dyDescent="0.25">
      <c r="AD370"/>
    </row>
    <row r="371" spans="30:30" x14ac:dyDescent="0.25">
      <c r="AD371"/>
    </row>
    <row r="372" spans="30:30" x14ac:dyDescent="0.25">
      <c r="AD372"/>
    </row>
    <row r="373" spans="30:30" x14ac:dyDescent="0.25">
      <c r="AD373"/>
    </row>
    <row r="374" spans="30:30" x14ac:dyDescent="0.25">
      <c r="AD374"/>
    </row>
    <row r="375" spans="30:30" x14ac:dyDescent="0.25">
      <c r="AD375"/>
    </row>
    <row r="376" spans="30:30" x14ac:dyDescent="0.25">
      <c r="AD376"/>
    </row>
    <row r="377" spans="30:30" x14ac:dyDescent="0.25">
      <c r="AD377"/>
    </row>
    <row r="378" spans="30:30" x14ac:dyDescent="0.25">
      <c r="AD378"/>
    </row>
    <row r="379" spans="30:30" x14ac:dyDescent="0.25">
      <c r="AD379"/>
    </row>
    <row r="380" spans="30:30" x14ac:dyDescent="0.25">
      <c r="AD380"/>
    </row>
    <row r="381" spans="30:30" x14ac:dyDescent="0.25">
      <c r="AD381"/>
    </row>
    <row r="382" spans="30:30" x14ac:dyDescent="0.25">
      <c r="AD382"/>
    </row>
    <row r="383" spans="30:30" x14ac:dyDescent="0.25">
      <c r="AD383"/>
    </row>
    <row r="384" spans="30:30" x14ac:dyDescent="0.25">
      <c r="AD384"/>
    </row>
    <row r="385" spans="30:30" x14ac:dyDescent="0.25">
      <c r="AD385"/>
    </row>
    <row r="386" spans="30:30" x14ac:dyDescent="0.25">
      <c r="AD386"/>
    </row>
    <row r="387" spans="30:30" x14ac:dyDescent="0.25">
      <c r="AD387"/>
    </row>
    <row r="388" spans="30:30" x14ac:dyDescent="0.25">
      <c r="AD388"/>
    </row>
    <row r="389" spans="30:30" x14ac:dyDescent="0.25">
      <c r="AD389"/>
    </row>
    <row r="390" spans="30:30" x14ac:dyDescent="0.25">
      <c r="AD390"/>
    </row>
    <row r="391" spans="30:30" x14ac:dyDescent="0.25">
      <c r="AD391"/>
    </row>
    <row r="392" spans="30:30" x14ac:dyDescent="0.25">
      <c r="AD392"/>
    </row>
    <row r="393" spans="30:30" x14ac:dyDescent="0.25">
      <c r="AD393"/>
    </row>
    <row r="394" spans="30:30" x14ac:dyDescent="0.25">
      <c r="AD394"/>
    </row>
    <row r="395" spans="30:30" x14ac:dyDescent="0.25">
      <c r="AD395"/>
    </row>
    <row r="396" spans="30:30" x14ac:dyDescent="0.25">
      <c r="AD396"/>
    </row>
    <row r="397" spans="30:30" x14ac:dyDescent="0.25">
      <c r="AD397"/>
    </row>
    <row r="398" spans="30:30" x14ac:dyDescent="0.25">
      <c r="AD398"/>
    </row>
    <row r="399" spans="30:30" x14ac:dyDescent="0.25">
      <c r="AD399"/>
    </row>
    <row r="400" spans="30:30" x14ac:dyDescent="0.25">
      <c r="AD400"/>
    </row>
    <row r="401" spans="30:30" x14ac:dyDescent="0.25">
      <c r="AD401"/>
    </row>
    <row r="402" spans="30:30" x14ac:dyDescent="0.25">
      <c r="AD402"/>
    </row>
    <row r="403" spans="30:30" x14ac:dyDescent="0.25">
      <c r="AD403"/>
    </row>
    <row r="404" spans="30:30" x14ac:dyDescent="0.25">
      <c r="AD404"/>
    </row>
    <row r="405" spans="30:30" x14ac:dyDescent="0.25">
      <c r="AD405"/>
    </row>
    <row r="406" spans="30:30" x14ac:dyDescent="0.25">
      <c r="AD406"/>
    </row>
    <row r="407" spans="30:30" x14ac:dyDescent="0.25">
      <c r="AD407"/>
    </row>
    <row r="408" spans="30:30" x14ac:dyDescent="0.25">
      <c r="AD408"/>
    </row>
    <row r="409" spans="30:30" x14ac:dyDescent="0.25">
      <c r="AD409"/>
    </row>
    <row r="410" spans="30:30" x14ac:dyDescent="0.25">
      <c r="AD410"/>
    </row>
    <row r="411" spans="30:30" x14ac:dyDescent="0.25">
      <c r="AD411"/>
    </row>
    <row r="412" spans="30:30" x14ac:dyDescent="0.25">
      <c r="AD412"/>
    </row>
    <row r="413" spans="30:30" x14ac:dyDescent="0.25">
      <c r="AD413"/>
    </row>
    <row r="414" spans="30:30" x14ac:dyDescent="0.25">
      <c r="AD414"/>
    </row>
    <row r="415" spans="30:30" x14ac:dyDescent="0.25">
      <c r="AD415"/>
    </row>
    <row r="416" spans="30:30" x14ac:dyDescent="0.25">
      <c r="AD416"/>
    </row>
    <row r="417" spans="30:30" x14ac:dyDescent="0.25">
      <c r="AD417"/>
    </row>
    <row r="418" spans="30:30" x14ac:dyDescent="0.25">
      <c r="AD418"/>
    </row>
    <row r="419" spans="30:30" x14ac:dyDescent="0.25">
      <c r="AD419"/>
    </row>
    <row r="420" spans="30:30" x14ac:dyDescent="0.25">
      <c r="AD420"/>
    </row>
    <row r="421" spans="30:30" x14ac:dyDescent="0.25">
      <c r="AD421"/>
    </row>
    <row r="422" spans="30:30" x14ac:dyDescent="0.25">
      <c r="AD422"/>
    </row>
    <row r="423" spans="30:30" x14ac:dyDescent="0.25">
      <c r="AD423"/>
    </row>
    <row r="424" spans="30:30" x14ac:dyDescent="0.25">
      <c r="AD424"/>
    </row>
    <row r="425" spans="30:30" x14ac:dyDescent="0.25">
      <c r="AD425"/>
    </row>
    <row r="426" spans="30:30" x14ac:dyDescent="0.25">
      <c r="AD426"/>
    </row>
    <row r="427" spans="30:30" x14ac:dyDescent="0.25">
      <c r="AD427"/>
    </row>
    <row r="428" spans="30:30" x14ac:dyDescent="0.25">
      <c r="AD428"/>
    </row>
    <row r="429" spans="30:30" x14ac:dyDescent="0.25">
      <c r="AD429"/>
    </row>
    <row r="430" spans="30:30" x14ac:dyDescent="0.25">
      <c r="AD430"/>
    </row>
    <row r="431" spans="30:30" x14ac:dyDescent="0.25">
      <c r="AD431"/>
    </row>
    <row r="432" spans="30:30" x14ac:dyDescent="0.25">
      <c r="AD432"/>
    </row>
    <row r="433" spans="30:30" x14ac:dyDescent="0.25">
      <c r="AD433"/>
    </row>
    <row r="434" spans="30:30" x14ac:dyDescent="0.25">
      <c r="AD434"/>
    </row>
    <row r="435" spans="30:30" x14ac:dyDescent="0.25">
      <c r="AD435"/>
    </row>
    <row r="436" spans="30:30" x14ac:dyDescent="0.25">
      <c r="AD436"/>
    </row>
    <row r="437" spans="30:30" x14ac:dyDescent="0.25">
      <c r="AD437"/>
    </row>
    <row r="438" spans="30:30" x14ac:dyDescent="0.25">
      <c r="AD438"/>
    </row>
    <row r="439" spans="30:30" x14ac:dyDescent="0.25">
      <c r="AD439"/>
    </row>
    <row r="440" spans="30:30" x14ac:dyDescent="0.25">
      <c r="AD440"/>
    </row>
    <row r="441" spans="30:30" x14ac:dyDescent="0.25">
      <c r="AD441"/>
    </row>
    <row r="442" spans="30:30" x14ac:dyDescent="0.25">
      <c r="AD442"/>
    </row>
    <row r="443" spans="30:30" x14ac:dyDescent="0.25">
      <c r="AD443"/>
    </row>
    <row r="444" spans="30:30" x14ac:dyDescent="0.25">
      <c r="AD444"/>
    </row>
    <row r="445" spans="30:30" x14ac:dyDescent="0.25">
      <c r="AD445"/>
    </row>
    <row r="446" spans="30:30" x14ac:dyDescent="0.25">
      <c r="AD446"/>
    </row>
    <row r="447" spans="30:30" x14ac:dyDescent="0.25">
      <c r="AD447"/>
    </row>
    <row r="448" spans="30:30" x14ac:dyDescent="0.25">
      <c r="AD448"/>
    </row>
    <row r="449" spans="30:30" x14ac:dyDescent="0.25">
      <c r="AD449"/>
    </row>
    <row r="450" spans="30:30" x14ac:dyDescent="0.25">
      <c r="AD450"/>
    </row>
    <row r="451" spans="30:30" x14ac:dyDescent="0.25">
      <c r="AD451"/>
    </row>
    <row r="452" spans="30:30" x14ac:dyDescent="0.25">
      <c r="AD452"/>
    </row>
    <row r="453" spans="30:30" x14ac:dyDescent="0.25">
      <c r="AD453"/>
    </row>
    <row r="454" spans="30:30" x14ac:dyDescent="0.25">
      <c r="AD454"/>
    </row>
    <row r="455" spans="30:30" x14ac:dyDescent="0.25">
      <c r="AD455"/>
    </row>
    <row r="456" spans="30:30" x14ac:dyDescent="0.25">
      <c r="AD456"/>
    </row>
    <row r="457" spans="30:30" x14ac:dyDescent="0.25">
      <c r="AD457"/>
    </row>
    <row r="458" spans="30:30" x14ac:dyDescent="0.25">
      <c r="AD458"/>
    </row>
    <row r="459" spans="30:30" x14ac:dyDescent="0.25">
      <c r="AD459"/>
    </row>
    <row r="460" spans="30:30" x14ac:dyDescent="0.25">
      <c r="AD460"/>
    </row>
    <row r="461" spans="30:30" x14ac:dyDescent="0.25">
      <c r="AD461"/>
    </row>
    <row r="462" spans="30:30" x14ac:dyDescent="0.25">
      <c r="AD462"/>
    </row>
    <row r="463" spans="30:30" x14ac:dyDescent="0.25">
      <c r="AD463"/>
    </row>
    <row r="464" spans="30:30" x14ac:dyDescent="0.25">
      <c r="AD464"/>
    </row>
    <row r="465" spans="30:30" x14ac:dyDescent="0.25">
      <c r="AD465"/>
    </row>
    <row r="466" spans="30:30" x14ac:dyDescent="0.25">
      <c r="AD466"/>
    </row>
    <row r="467" spans="30:30" x14ac:dyDescent="0.25">
      <c r="AD467"/>
    </row>
    <row r="468" spans="30:30" x14ac:dyDescent="0.25">
      <c r="AD468"/>
    </row>
    <row r="469" spans="30:30" x14ac:dyDescent="0.25">
      <c r="AD469"/>
    </row>
    <row r="470" spans="30:30" x14ac:dyDescent="0.25">
      <c r="AD470"/>
    </row>
    <row r="471" spans="30:30" x14ac:dyDescent="0.25">
      <c r="AD471"/>
    </row>
    <row r="472" spans="30:30" x14ac:dyDescent="0.25">
      <c r="AD472"/>
    </row>
    <row r="473" spans="30:30" x14ac:dyDescent="0.25">
      <c r="AD473"/>
    </row>
    <row r="474" spans="30:30" x14ac:dyDescent="0.25">
      <c r="AD474"/>
    </row>
    <row r="475" spans="30:30" x14ac:dyDescent="0.25">
      <c r="AD475"/>
    </row>
    <row r="476" spans="30:30" x14ac:dyDescent="0.25">
      <c r="AD476"/>
    </row>
    <row r="477" spans="30:30" x14ac:dyDescent="0.25">
      <c r="AD477"/>
    </row>
    <row r="478" spans="30:30" x14ac:dyDescent="0.25">
      <c r="AD478"/>
    </row>
    <row r="479" spans="30:30" x14ac:dyDescent="0.25">
      <c r="AD479"/>
    </row>
    <row r="480" spans="30:30" x14ac:dyDescent="0.25">
      <c r="AD480"/>
    </row>
    <row r="481" spans="30:30" x14ac:dyDescent="0.25">
      <c r="AD481"/>
    </row>
    <row r="482" spans="30:30" x14ac:dyDescent="0.25">
      <c r="AD482"/>
    </row>
    <row r="483" spans="30:30" x14ac:dyDescent="0.25">
      <c r="AD483"/>
    </row>
    <row r="484" spans="30:30" x14ac:dyDescent="0.25">
      <c r="AD484"/>
    </row>
    <row r="485" spans="30:30" x14ac:dyDescent="0.25">
      <c r="AD485"/>
    </row>
    <row r="486" spans="30:30" x14ac:dyDescent="0.25">
      <c r="AD486"/>
    </row>
    <row r="487" spans="30:30" x14ac:dyDescent="0.25">
      <c r="AD487"/>
    </row>
    <row r="488" spans="30:30" x14ac:dyDescent="0.25">
      <c r="AD488"/>
    </row>
    <row r="489" spans="30:30" x14ac:dyDescent="0.25">
      <c r="AD489"/>
    </row>
    <row r="490" spans="30:30" x14ac:dyDescent="0.25">
      <c r="AD490"/>
    </row>
    <row r="491" spans="30:30" x14ac:dyDescent="0.25">
      <c r="AD491"/>
    </row>
    <row r="492" spans="30:30" x14ac:dyDescent="0.25">
      <c r="AD492"/>
    </row>
    <row r="493" spans="30:30" x14ac:dyDescent="0.25">
      <c r="AD493"/>
    </row>
    <row r="494" spans="30:30" x14ac:dyDescent="0.25">
      <c r="AD494"/>
    </row>
    <row r="495" spans="30:30" x14ac:dyDescent="0.25">
      <c r="AD495"/>
    </row>
    <row r="496" spans="30:30" x14ac:dyDescent="0.25">
      <c r="AD496"/>
    </row>
    <row r="497" spans="30:30" x14ac:dyDescent="0.25">
      <c r="AD497"/>
    </row>
    <row r="498" spans="30:30" x14ac:dyDescent="0.25">
      <c r="AD498"/>
    </row>
    <row r="499" spans="30:30" x14ac:dyDescent="0.25">
      <c r="AD499"/>
    </row>
    <row r="500" spans="30:30" x14ac:dyDescent="0.25">
      <c r="AD500"/>
    </row>
    <row r="501" spans="30:30" x14ac:dyDescent="0.25">
      <c r="AD501"/>
    </row>
    <row r="502" spans="30:30" x14ac:dyDescent="0.25">
      <c r="AD502"/>
    </row>
    <row r="503" spans="30:30" x14ac:dyDescent="0.25">
      <c r="AD503"/>
    </row>
    <row r="504" spans="30:30" x14ac:dyDescent="0.25">
      <c r="AD504"/>
    </row>
    <row r="505" spans="30:30" x14ac:dyDescent="0.25">
      <c r="AD505"/>
    </row>
    <row r="506" spans="30:30" x14ac:dyDescent="0.25">
      <c r="AD506"/>
    </row>
    <row r="507" spans="30:30" x14ac:dyDescent="0.25">
      <c r="AD507"/>
    </row>
    <row r="508" spans="30:30" x14ac:dyDescent="0.25">
      <c r="AD508"/>
    </row>
    <row r="509" spans="30:30" x14ac:dyDescent="0.25">
      <c r="AD509"/>
    </row>
    <row r="510" spans="30:30" x14ac:dyDescent="0.25">
      <c r="AD510"/>
    </row>
    <row r="511" spans="30:30" x14ac:dyDescent="0.25">
      <c r="AD511"/>
    </row>
    <row r="512" spans="30:30" x14ac:dyDescent="0.25">
      <c r="AD512"/>
    </row>
    <row r="513" spans="30:30" x14ac:dyDescent="0.25">
      <c r="AD513"/>
    </row>
    <row r="514" spans="30:30" x14ac:dyDescent="0.25">
      <c r="AD514"/>
    </row>
    <row r="515" spans="30:30" x14ac:dyDescent="0.25">
      <c r="AD515"/>
    </row>
    <row r="516" spans="30:30" x14ac:dyDescent="0.25">
      <c r="AD516"/>
    </row>
    <row r="517" spans="30:30" x14ac:dyDescent="0.25">
      <c r="AD517"/>
    </row>
    <row r="518" spans="30:30" x14ac:dyDescent="0.25">
      <c r="AD518"/>
    </row>
    <row r="519" spans="30:30" x14ac:dyDescent="0.25">
      <c r="AD519"/>
    </row>
    <row r="520" spans="30:30" x14ac:dyDescent="0.25">
      <c r="AD520"/>
    </row>
    <row r="521" spans="30:30" x14ac:dyDescent="0.25">
      <c r="AD521"/>
    </row>
    <row r="522" spans="30:30" x14ac:dyDescent="0.25">
      <c r="AD522"/>
    </row>
    <row r="523" spans="30:30" x14ac:dyDescent="0.25">
      <c r="AD523"/>
    </row>
    <row r="524" spans="30:30" x14ac:dyDescent="0.25">
      <c r="AD524"/>
    </row>
    <row r="525" spans="30:30" x14ac:dyDescent="0.25">
      <c r="AD525"/>
    </row>
    <row r="526" spans="30:30" x14ac:dyDescent="0.25">
      <c r="AD526"/>
    </row>
    <row r="527" spans="30:30" x14ac:dyDescent="0.25">
      <c r="AD527"/>
    </row>
    <row r="528" spans="30:30" x14ac:dyDescent="0.25">
      <c r="AD528"/>
    </row>
    <row r="529" spans="30:30" x14ac:dyDescent="0.25">
      <c r="AD529"/>
    </row>
    <row r="530" spans="30:30" x14ac:dyDescent="0.25">
      <c r="AD530"/>
    </row>
    <row r="531" spans="30:30" x14ac:dyDescent="0.25">
      <c r="AD531"/>
    </row>
    <row r="532" spans="30:30" x14ac:dyDescent="0.25">
      <c r="AD532"/>
    </row>
    <row r="533" spans="30:30" x14ac:dyDescent="0.25">
      <c r="AD533"/>
    </row>
    <row r="534" spans="30:30" x14ac:dyDescent="0.25">
      <c r="AD534"/>
    </row>
    <row r="535" spans="30:30" x14ac:dyDescent="0.25">
      <c r="AD535"/>
    </row>
    <row r="536" spans="30:30" x14ac:dyDescent="0.25">
      <c r="AD536"/>
    </row>
    <row r="537" spans="30:30" x14ac:dyDescent="0.25">
      <c r="AD537"/>
    </row>
    <row r="538" spans="30:30" x14ac:dyDescent="0.25">
      <c r="AD538"/>
    </row>
    <row r="539" spans="30:30" x14ac:dyDescent="0.25">
      <c r="AD539"/>
    </row>
    <row r="540" spans="30:30" x14ac:dyDescent="0.25">
      <c r="AD540"/>
    </row>
    <row r="541" spans="30:30" x14ac:dyDescent="0.25">
      <c r="AD541"/>
    </row>
    <row r="542" spans="30:30" x14ac:dyDescent="0.25">
      <c r="AD542"/>
    </row>
    <row r="543" spans="30:30" x14ac:dyDescent="0.25">
      <c r="AD543"/>
    </row>
    <row r="544" spans="30:30" x14ac:dyDescent="0.25">
      <c r="AD544"/>
    </row>
    <row r="545" spans="30:30" x14ac:dyDescent="0.25">
      <c r="AD545"/>
    </row>
    <row r="546" spans="30:30" x14ac:dyDescent="0.25">
      <c r="AD546"/>
    </row>
    <row r="547" spans="30:30" x14ac:dyDescent="0.25">
      <c r="AD547"/>
    </row>
    <row r="548" spans="30:30" x14ac:dyDescent="0.25">
      <c r="AD548"/>
    </row>
    <row r="549" spans="30:30" x14ac:dyDescent="0.25">
      <c r="AD549"/>
    </row>
    <row r="550" spans="30:30" x14ac:dyDescent="0.25">
      <c r="AD550"/>
    </row>
    <row r="551" spans="30:30" x14ac:dyDescent="0.25">
      <c r="AD551"/>
    </row>
    <row r="552" spans="30:30" x14ac:dyDescent="0.25">
      <c r="AD552"/>
    </row>
    <row r="553" spans="30:30" x14ac:dyDescent="0.25">
      <c r="AD553"/>
    </row>
    <row r="554" spans="30:30" x14ac:dyDescent="0.25">
      <c r="AD554"/>
    </row>
    <row r="555" spans="30:30" x14ac:dyDescent="0.25">
      <c r="AD555"/>
    </row>
    <row r="556" spans="30:30" x14ac:dyDescent="0.25">
      <c r="AD556"/>
    </row>
    <row r="557" spans="30:30" x14ac:dyDescent="0.25">
      <c r="AD557"/>
    </row>
    <row r="558" spans="30:30" x14ac:dyDescent="0.25">
      <c r="AD558"/>
    </row>
    <row r="559" spans="30:30" x14ac:dyDescent="0.25">
      <c r="AD559"/>
    </row>
    <row r="560" spans="30:30" x14ac:dyDescent="0.25">
      <c r="AD560"/>
    </row>
    <row r="561" spans="30:30" x14ac:dyDescent="0.25">
      <c r="AD561"/>
    </row>
    <row r="562" spans="30:30" x14ac:dyDescent="0.25">
      <c r="AD562"/>
    </row>
    <row r="563" spans="30:30" x14ac:dyDescent="0.25">
      <c r="AD563"/>
    </row>
    <row r="564" spans="30:30" x14ac:dyDescent="0.25">
      <c r="AD564"/>
    </row>
    <row r="565" spans="30:30" x14ac:dyDescent="0.25">
      <c r="AD565"/>
    </row>
    <row r="566" spans="30:30" x14ac:dyDescent="0.25">
      <c r="AD566"/>
    </row>
    <row r="567" spans="30:30" x14ac:dyDescent="0.25">
      <c r="AD567"/>
    </row>
    <row r="568" spans="30:30" x14ac:dyDescent="0.25">
      <c r="AD568"/>
    </row>
    <row r="569" spans="30:30" x14ac:dyDescent="0.25">
      <c r="AD569"/>
    </row>
    <row r="570" spans="30:30" x14ac:dyDescent="0.25">
      <c r="AD570"/>
    </row>
    <row r="571" spans="30:30" x14ac:dyDescent="0.25">
      <c r="AD571"/>
    </row>
    <row r="572" spans="30:30" x14ac:dyDescent="0.25">
      <c r="AD572"/>
    </row>
    <row r="573" spans="30:30" x14ac:dyDescent="0.25">
      <c r="AD573"/>
    </row>
    <row r="574" spans="30:30" x14ac:dyDescent="0.25">
      <c r="AD574"/>
    </row>
    <row r="575" spans="30:30" x14ac:dyDescent="0.25">
      <c r="AD575"/>
    </row>
    <row r="576" spans="30:30" x14ac:dyDescent="0.25">
      <c r="AD576"/>
    </row>
    <row r="577" spans="30:30" x14ac:dyDescent="0.25">
      <c r="AD577"/>
    </row>
    <row r="578" spans="30:30" x14ac:dyDescent="0.25">
      <c r="AD578"/>
    </row>
    <row r="579" spans="30:30" x14ac:dyDescent="0.25">
      <c r="AD579"/>
    </row>
    <row r="580" spans="30:30" x14ac:dyDescent="0.25">
      <c r="AD580"/>
    </row>
    <row r="581" spans="30:30" x14ac:dyDescent="0.25">
      <c r="AD581"/>
    </row>
    <row r="582" spans="30:30" x14ac:dyDescent="0.25">
      <c r="AD582"/>
    </row>
    <row r="583" spans="30:30" x14ac:dyDescent="0.25">
      <c r="AD583"/>
    </row>
    <row r="584" spans="30:30" x14ac:dyDescent="0.25">
      <c r="AD584"/>
    </row>
    <row r="585" spans="30:30" x14ac:dyDescent="0.25">
      <c r="AD585"/>
    </row>
    <row r="586" spans="30:30" x14ac:dyDescent="0.25">
      <c r="AD586"/>
    </row>
    <row r="587" spans="30:30" x14ac:dyDescent="0.25">
      <c r="AD587"/>
    </row>
    <row r="588" spans="30:30" x14ac:dyDescent="0.25">
      <c r="AD588"/>
    </row>
    <row r="589" spans="30:30" x14ac:dyDescent="0.25">
      <c r="AD589"/>
    </row>
    <row r="590" spans="30:30" x14ac:dyDescent="0.25">
      <c r="AD590"/>
    </row>
    <row r="591" spans="30:30" x14ac:dyDescent="0.25">
      <c r="AD591"/>
    </row>
    <row r="592" spans="30:30" x14ac:dyDescent="0.25">
      <c r="AD592"/>
    </row>
    <row r="593" spans="30:30" x14ac:dyDescent="0.25">
      <c r="AD593"/>
    </row>
    <row r="594" spans="30:30" x14ac:dyDescent="0.25">
      <c r="AD594"/>
    </row>
    <row r="595" spans="30:30" x14ac:dyDescent="0.25">
      <c r="AD595"/>
    </row>
    <row r="596" spans="30:30" x14ac:dyDescent="0.25">
      <c r="AD596"/>
    </row>
    <row r="597" spans="30:30" x14ac:dyDescent="0.25">
      <c r="AD597"/>
    </row>
    <row r="598" spans="30:30" x14ac:dyDescent="0.25">
      <c r="AD598"/>
    </row>
    <row r="599" spans="30:30" x14ac:dyDescent="0.25">
      <c r="AD599"/>
    </row>
    <row r="600" spans="30:30" x14ac:dyDescent="0.25">
      <c r="AD600"/>
    </row>
    <row r="601" spans="30:30" x14ac:dyDescent="0.25">
      <c r="AD601"/>
    </row>
    <row r="602" spans="30:30" x14ac:dyDescent="0.25">
      <c r="AD602"/>
    </row>
    <row r="603" spans="30:30" x14ac:dyDescent="0.25">
      <c r="AD603"/>
    </row>
    <row r="604" spans="30:30" x14ac:dyDescent="0.25">
      <c r="AD604"/>
    </row>
    <row r="605" spans="30:30" x14ac:dyDescent="0.25">
      <c r="AD605"/>
    </row>
    <row r="606" spans="30:30" x14ac:dyDescent="0.25">
      <c r="AD606"/>
    </row>
    <row r="607" spans="30:30" x14ac:dyDescent="0.25">
      <c r="AD607"/>
    </row>
    <row r="608" spans="30:30" x14ac:dyDescent="0.25">
      <c r="AD608"/>
    </row>
    <row r="609" spans="30:30" x14ac:dyDescent="0.25">
      <c r="AD609"/>
    </row>
    <row r="610" spans="30:30" x14ac:dyDescent="0.25">
      <c r="AD610"/>
    </row>
    <row r="611" spans="30:30" x14ac:dyDescent="0.25">
      <c r="AD611"/>
    </row>
    <row r="612" spans="30:30" x14ac:dyDescent="0.25">
      <c r="AD612"/>
    </row>
    <row r="613" spans="30:30" x14ac:dyDescent="0.25">
      <c r="AD613"/>
    </row>
    <row r="614" spans="30:30" x14ac:dyDescent="0.25">
      <c r="AD614"/>
    </row>
    <row r="615" spans="30:30" x14ac:dyDescent="0.25">
      <c r="AD615"/>
    </row>
    <row r="616" spans="30:30" x14ac:dyDescent="0.25">
      <c r="AD616"/>
    </row>
    <row r="617" spans="30:30" x14ac:dyDescent="0.25">
      <c r="AD617"/>
    </row>
    <row r="618" spans="30:30" x14ac:dyDescent="0.25">
      <c r="AD618"/>
    </row>
    <row r="619" spans="30:30" x14ac:dyDescent="0.25">
      <c r="AD619"/>
    </row>
    <row r="620" spans="30:30" x14ac:dyDescent="0.25">
      <c r="AD620"/>
    </row>
    <row r="621" spans="30:30" x14ac:dyDescent="0.25">
      <c r="AD621"/>
    </row>
    <row r="622" spans="30:30" x14ac:dyDescent="0.25">
      <c r="AD622"/>
    </row>
    <row r="623" spans="30:30" x14ac:dyDescent="0.25">
      <c r="AD623"/>
    </row>
    <row r="624" spans="30:30" x14ac:dyDescent="0.25">
      <c r="AD624"/>
    </row>
    <row r="625" spans="30:30" x14ac:dyDescent="0.25">
      <c r="AD625"/>
    </row>
    <row r="626" spans="30:30" x14ac:dyDescent="0.25">
      <c r="AD626"/>
    </row>
    <row r="627" spans="30:30" x14ac:dyDescent="0.25">
      <c r="AD627"/>
    </row>
    <row r="628" spans="30:30" x14ac:dyDescent="0.25">
      <c r="AD628"/>
    </row>
    <row r="629" spans="30:30" x14ac:dyDescent="0.25">
      <c r="AD629"/>
    </row>
    <row r="630" spans="30:30" x14ac:dyDescent="0.25">
      <c r="AD630"/>
    </row>
    <row r="631" spans="30:30" x14ac:dyDescent="0.25">
      <c r="AD631"/>
    </row>
    <row r="632" spans="30:30" x14ac:dyDescent="0.25">
      <c r="AD632"/>
    </row>
    <row r="633" spans="30:30" x14ac:dyDescent="0.25">
      <c r="AD633"/>
    </row>
    <row r="634" spans="30:30" x14ac:dyDescent="0.25">
      <c r="AD634"/>
    </row>
    <row r="635" spans="30:30" x14ac:dyDescent="0.25">
      <c r="AD635"/>
    </row>
    <row r="636" spans="30:30" x14ac:dyDescent="0.25">
      <c r="AD636"/>
    </row>
    <row r="637" spans="30:30" x14ac:dyDescent="0.25">
      <c r="AD637"/>
    </row>
    <row r="638" spans="30:30" x14ac:dyDescent="0.25">
      <c r="AD638"/>
    </row>
    <row r="639" spans="30:30" x14ac:dyDescent="0.25">
      <c r="AD639"/>
    </row>
    <row r="640" spans="30:30" x14ac:dyDescent="0.25">
      <c r="AD640"/>
    </row>
    <row r="641" spans="30:30" x14ac:dyDescent="0.25">
      <c r="AD641"/>
    </row>
    <row r="642" spans="30:30" x14ac:dyDescent="0.25">
      <c r="AD642"/>
    </row>
    <row r="643" spans="30:30" x14ac:dyDescent="0.25">
      <c r="AD643"/>
    </row>
    <row r="644" spans="30:30" x14ac:dyDescent="0.25">
      <c r="AD644"/>
    </row>
    <row r="645" spans="30:30" x14ac:dyDescent="0.25">
      <c r="AD645"/>
    </row>
    <row r="646" spans="30:30" x14ac:dyDescent="0.25">
      <c r="AD646"/>
    </row>
    <row r="647" spans="30:30" x14ac:dyDescent="0.25">
      <c r="AD647"/>
    </row>
    <row r="648" spans="30:30" x14ac:dyDescent="0.25">
      <c r="AD648"/>
    </row>
    <row r="649" spans="30:30" x14ac:dyDescent="0.25">
      <c r="AD649"/>
    </row>
    <row r="650" spans="30:30" x14ac:dyDescent="0.25">
      <c r="AD650"/>
    </row>
    <row r="651" spans="30:30" x14ac:dyDescent="0.25">
      <c r="AD651"/>
    </row>
    <row r="652" spans="30:30" x14ac:dyDescent="0.25">
      <c r="AD652"/>
    </row>
    <row r="653" spans="30:30" x14ac:dyDescent="0.25">
      <c r="AD653"/>
    </row>
    <row r="654" spans="30:30" x14ac:dyDescent="0.25">
      <c r="AD654"/>
    </row>
    <row r="655" spans="30:30" x14ac:dyDescent="0.25">
      <c r="AD655"/>
    </row>
    <row r="656" spans="30:30" x14ac:dyDescent="0.25">
      <c r="AD656"/>
    </row>
    <row r="657" spans="30:30" x14ac:dyDescent="0.25">
      <c r="AD657"/>
    </row>
    <row r="658" spans="30:30" x14ac:dyDescent="0.25">
      <c r="AD658"/>
    </row>
    <row r="659" spans="30:30" x14ac:dyDescent="0.25">
      <c r="AD659"/>
    </row>
    <row r="660" spans="30:30" x14ac:dyDescent="0.25">
      <c r="AD660"/>
    </row>
    <row r="661" spans="30:30" x14ac:dyDescent="0.25">
      <c r="AD661"/>
    </row>
    <row r="662" spans="30:30" x14ac:dyDescent="0.25">
      <c r="AD662"/>
    </row>
    <row r="663" spans="30:30" x14ac:dyDescent="0.25">
      <c r="AD663"/>
    </row>
    <row r="664" spans="30:30" x14ac:dyDescent="0.25">
      <c r="AD664"/>
    </row>
    <row r="665" spans="30:30" x14ac:dyDescent="0.25">
      <c r="AD665"/>
    </row>
    <row r="666" spans="30:30" x14ac:dyDescent="0.25">
      <c r="AD666"/>
    </row>
    <row r="667" spans="30:30" x14ac:dyDescent="0.25">
      <c r="AD667"/>
    </row>
    <row r="668" spans="30:30" x14ac:dyDescent="0.25">
      <c r="AD668"/>
    </row>
    <row r="669" spans="30:30" x14ac:dyDescent="0.25">
      <c r="AD669"/>
    </row>
    <row r="670" spans="30:30" x14ac:dyDescent="0.25">
      <c r="AD670"/>
    </row>
    <row r="671" spans="30:30" x14ac:dyDescent="0.25">
      <c r="AD671"/>
    </row>
    <row r="672" spans="30:30" x14ac:dyDescent="0.25">
      <c r="AD672"/>
    </row>
    <row r="673" spans="30:30" x14ac:dyDescent="0.25">
      <c r="AD673"/>
    </row>
    <row r="674" spans="30:30" x14ac:dyDescent="0.25">
      <c r="AD674"/>
    </row>
    <row r="675" spans="30:30" x14ac:dyDescent="0.25">
      <c r="AD675"/>
    </row>
    <row r="676" spans="30:30" x14ac:dyDescent="0.25">
      <c r="AD676"/>
    </row>
    <row r="677" spans="30:30" x14ac:dyDescent="0.25">
      <c r="AD677"/>
    </row>
    <row r="678" spans="30:30" x14ac:dyDescent="0.25">
      <c r="AD678"/>
    </row>
    <row r="679" spans="30:30" x14ac:dyDescent="0.25">
      <c r="AD679"/>
    </row>
    <row r="680" spans="30:30" x14ac:dyDescent="0.25">
      <c r="AD680"/>
    </row>
    <row r="681" spans="30:30" x14ac:dyDescent="0.25">
      <c r="AD681"/>
    </row>
    <row r="682" spans="30:30" x14ac:dyDescent="0.25">
      <c r="AD682"/>
    </row>
    <row r="683" spans="30:30" x14ac:dyDescent="0.25">
      <c r="AD683"/>
    </row>
    <row r="684" spans="30:30" x14ac:dyDescent="0.25">
      <c r="AD684"/>
    </row>
    <row r="685" spans="30:30" x14ac:dyDescent="0.25">
      <c r="AD685"/>
    </row>
    <row r="686" spans="30:30" x14ac:dyDescent="0.25">
      <c r="AD686"/>
    </row>
    <row r="687" spans="30:30" x14ac:dyDescent="0.25">
      <c r="AD687"/>
    </row>
    <row r="688" spans="30:30" x14ac:dyDescent="0.25">
      <c r="AD688"/>
    </row>
    <row r="689" spans="30:30" x14ac:dyDescent="0.25">
      <c r="AD689"/>
    </row>
    <row r="690" spans="30:30" x14ac:dyDescent="0.25">
      <c r="AD690"/>
    </row>
    <row r="691" spans="30:30" x14ac:dyDescent="0.25">
      <c r="AD691"/>
    </row>
    <row r="692" spans="30:30" x14ac:dyDescent="0.25">
      <c r="AD692"/>
    </row>
    <row r="693" spans="30:30" x14ac:dyDescent="0.25">
      <c r="AD693"/>
    </row>
    <row r="694" spans="30:30" x14ac:dyDescent="0.25">
      <c r="AD694"/>
    </row>
    <row r="695" spans="30:30" x14ac:dyDescent="0.25">
      <c r="AD695"/>
    </row>
    <row r="696" spans="30:30" x14ac:dyDescent="0.25">
      <c r="AD696"/>
    </row>
    <row r="697" spans="30:30" x14ac:dyDescent="0.25">
      <c r="AD697"/>
    </row>
    <row r="698" spans="30:30" x14ac:dyDescent="0.25">
      <c r="AD698"/>
    </row>
    <row r="699" spans="30:30" x14ac:dyDescent="0.25">
      <c r="AD699"/>
    </row>
    <row r="700" spans="30:30" x14ac:dyDescent="0.25">
      <c r="AD700"/>
    </row>
    <row r="701" spans="30:30" x14ac:dyDescent="0.25">
      <c r="AD701"/>
    </row>
    <row r="702" spans="30:30" x14ac:dyDescent="0.25">
      <c r="AD702"/>
    </row>
    <row r="703" spans="30:30" x14ac:dyDescent="0.25">
      <c r="AD703"/>
    </row>
    <row r="704" spans="30:30" x14ac:dyDescent="0.25">
      <c r="AD704"/>
    </row>
    <row r="705" spans="30:30" x14ac:dyDescent="0.25">
      <c r="AD705"/>
    </row>
    <row r="706" spans="30:30" x14ac:dyDescent="0.25">
      <c r="AD706"/>
    </row>
    <row r="707" spans="30:30" x14ac:dyDescent="0.25">
      <c r="AD707"/>
    </row>
    <row r="708" spans="30:30" x14ac:dyDescent="0.25">
      <c r="AD708"/>
    </row>
    <row r="709" spans="30:30" x14ac:dyDescent="0.25">
      <c r="AD709"/>
    </row>
    <row r="710" spans="30:30" x14ac:dyDescent="0.25">
      <c r="AD710"/>
    </row>
    <row r="711" spans="30:30" x14ac:dyDescent="0.25">
      <c r="AD711"/>
    </row>
    <row r="712" spans="30:30" x14ac:dyDescent="0.25">
      <c r="AD712"/>
    </row>
    <row r="713" spans="30:30" x14ac:dyDescent="0.25">
      <c r="AD713"/>
    </row>
    <row r="714" spans="30:30" x14ac:dyDescent="0.25">
      <c r="AD714"/>
    </row>
    <row r="715" spans="30:30" x14ac:dyDescent="0.25">
      <c r="AD715"/>
    </row>
    <row r="716" spans="30:30" x14ac:dyDescent="0.25">
      <c r="AD716"/>
    </row>
    <row r="717" spans="30:30" x14ac:dyDescent="0.25">
      <c r="AD717"/>
    </row>
    <row r="718" spans="30:30" x14ac:dyDescent="0.25">
      <c r="AD718"/>
    </row>
    <row r="719" spans="30:30" x14ac:dyDescent="0.25">
      <c r="AD719"/>
    </row>
    <row r="720" spans="30:30" x14ac:dyDescent="0.25">
      <c r="AD720"/>
    </row>
    <row r="721" spans="30:30" x14ac:dyDescent="0.25">
      <c r="AD721"/>
    </row>
    <row r="722" spans="30:30" x14ac:dyDescent="0.25">
      <c r="AD722"/>
    </row>
    <row r="723" spans="30:30" x14ac:dyDescent="0.25">
      <c r="AD723"/>
    </row>
    <row r="724" spans="30:30" x14ac:dyDescent="0.25">
      <c r="AD724"/>
    </row>
    <row r="725" spans="30:30" x14ac:dyDescent="0.25">
      <c r="AD725"/>
    </row>
    <row r="726" spans="30:30" x14ac:dyDescent="0.25">
      <c r="AD726"/>
    </row>
    <row r="727" spans="30:30" x14ac:dyDescent="0.25">
      <c r="AD727"/>
    </row>
    <row r="728" spans="30:30" x14ac:dyDescent="0.25">
      <c r="AD728"/>
    </row>
    <row r="729" spans="30:30" x14ac:dyDescent="0.25">
      <c r="AD729"/>
    </row>
    <row r="730" spans="30:30" x14ac:dyDescent="0.25">
      <c r="AD730"/>
    </row>
    <row r="731" spans="30:30" x14ac:dyDescent="0.25">
      <c r="AD731"/>
    </row>
    <row r="732" spans="30:30" x14ac:dyDescent="0.25">
      <c r="AD732"/>
    </row>
    <row r="733" spans="30:30" x14ac:dyDescent="0.25">
      <c r="AD733"/>
    </row>
    <row r="734" spans="30:30" x14ac:dyDescent="0.25">
      <c r="AD734"/>
    </row>
    <row r="735" spans="30:30" x14ac:dyDescent="0.25">
      <c r="AD735"/>
    </row>
    <row r="736" spans="30:30" x14ac:dyDescent="0.25">
      <c r="AD736"/>
    </row>
    <row r="737" spans="30:30" x14ac:dyDescent="0.25">
      <c r="AD737"/>
    </row>
    <row r="738" spans="30:30" x14ac:dyDescent="0.25">
      <c r="AD738"/>
    </row>
    <row r="739" spans="30:30" x14ac:dyDescent="0.25">
      <c r="AD739"/>
    </row>
    <row r="740" spans="30:30" x14ac:dyDescent="0.25">
      <c r="AD740"/>
    </row>
    <row r="741" spans="30:30" x14ac:dyDescent="0.25">
      <c r="AD741"/>
    </row>
    <row r="742" spans="30:30" x14ac:dyDescent="0.25">
      <c r="AD742"/>
    </row>
    <row r="743" spans="30:30" x14ac:dyDescent="0.25">
      <c r="AD743"/>
    </row>
    <row r="744" spans="30:30" x14ac:dyDescent="0.25">
      <c r="AD744"/>
    </row>
    <row r="745" spans="30:30" x14ac:dyDescent="0.25">
      <c r="AD745"/>
    </row>
    <row r="746" spans="30:30" x14ac:dyDescent="0.25">
      <c r="AD746"/>
    </row>
    <row r="747" spans="30:30" x14ac:dyDescent="0.25">
      <c r="AD747"/>
    </row>
    <row r="748" spans="30:30" x14ac:dyDescent="0.25">
      <c r="AD748"/>
    </row>
    <row r="749" spans="30:30" x14ac:dyDescent="0.25">
      <c r="AD749"/>
    </row>
    <row r="750" spans="30:30" x14ac:dyDescent="0.25">
      <c r="AD750"/>
    </row>
    <row r="751" spans="30:30" x14ac:dyDescent="0.25">
      <c r="AD751"/>
    </row>
    <row r="752" spans="30:30" x14ac:dyDescent="0.25">
      <c r="AD752"/>
    </row>
    <row r="753" spans="30:30" x14ac:dyDescent="0.25">
      <c r="AD753"/>
    </row>
    <row r="754" spans="30:30" x14ac:dyDescent="0.25">
      <c r="AD754"/>
    </row>
    <row r="755" spans="30:30" x14ac:dyDescent="0.25">
      <c r="AD755"/>
    </row>
    <row r="756" spans="30:30" x14ac:dyDescent="0.25">
      <c r="AD756"/>
    </row>
    <row r="757" spans="30:30" x14ac:dyDescent="0.25">
      <c r="AD757"/>
    </row>
    <row r="758" spans="30:30" x14ac:dyDescent="0.25">
      <c r="AD758"/>
    </row>
    <row r="759" spans="30:30" x14ac:dyDescent="0.25">
      <c r="AD759"/>
    </row>
    <row r="760" spans="30:30" x14ac:dyDescent="0.25">
      <c r="AD760"/>
    </row>
    <row r="761" spans="30:30" x14ac:dyDescent="0.25">
      <c r="AD761"/>
    </row>
    <row r="762" spans="30:30" x14ac:dyDescent="0.25">
      <c r="AD762"/>
    </row>
    <row r="763" spans="30:30" x14ac:dyDescent="0.25">
      <c r="AD763"/>
    </row>
    <row r="764" spans="30:30" x14ac:dyDescent="0.25">
      <c r="AD764"/>
    </row>
    <row r="765" spans="30:30" x14ac:dyDescent="0.25">
      <c r="AD765"/>
    </row>
    <row r="766" spans="30:30" x14ac:dyDescent="0.25">
      <c r="AD766"/>
    </row>
    <row r="767" spans="30:30" x14ac:dyDescent="0.25">
      <c r="AD767"/>
    </row>
    <row r="768" spans="30:30" x14ac:dyDescent="0.25">
      <c r="AD768"/>
    </row>
    <row r="769" spans="30:30" x14ac:dyDescent="0.25">
      <c r="AD769"/>
    </row>
    <row r="770" spans="30:30" x14ac:dyDescent="0.25">
      <c r="AD770"/>
    </row>
    <row r="771" spans="30:30" x14ac:dyDescent="0.25">
      <c r="AD771"/>
    </row>
    <row r="772" spans="30:30" x14ac:dyDescent="0.25">
      <c r="AD772"/>
    </row>
    <row r="773" spans="30:30" x14ac:dyDescent="0.25">
      <c r="AD773"/>
    </row>
    <row r="774" spans="30:30" x14ac:dyDescent="0.25">
      <c r="AD774"/>
    </row>
    <row r="775" spans="30:30" x14ac:dyDescent="0.25">
      <c r="AD775"/>
    </row>
    <row r="776" spans="30:30" x14ac:dyDescent="0.25">
      <c r="AD776"/>
    </row>
    <row r="777" spans="30:30" x14ac:dyDescent="0.25">
      <c r="AD777"/>
    </row>
    <row r="778" spans="30:30" x14ac:dyDescent="0.25">
      <c r="AD778"/>
    </row>
    <row r="779" spans="30:30" x14ac:dyDescent="0.25">
      <c r="AD779"/>
    </row>
    <row r="780" spans="30:30" x14ac:dyDescent="0.25">
      <c r="AD780"/>
    </row>
    <row r="781" spans="30:30" x14ac:dyDescent="0.25">
      <c r="AD781"/>
    </row>
    <row r="782" spans="30:30" x14ac:dyDescent="0.25">
      <c r="AD782"/>
    </row>
    <row r="783" spans="30:30" x14ac:dyDescent="0.25">
      <c r="AD783"/>
    </row>
    <row r="784" spans="30:30" x14ac:dyDescent="0.25">
      <c r="AD784"/>
    </row>
    <row r="785" spans="30:30" x14ac:dyDescent="0.25">
      <c r="AD785"/>
    </row>
    <row r="786" spans="30:30" x14ac:dyDescent="0.25">
      <c r="AD786"/>
    </row>
    <row r="787" spans="30:30" x14ac:dyDescent="0.25">
      <c r="AD787"/>
    </row>
    <row r="788" spans="30:30" x14ac:dyDescent="0.25">
      <c r="AD788"/>
    </row>
    <row r="789" spans="30:30" x14ac:dyDescent="0.25">
      <c r="AD789"/>
    </row>
    <row r="790" spans="30:30" x14ac:dyDescent="0.25">
      <c r="AD790"/>
    </row>
    <row r="791" spans="30:30" x14ac:dyDescent="0.25">
      <c r="AD791"/>
    </row>
    <row r="792" spans="30:30" x14ac:dyDescent="0.25">
      <c r="AD792"/>
    </row>
    <row r="793" spans="30:30" x14ac:dyDescent="0.25">
      <c r="AD793"/>
    </row>
    <row r="794" spans="30:30" x14ac:dyDescent="0.25">
      <c r="AD794"/>
    </row>
    <row r="795" spans="30:30" x14ac:dyDescent="0.25">
      <c r="AD795"/>
    </row>
    <row r="796" spans="30:30" x14ac:dyDescent="0.25">
      <c r="AD796"/>
    </row>
    <row r="797" spans="30:30" x14ac:dyDescent="0.25">
      <c r="AD797"/>
    </row>
    <row r="798" spans="30:30" x14ac:dyDescent="0.25">
      <c r="AD798"/>
    </row>
    <row r="799" spans="30:30" x14ac:dyDescent="0.25">
      <c r="AD799"/>
    </row>
    <row r="800" spans="30:30" x14ac:dyDescent="0.25">
      <c r="AD800"/>
    </row>
    <row r="801" spans="30:30" x14ac:dyDescent="0.25">
      <c r="AD801"/>
    </row>
    <row r="802" spans="30:30" x14ac:dyDescent="0.25">
      <c r="AD802"/>
    </row>
    <row r="803" spans="30:30" x14ac:dyDescent="0.25">
      <c r="AD803"/>
    </row>
    <row r="804" spans="30:30" x14ac:dyDescent="0.25">
      <c r="AD804"/>
    </row>
    <row r="805" spans="30:30" x14ac:dyDescent="0.25">
      <c r="AD805"/>
    </row>
    <row r="806" spans="30:30" x14ac:dyDescent="0.25">
      <c r="AD806"/>
    </row>
    <row r="807" spans="30:30" x14ac:dyDescent="0.25">
      <c r="AD807"/>
    </row>
    <row r="808" spans="30:30" x14ac:dyDescent="0.25">
      <c r="AD808"/>
    </row>
    <row r="809" spans="30:30" x14ac:dyDescent="0.25">
      <c r="AD809"/>
    </row>
    <row r="810" spans="30:30" x14ac:dyDescent="0.25">
      <c r="AD810"/>
    </row>
    <row r="811" spans="30:30" x14ac:dyDescent="0.25">
      <c r="AD811"/>
    </row>
    <row r="812" spans="30:30" x14ac:dyDescent="0.25">
      <c r="AD812"/>
    </row>
    <row r="813" spans="30:30" x14ac:dyDescent="0.25">
      <c r="AD813"/>
    </row>
    <row r="814" spans="30:30" x14ac:dyDescent="0.25">
      <c r="AD814"/>
    </row>
    <row r="815" spans="30:30" x14ac:dyDescent="0.25">
      <c r="AD815"/>
    </row>
    <row r="816" spans="30:30" x14ac:dyDescent="0.25">
      <c r="AD816"/>
    </row>
    <row r="817" spans="30:30" x14ac:dyDescent="0.25">
      <c r="AD817"/>
    </row>
    <row r="818" spans="30:30" x14ac:dyDescent="0.25">
      <c r="AD818"/>
    </row>
    <row r="819" spans="30:30" x14ac:dyDescent="0.25">
      <c r="AD819"/>
    </row>
    <row r="820" spans="30:30" x14ac:dyDescent="0.25">
      <c r="AD820"/>
    </row>
    <row r="821" spans="30:30" x14ac:dyDescent="0.25">
      <c r="AD821"/>
    </row>
    <row r="822" spans="30:30" x14ac:dyDescent="0.25">
      <c r="AD822"/>
    </row>
    <row r="823" spans="30:30" x14ac:dyDescent="0.25">
      <c r="AD823"/>
    </row>
    <row r="824" spans="30:30" x14ac:dyDescent="0.25">
      <c r="AD824"/>
    </row>
    <row r="825" spans="30:30" x14ac:dyDescent="0.25">
      <c r="AD825"/>
    </row>
    <row r="826" spans="30:30" x14ac:dyDescent="0.25">
      <c r="AD826"/>
    </row>
    <row r="827" spans="30:30" x14ac:dyDescent="0.25">
      <c r="AD827"/>
    </row>
    <row r="828" spans="30:30" x14ac:dyDescent="0.25">
      <c r="AD828"/>
    </row>
    <row r="829" spans="30:30" x14ac:dyDescent="0.25">
      <c r="AD829"/>
    </row>
    <row r="830" spans="30:30" x14ac:dyDescent="0.25">
      <c r="AD830"/>
    </row>
    <row r="831" spans="30:30" x14ac:dyDescent="0.25">
      <c r="AD831"/>
    </row>
    <row r="832" spans="30:30" x14ac:dyDescent="0.25">
      <c r="AD832"/>
    </row>
    <row r="833" spans="30:30" x14ac:dyDescent="0.25">
      <c r="AD833"/>
    </row>
    <row r="834" spans="30:30" x14ac:dyDescent="0.25">
      <c r="AD834"/>
    </row>
    <row r="835" spans="30:30" x14ac:dyDescent="0.25">
      <c r="AD835"/>
    </row>
    <row r="836" spans="30:30" x14ac:dyDescent="0.25">
      <c r="AD836"/>
    </row>
    <row r="837" spans="30:30" x14ac:dyDescent="0.25">
      <c r="AD837"/>
    </row>
    <row r="838" spans="30:30" x14ac:dyDescent="0.25">
      <c r="AD838"/>
    </row>
    <row r="839" spans="30:30" x14ac:dyDescent="0.25">
      <c r="AD839"/>
    </row>
    <row r="840" spans="30:30" x14ac:dyDescent="0.25">
      <c r="AD840"/>
    </row>
    <row r="841" spans="30:30" x14ac:dyDescent="0.25">
      <c r="AD841"/>
    </row>
    <row r="842" spans="30:30" x14ac:dyDescent="0.25">
      <c r="AD842"/>
    </row>
    <row r="843" spans="30:30" x14ac:dyDescent="0.25">
      <c r="AD843"/>
    </row>
    <row r="844" spans="30:30" x14ac:dyDescent="0.25">
      <c r="AD844"/>
    </row>
    <row r="845" spans="30:30" x14ac:dyDescent="0.25">
      <c r="AD845"/>
    </row>
    <row r="846" spans="30:30" x14ac:dyDescent="0.25">
      <c r="AD846"/>
    </row>
    <row r="847" spans="30:30" x14ac:dyDescent="0.25">
      <c r="AD847"/>
    </row>
    <row r="848" spans="30:30" x14ac:dyDescent="0.25">
      <c r="AD848"/>
    </row>
    <row r="849" spans="30:30" x14ac:dyDescent="0.25">
      <c r="AD849"/>
    </row>
    <row r="850" spans="30:30" x14ac:dyDescent="0.25">
      <c r="AD850"/>
    </row>
    <row r="851" spans="30:30" x14ac:dyDescent="0.25">
      <c r="AD851"/>
    </row>
    <row r="852" spans="30:30" x14ac:dyDescent="0.25">
      <c r="AD852"/>
    </row>
    <row r="853" spans="30:30" x14ac:dyDescent="0.25">
      <c r="AD853"/>
    </row>
    <row r="854" spans="30:30" x14ac:dyDescent="0.25">
      <c r="AD854"/>
    </row>
    <row r="855" spans="30:30" x14ac:dyDescent="0.25">
      <c r="AD855"/>
    </row>
    <row r="856" spans="30:30" x14ac:dyDescent="0.25">
      <c r="AD856"/>
    </row>
    <row r="857" spans="30:30" x14ac:dyDescent="0.25">
      <c r="AD857"/>
    </row>
    <row r="858" spans="30:30" x14ac:dyDescent="0.25">
      <c r="AD858"/>
    </row>
    <row r="859" spans="30:30" x14ac:dyDescent="0.25">
      <c r="AD859"/>
    </row>
    <row r="860" spans="30:30" x14ac:dyDescent="0.25">
      <c r="AD860"/>
    </row>
    <row r="861" spans="30:30" x14ac:dyDescent="0.25">
      <c r="AD861"/>
    </row>
    <row r="862" spans="30:30" x14ac:dyDescent="0.25">
      <c r="AD862"/>
    </row>
    <row r="863" spans="30:30" x14ac:dyDescent="0.25">
      <c r="AD863"/>
    </row>
    <row r="864" spans="30:30" x14ac:dyDescent="0.25">
      <c r="AD864"/>
    </row>
    <row r="865" spans="30:30" x14ac:dyDescent="0.25">
      <c r="AD865"/>
    </row>
    <row r="866" spans="30:30" x14ac:dyDescent="0.25">
      <c r="AD866"/>
    </row>
    <row r="867" spans="30:30" x14ac:dyDescent="0.25">
      <c r="AD867"/>
    </row>
    <row r="868" spans="30:30" x14ac:dyDescent="0.25">
      <c r="AD868"/>
    </row>
    <row r="869" spans="30:30" x14ac:dyDescent="0.25">
      <c r="AD869"/>
    </row>
    <row r="870" spans="30:30" x14ac:dyDescent="0.25">
      <c r="AD870"/>
    </row>
    <row r="871" spans="30:30" x14ac:dyDescent="0.25">
      <c r="AD871"/>
    </row>
    <row r="872" spans="30:30" x14ac:dyDescent="0.25">
      <c r="AD872"/>
    </row>
    <row r="873" spans="30:30" x14ac:dyDescent="0.25">
      <c r="AD873"/>
    </row>
    <row r="874" spans="30:30" x14ac:dyDescent="0.25">
      <c r="AD874"/>
    </row>
    <row r="875" spans="30:30" x14ac:dyDescent="0.25">
      <c r="AD875"/>
    </row>
    <row r="876" spans="30:30" x14ac:dyDescent="0.25">
      <c r="AD876"/>
    </row>
    <row r="877" spans="30:30" x14ac:dyDescent="0.25">
      <c r="AD877"/>
    </row>
    <row r="878" spans="30:30" x14ac:dyDescent="0.25">
      <c r="AD878"/>
    </row>
    <row r="879" spans="30:30" x14ac:dyDescent="0.25">
      <c r="AD879"/>
    </row>
    <row r="880" spans="30:30" x14ac:dyDescent="0.25">
      <c r="AD880"/>
    </row>
    <row r="881" spans="30:30" x14ac:dyDescent="0.25">
      <c r="AD881"/>
    </row>
    <row r="882" spans="30:30" x14ac:dyDescent="0.25">
      <c r="AD882"/>
    </row>
    <row r="883" spans="30:30" x14ac:dyDescent="0.25">
      <c r="AD883"/>
    </row>
    <row r="884" spans="30:30" x14ac:dyDescent="0.25">
      <c r="AD884"/>
    </row>
    <row r="885" spans="30:30" x14ac:dyDescent="0.25">
      <c r="AD885"/>
    </row>
    <row r="886" spans="30:30" x14ac:dyDescent="0.25">
      <c r="AD886"/>
    </row>
    <row r="887" spans="30:30" x14ac:dyDescent="0.25">
      <c r="AD887"/>
    </row>
    <row r="888" spans="30:30" x14ac:dyDescent="0.25">
      <c r="AD888"/>
    </row>
    <row r="889" spans="30:30" x14ac:dyDescent="0.25">
      <c r="AD889"/>
    </row>
    <row r="890" spans="30:30" x14ac:dyDescent="0.25">
      <c r="AD890"/>
    </row>
    <row r="891" spans="30:30" x14ac:dyDescent="0.25">
      <c r="AD891"/>
    </row>
    <row r="892" spans="30:30" x14ac:dyDescent="0.25">
      <c r="AD892"/>
    </row>
    <row r="893" spans="30:30" x14ac:dyDescent="0.25">
      <c r="AD893"/>
    </row>
    <row r="894" spans="30:30" x14ac:dyDescent="0.25">
      <c r="AD894"/>
    </row>
    <row r="895" spans="30:30" x14ac:dyDescent="0.25">
      <c r="AD895"/>
    </row>
    <row r="896" spans="30:30" x14ac:dyDescent="0.25">
      <c r="AD896"/>
    </row>
    <row r="897" spans="30:30" x14ac:dyDescent="0.25">
      <c r="AD897"/>
    </row>
    <row r="898" spans="30:30" x14ac:dyDescent="0.25">
      <c r="AD898"/>
    </row>
    <row r="899" spans="30:30" x14ac:dyDescent="0.25">
      <c r="AD899"/>
    </row>
    <row r="900" spans="30:30" x14ac:dyDescent="0.25">
      <c r="AD900"/>
    </row>
    <row r="901" spans="30:30" x14ac:dyDescent="0.25">
      <c r="AD901"/>
    </row>
    <row r="902" spans="30:30" x14ac:dyDescent="0.25">
      <c r="AD902"/>
    </row>
    <row r="903" spans="30:30" x14ac:dyDescent="0.25">
      <c r="AD903"/>
    </row>
    <row r="904" spans="30:30" x14ac:dyDescent="0.25">
      <c r="AD904"/>
    </row>
    <row r="905" spans="30:30" x14ac:dyDescent="0.25">
      <c r="AD905"/>
    </row>
    <row r="906" spans="30:30" x14ac:dyDescent="0.25">
      <c r="AD906"/>
    </row>
    <row r="907" spans="30:30" x14ac:dyDescent="0.25">
      <c r="AD907"/>
    </row>
    <row r="908" spans="30:30" x14ac:dyDescent="0.25">
      <c r="AD908"/>
    </row>
    <row r="909" spans="30:30" x14ac:dyDescent="0.25">
      <c r="AD909"/>
    </row>
    <row r="910" spans="30:30" x14ac:dyDescent="0.25">
      <c r="AD910"/>
    </row>
    <row r="911" spans="30:30" x14ac:dyDescent="0.25">
      <c r="AD911"/>
    </row>
    <row r="912" spans="30:30" x14ac:dyDescent="0.25">
      <c r="AD912"/>
    </row>
    <row r="913" spans="30:30" x14ac:dyDescent="0.25">
      <c r="AD913"/>
    </row>
    <row r="914" spans="30:30" x14ac:dyDescent="0.25">
      <c r="AD914"/>
    </row>
    <row r="915" spans="30:30" x14ac:dyDescent="0.25">
      <c r="AD915"/>
    </row>
    <row r="916" spans="30:30" x14ac:dyDescent="0.25">
      <c r="AD916"/>
    </row>
    <row r="917" spans="30:30" x14ac:dyDescent="0.25">
      <c r="AD917"/>
    </row>
    <row r="918" spans="30:30" x14ac:dyDescent="0.25">
      <c r="AD918"/>
    </row>
    <row r="919" spans="30:30" x14ac:dyDescent="0.25">
      <c r="AD919"/>
    </row>
    <row r="920" spans="30:30" x14ac:dyDescent="0.25">
      <c r="AD920"/>
    </row>
    <row r="921" spans="30:30" x14ac:dyDescent="0.25">
      <c r="AD921"/>
    </row>
    <row r="922" spans="30:30" x14ac:dyDescent="0.25">
      <c r="AD922"/>
    </row>
    <row r="923" spans="30:30" x14ac:dyDescent="0.25">
      <c r="AD923"/>
    </row>
    <row r="924" spans="30:30" x14ac:dyDescent="0.25">
      <c r="AD924"/>
    </row>
    <row r="925" spans="30:30" x14ac:dyDescent="0.25">
      <c r="AD925"/>
    </row>
    <row r="926" spans="30:30" x14ac:dyDescent="0.25">
      <c r="AD926"/>
    </row>
    <row r="927" spans="30:30" x14ac:dyDescent="0.25">
      <c r="AD927"/>
    </row>
    <row r="928" spans="30:30" x14ac:dyDescent="0.25">
      <c r="AD928"/>
    </row>
    <row r="929" spans="30:30" x14ac:dyDescent="0.25">
      <c r="AD929"/>
    </row>
    <row r="930" spans="30:30" x14ac:dyDescent="0.25">
      <c r="AD930"/>
    </row>
    <row r="931" spans="30:30" x14ac:dyDescent="0.25">
      <c r="AD931"/>
    </row>
    <row r="932" spans="30:30" x14ac:dyDescent="0.25">
      <c r="AD932"/>
    </row>
    <row r="933" spans="30:30" x14ac:dyDescent="0.25">
      <c r="AD933"/>
    </row>
    <row r="934" spans="30:30" x14ac:dyDescent="0.25">
      <c r="AD934"/>
    </row>
    <row r="935" spans="30:30" x14ac:dyDescent="0.25">
      <c r="AD935"/>
    </row>
    <row r="936" spans="30:30" x14ac:dyDescent="0.25">
      <c r="AD936"/>
    </row>
    <row r="937" spans="30:30" x14ac:dyDescent="0.25">
      <c r="AD937"/>
    </row>
    <row r="938" spans="30:30" x14ac:dyDescent="0.25">
      <c r="AD938"/>
    </row>
    <row r="939" spans="30:30" x14ac:dyDescent="0.25">
      <c r="AD939"/>
    </row>
    <row r="940" spans="30:30" x14ac:dyDescent="0.25">
      <c r="AD940"/>
    </row>
    <row r="941" spans="30:30" x14ac:dyDescent="0.25">
      <c r="AD941"/>
    </row>
    <row r="942" spans="30:30" x14ac:dyDescent="0.25">
      <c r="AD942"/>
    </row>
    <row r="943" spans="30:30" x14ac:dyDescent="0.25">
      <c r="AD943"/>
    </row>
    <row r="944" spans="30:30" x14ac:dyDescent="0.25">
      <c r="AD944"/>
    </row>
    <row r="945" spans="30:30" x14ac:dyDescent="0.25">
      <c r="AD945"/>
    </row>
    <row r="946" spans="30:30" x14ac:dyDescent="0.25">
      <c r="AD946"/>
    </row>
    <row r="947" spans="30:30" x14ac:dyDescent="0.25">
      <c r="AD947"/>
    </row>
    <row r="948" spans="30:30" x14ac:dyDescent="0.25">
      <c r="AD948"/>
    </row>
    <row r="949" spans="30:30" x14ac:dyDescent="0.25">
      <c r="AD949"/>
    </row>
    <row r="950" spans="30:30" x14ac:dyDescent="0.25">
      <c r="AD950"/>
    </row>
    <row r="951" spans="30:30" x14ac:dyDescent="0.25">
      <c r="AD951"/>
    </row>
    <row r="952" spans="30:30" x14ac:dyDescent="0.25">
      <c r="AD952"/>
    </row>
    <row r="953" spans="30:30" x14ac:dyDescent="0.25">
      <c r="AD953"/>
    </row>
    <row r="954" spans="30:30" x14ac:dyDescent="0.25">
      <c r="AD954"/>
    </row>
    <row r="955" spans="30:30" x14ac:dyDescent="0.25">
      <c r="AD955"/>
    </row>
    <row r="956" spans="30:30" x14ac:dyDescent="0.25">
      <c r="AD956"/>
    </row>
    <row r="957" spans="30:30" x14ac:dyDescent="0.25">
      <c r="AD957"/>
    </row>
    <row r="958" spans="30:30" x14ac:dyDescent="0.25">
      <c r="AD958"/>
    </row>
    <row r="959" spans="30:30" x14ac:dyDescent="0.25">
      <c r="AD959"/>
    </row>
    <row r="960" spans="30:30" x14ac:dyDescent="0.25">
      <c r="AD960"/>
    </row>
    <row r="961" spans="30:30" x14ac:dyDescent="0.25">
      <c r="AD961"/>
    </row>
    <row r="962" spans="30:30" x14ac:dyDescent="0.25">
      <c r="AD962"/>
    </row>
    <row r="963" spans="30:30" x14ac:dyDescent="0.25">
      <c r="AD963"/>
    </row>
    <row r="964" spans="30:30" x14ac:dyDescent="0.25">
      <c r="AD964"/>
    </row>
    <row r="965" spans="30:30" x14ac:dyDescent="0.25">
      <c r="AD965"/>
    </row>
    <row r="966" spans="30:30" x14ac:dyDescent="0.25">
      <c r="AD966"/>
    </row>
    <row r="967" spans="30:30" x14ac:dyDescent="0.25">
      <c r="AD967"/>
    </row>
    <row r="968" spans="30:30" x14ac:dyDescent="0.25">
      <c r="AD968"/>
    </row>
    <row r="969" spans="30:30" x14ac:dyDescent="0.25">
      <c r="AD969"/>
    </row>
    <row r="970" spans="30:30" x14ac:dyDescent="0.25">
      <c r="AD970"/>
    </row>
    <row r="971" spans="30:30" x14ac:dyDescent="0.25">
      <c r="AD971"/>
    </row>
    <row r="972" spans="30:30" x14ac:dyDescent="0.25">
      <c r="AD972"/>
    </row>
    <row r="973" spans="30:30" x14ac:dyDescent="0.25">
      <c r="AD973"/>
    </row>
    <row r="974" spans="30:30" x14ac:dyDescent="0.25">
      <c r="AD974"/>
    </row>
    <row r="975" spans="30:30" x14ac:dyDescent="0.25">
      <c r="AD975"/>
    </row>
    <row r="976" spans="30:30" x14ac:dyDescent="0.25">
      <c r="AD976"/>
    </row>
    <row r="977" spans="30:30" x14ac:dyDescent="0.25">
      <c r="AD977"/>
    </row>
    <row r="978" spans="30:30" x14ac:dyDescent="0.25">
      <c r="AD978"/>
    </row>
    <row r="979" spans="30:30" x14ac:dyDescent="0.25">
      <c r="AD979"/>
    </row>
    <row r="980" spans="30:30" x14ac:dyDescent="0.25">
      <c r="AD980"/>
    </row>
    <row r="981" spans="30:30" x14ac:dyDescent="0.25">
      <c r="AD981"/>
    </row>
    <row r="982" spans="30:30" x14ac:dyDescent="0.25">
      <c r="AD982"/>
    </row>
    <row r="983" spans="30:30" x14ac:dyDescent="0.25">
      <c r="AD983"/>
    </row>
    <row r="984" spans="30:30" x14ac:dyDescent="0.25">
      <c r="AD984"/>
    </row>
    <row r="985" spans="30:30" x14ac:dyDescent="0.25">
      <c r="AD985"/>
    </row>
    <row r="986" spans="30:30" x14ac:dyDescent="0.25">
      <c r="AD986"/>
    </row>
    <row r="987" spans="30:30" x14ac:dyDescent="0.25">
      <c r="AD987"/>
    </row>
    <row r="988" spans="30:30" x14ac:dyDescent="0.25">
      <c r="AD988"/>
    </row>
    <row r="989" spans="30:30" x14ac:dyDescent="0.25">
      <c r="AD989"/>
    </row>
    <row r="990" spans="30:30" x14ac:dyDescent="0.25">
      <c r="AD990"/>
    </row>
    <row r="991" spans="30:30" x14ac:dyDescent="0.25">
      <c r="AD991"/>
    </row>
    <row r="992" spans="30:30" x14ac:dyDescent="0.25">
      <c r="AD992"/>
    </row>
    <row r="993" spans="30:30" x14ac:dyDescent="0.25">
      <c r="AD993"/>
    </row>
    <row r="994" spans="30:30" x14ac:dyDescent="0.25">
      <c r="AD994"/>
    </row>
    <row r="995" spans="30:30" x14ac:dyDescent="0.25">
      <c r="AD995"/>
    </row>
    <row r="996" spans="30:30" x14ac:dyDescent="0.25">
      <c r="AD996"/>
    </row>
    <row r="997" spans="30:30" x14ac:dyDescent="0.25">
      <c r="AD997"/>
    </row>
    <row r="998" spans="30:30" x14ac:dyDescent="0.25">
      <c r="AD998"/>
    </row>
    <row r="999" spans="30:30" x14ac:dyDescent="0.25">
      <c r="AD999"/>
    </row>
    <row r="1000" spans="30:30" x14ac:dyDescent="0.25">
      <c r="AD1000"/>
    </row>
    <row r="1001" spans="30:30" x14ac:dyDescent="0.25">
      <c r="AD1001"/>
    </row>
    <row r="1002" spans="30:30" x14ac:dyDescent="0.25">
      <c r="AD1002"/>
    </row>
    <row r="1003" spans="30:30" x14ac:dyDescent="0.25">
      <c r="AD1003"/>
    </row>
    <row r="1004" spans="30:30" x14ac:dyDescent="0.25">
      <c r="AD1004"/>
    </row>
    <row r="1005" spans="30:30" x14ac:dyDescent="0.25">
      <c r="AD1005"/>
    </row>
    <row r="1006" spans="30:30" x14ac:dyDescent="0.25">
      <c r="AD1006"/>
    </row>
    <row r="1007" spans="30:30" x14ac:dyDescent="0.25">
      <c r="AD1007"/>
    </row>
    <row r="1008" spans="30:30" x14ac:dyDescent="0.25">
      <c r="AD1008"/>
    </row>
    <row r="1009" spans="30:30" x14ac:dyDescent="0.25">
      <c r="AD1009"/>
    </row>
    <row r="1010" spans="30:30" x14ac:dyDescent="0.25">
      <c r="AD1010"/>
    </row>
    <row r="1011" spans="30:30" x14ac:dyDescent="0.25">
      <c r="AD1011"/>
    </row>
    <row r="1012" spans="30:30" x14ac:dyDescent="0.25">
      <c r="AD1012"/>
    </row>
    <row r="1013" spans="30:30" x14ac:dyDescent="0.25">
      <c r="AD1013"/>
    </row>
    <row r="1014" spans="30:30" x14ac:dyDescent="0.25">
      <c r="AD1014"/>
    </row>
    <row r="1015" spans="30:30" x14ac:dyDescent="0.25">
      <c r="AD1015"/>
    </row>
    <row r="1016" spans="30:30" x14ac:dyDescent="0.25">
      <c r="AD1016"/>
    </row>
    <row r="1017" spans="30:30" x14ac:dyDescent="0.25">
      <c r="AD1017"/>
    </row>
    <row r="1018" spans="30:30" x14ac:dyDescent="0.25">
      <c r="AD1018"/>
    </row>
    <row r="1019" spans="30:30" x14ac:dyDescent="0.25">
      <c r="AD1019"/>
    </row>
    <row r="1020" spans="30:30" x14ac:dyDescent="0.25">
      <c r="AD1020"/>
    </row>
    <row r="1021" spans="30:30" x14ac:dyDescent="0.25">
      <c r="AD1021"/>
    </row>
    <row r="1022" spans="30:30" x14ac:dyDescent="0.25">
      <c r="AD1022"/>
    </row>
    <row r="1023" spans="30:30" x14ac:dyDescent="0.25">
      <c r="AD1023"/>
    </row>
    <row r="1024" spans="30:30" x14ac:dyDescent="0.25">
      <c r="AD1024"/>
    </row>
    <row r="1025" spans="30:30" x14ac:dyDescent="0.25">
      <c r="AD1025"/>
    </row>
    <row r="1026" spans="30:30" x14ac:dyDescent="0.25">
      <c r="AD1026"/>
    </row>
    <row r="1027" spans="30:30" x14ac:dyDescent="0.25">
      <c r="AD1027"/>
    </row>
    <row r="1028" spans="30:30" x14ac:dyDescent="0.25">
      <c r="AD1028"/>
    </row>
    <row r="1029" spans="30:30" x14ac:dyDescent="0.25">
      <c r="AD1029"/>
    </row>
    <row r="1030" spans="30:30" x14ac:dyDescent="0.25">
      <c r="AD1030"/>
    </row>
    <row r="1031" spans="30:30" x14ac:dyDescent="0.25">
      <c r="AD1031"/>
    </row>
    <row r="1032" spans="30:30" x14ac:dyDescent="0.25">
      <c r="AD1032"/>
    </row>
    <row r="1033" spans="30:30" x14ac:dyDescent="0.25">
      <c r="AD1033"/>
    </row>
    <row r="1034" spans="30:30" x14ac:dyDescent="0.25">
      <c r="AD1034"/>
    </row>
    <row r="1035" spans="30:30" x14ac:dyDescent="0.25">
      <c r="AD1035"/>
    </row>
    <row r="1036" spans="30:30" x14ac:dyDescent="0.25">
      <c r="AD1036"/>
    </row>
    <row r="1037" spans="30:30" x14ac:dyDescent="0.25">
      <c r="AD1037"/>
    </row>
    <row r="1038" spans="30:30" x14ac:dyDescent="0.25">
      <c r="AD1038"/>
    </row>
    <row r="1039" spans="30:30" x14ac:dyDescent="0.25">
      <c r="AD1039"/>
    </row>
    <row r="1040" spans="30:30" x14ac:dyDescent="0.25">
      <c r="AD1040"/>
    </row>
    <row r="1041" spans="30:30" x14ac:dyDescent="0.25">
      <c r="AD1041"/>
    </row>
    <row r="1042" spans="30:30" x14ac:dyDescent="0.25">
      <c r="AD1042"/>
    </row>
    <row r="1043" spans="30:30" x14ac:dyDescent="0.25">
      <c r="AD1043"/>
    </row>
    <row r="1044" spans="30:30" x14ac:dyDescent="0.25">
      <c r="AD1044"/>
    </row>
    <row r="1045" spans="30:30" x14ac:dyDescent="0.25">
      <c r="AD1045"/>
    </row>
    <row r="1046" spans="30:30" x14ac:dyDescent="0.25">
      <c r="AD1046"/>
    </row>
    <row r="1047" spans="30:30" x14ac:dyDescent="0.25">
      <c r="AD1047"/>
    </row>
    <row r="1048" spans="30:30" x14ac:dyDescent="0.25">
      <c r="AD1048"/>
    </row>
    <row r="1049" spans="30:30" x14ac:dyDescent="0.25">
      <c r="AD1049"/>
    </row>
    <row r="1050" spans="30:30" x14ac:dyDescent="0.25">
      <c r="AD1050"/>
    </row>
    <row r="1051" spans="30:30" x14ac:dyDescent="0.25">
      <c r="AD1051"/>
    </row>
    <row r="1052" spans="30:30" x14ac:dyDescent="0.25">
      <c r="AD1052"/>
    </row>
    <row r="1053" spans="30:30" x14ac:dyDescent="0.25">
      <c r="AD1053"/>
    </row>
    <row r="1054" spans="30:30" x14ac:dyDescent="0.25">
      <c r="AD1054"/>
    </row>
    <row r="1055" spans="30:30" x14ac:dyDescent="0.25">
      <c r="AD1055"/>
    </row>
    <row r="1056" spans="30:30" x14ac:dyDescent="0.25">
      <c r="AD1056"/>
    </row>
    <row r="1057" spans="30:30" x14ac:dyDescent="0.25">
      <c r="AD1057"/>
    </row>
    <row r="1058" spans="30:30" x14ac:dyDescent="0.25">
      <c r="AD1058"/>
    </row>
    <row r="1059" spans="30:30" x14ac:dyDescent="0.25">
      <c r="AD1059"/>
    </row>
    <row r="1060" spans="30:30" x14ac:dyDescent="0.25">
      <c r="AD1060"/>
    </row>
    <row r="1061" spans="30:30" x14ac:dyDescent="0.25">
      <c r="AD1061"/>
    </row>
    <row r="1062" spans="30:30" x14ac:dyDescent="0.25">
      <c r="AD1062"/>
    </row>
    <row r="1063" spans="30:30" x14ac:dyDescent="0.25">
      <c r="AD1063"/>
    </row>
    <row r="1064" spans="30:30" x14ac:dyDescent="0.25">
      <c r="AD1064"/>
    </row>
    <row r="1065" spans="30:30" x14ac:dyDescent="0.25">
      <c r="AD1065"/>
    </row>
    <row r="1066" spans="30:30" x14ac:dyDescent="0.25">
      <c r="AD1066"/>
    </row>
    <row r="1067" spans="30:30" x14ac:dyDescent="0.25">
      <c r="AD1067"/>
    </row>
    <row r="1068" spans="30:30" x14ac:dyDescent="0.25">
      <c r="AD1068"/>
    </row>
    <row r="1069" spans="30:30" x14ac:dyDescent="0.25">
      <c r="AD1069"/>
    </row>
    <row r="1070" spans="30:30" x14ac:dyDescent="0.25">
      <c r="AD1070"/>
    </row>
    <row r="1071" spans="30:30" x14ac:dyDescent="0.25">
      <c r="AD1071"/>
    </row>
    <row r="1072" spans="30:30" x14ac:dyDescent="0.25">
      <c r="AD1072"/>
    </row>
    <row r="1073" spans="30:30" x14ac:dyDescent="0.25">
      <c r="AD1073"/>
    </row>
    <row r="1074" spans="30:30" x14ac:dyDescent="0.25">
      <c r="AD1074"/>
    </row>
    <row r="1075" spans="30:30" x14ac:dyDescent="0.25">
      <c r="AD1075"/>
    </row>
    <row r="1076" spans="30:30" x14ac:dyDescent="0.25">
      <c r="AD1076"/>
    </row>
    <row r="1077" spans="30:30" x14ac:dyDescent="0.25">
      <c r="AD1077"/>
    </row>
    <row r="1078" spans="30:30" x14ac:dyDescent="0.25">
      <c r="AD1078"/>
    </row>
    <row r="1079" spans="30:30" x14ac:dyDescent="0.25">
      <c r="AD1079"/>
    </row>
    <row r="1080" spans="30:30" x14ac:dyDescent="0.25">
      <c r="AD1080"/>
    </row>
    <row r="1081" spans="30:30" x14ac:dyDescent="0.25">
      <c r="AD1081"/>
    </row>
    <row r="1082" spans="30:30" x14ac:dyDescent="0.25">
      <c r="AD1082"/>
    </row>
    <row r="1083" spans="30:30" x14ac:dyDescent="0.25">
      <c r="AD1083"/>
    </row>
    <row r="1084" spans="30:30" x14ac:dyDescent="0.25">
      <c r="AD1084"/>
    </row>
    <row r="1085" spans="30:30" x14ac:dyDescent="0.25">
      <c r="AD1085"/>
    </row>
    <row r="1086" spans="30:30" x14ac:dyDescent="0.25">
      <c r="AD1086"/>
    </row>
    <row r="1087" spans="30:30" x14ac:dyDescent="0.25">
      <c r="AD1087"/>
    </row>
    <row r="1088" spans="30:30" x14ac:dyDescent="0.25">
      <c r="AD1088"/>
    </row>
    <row r="1089" spans="30:30" x14ac:dyDescent="0.25">
      <c r="AD1089"/>
    </row>
    <row r="1090" spans="30:30" x14ac:dyDescent="0.25">
      <c r="AD1090"/>
    </row>
    <row r="1091" spans="30:30" x14ac:dyDescent="0.25">
      <c r="AD1091"/>
    </row>
    <row r="1092" spans="30:30" x14ac:dyDescent="0.25">
      <c r="AD1092"/>
    </row>
    <row r="1093" spans="30:30" x14ac:dyDescent="0.25">
      <c r="AD1093"/>
    </row>
    <row r="1094" spans="30:30" x14ac:dyDescent="0.25">
      <c r="AD1094"/>
    </row>
    <row r="1095" spans="30:30" x14ac:dyDescent="0.25">
      <c r="AD1095"/>
    </row>
    <row r="1096" spans="30:30" x14ac:dyDescent="0.25">
      <c r="AD1096"/>
    </row>
    <row r="1097" spans="30:30" x14ac:dyDescent="0.25">
      <c r="AD1097"/>
    </row>
    <row r="1098" spans="30:30" x14ac:dyDescent="0.25">
      <c r="AD1098"/>
    </row>
    <row r="1099" spans="30:30" x14ac:dyDescent="0.25">
      <c r="AD1099"/>
    </row>
    <row r="1100" spans="30:30" x14ac:dyDescent="0.25">
      <c r="AD1100"/>
    </row>
    <row r="1101" spans="30:30" x14ac:dyDescent="0.25">
      <c r="AD1101"/>
    </row>
    <row r="1102" spans="30:30" x14ac:dyDescent="0.25">
      <c r="AD1102"/>
    </row>
    <row r="1103" spans="30:30" x14ac:dyDescent="0.25">
      <c r="AD1103"/>
    </row>
    <row r="1104" spans="30:30" x14ac:dyDescent="0.25">
      <c r="AD1104"/>
    </row>
    <row r="1105" spans="30:30" x14ac:dyDescent="0.25">
      <c r="AD1105"/>
    </row>
    <row r="1106" spans="30:30" x14ac:dyDescent="0.25">
      <c r="AD1106"/>
    </row>
    <row r="1107" spans="30:30" x14ac:dyDescent="0.25">
      <c r="AD1107"/>
    </row>
    <row r="1108" spans="30:30" x14ac:dyDescent="0.25">
      <c r="AD1108"/>
    </row>
    <row r="1109" spans="30:30" x14ac:dyDescent="0.25">
      <c r="AD1109"/>
    </row>
    <row r="1110" spans="30:30" x14ac:dyDescent="0.25">
      <c r="AD1110"/>
    </row>
    <row r="1111" spans="30:30" x14ac:dyDescent="0.25">
      <c r="AD1111"/>
    </row>
    <row r="1112" spans="30:30" x14ac:dyDescent="0.25">
      <c r="AD1112"/>
    </row>
    <row r="1113" spans="30:30" x14ac:dyDescent="0.25">
      <c r="AD1113"/>
    </row>
    <row r="1114" spans="30:30" x14ac:dyDescent="0.25">
      <c r="AD1114"/>
    </row>
    <row r="1115" spans="30:30" x14ac:dyDescent="0.25">
      <c r="AD1115"/>
    </row>
    <row r="1116" spans="30:30" x14ac:dyDescent="0.25">
      <c r="AD1116"/>
    </row>
    <row r="1117" spans="30:30" x14ac:dyDescent="0.25">
      <c r="AD1117"/>
    </row>
    <row r="1118" spans="30:30" x14ac:dyDescent="0.25">
      <c r="AD1118"/>
    </row>
    <row r="1119" spans="30:30" x14ac:dyDescent="0.25">
      <c r="AD1119"/>
    </row>
    <row r="1120" spans="30:30" x14ac:dyDescent="0.25">
      <c r="AD1120"/>
    </row>
    <row r="1121" spans="30:30" x14ac:dyDescent="0.25">
      <c r="AD1121"/>
    </row>
    <row r="1122" spans="30:30" x14ac:dyDescent="0.25">
      <c r="AD1122"/>
    </row>
    <row r="1123" spans="30:30" x14ac:dyDescent="0.25">
      <c r="AD1123"/>
    </row>
    <row r="1124" spans="30:30" x14ac:dyDescent="0.25">
      <c r="AD1124"/>
    </row>
    <row r="1125" spans="30:30" x14ac:dyDescent="0.25">
      <c r="AD1125"/>
    </row>
    <row r="1126" spans="30:30" x14ac:dyDescent="0.25">
      <c r="AD1126"/>
    </row>
    <row r="1127" spans="30:30" x14ac:dyDescent="0.25">
      <c r="AD1127"/>
    </row>
    <row r="1128" spans="30:30" x14ac:dyDescent="0.25">
      <c r="AD1128"/>
    </row>
    <row r="1129" spans="30:30" x14ac:dyDescent="0.25">
      <c r="AD1129"/>
    </row>
    <row r="1130" spans="30:30" x14ac:dyDescent="0.25">
      <c r="AD1130"/>
    </row>
    <row r="1131" spans="30:30" x14ac:dyDescent="0.25">
      <c r="AD1131"/>
    </row>
    <row r="1132" spans="30:30" x14ac:dyDescent="0.25">
      <c r="AD1132"/>
    </row>
    <row r="1133" spans="30:30" x14ac:dyDescent="0.25">
      <c r="AD1133"/>
    </row>
    <row r="1134" spans="30:30" x14ac:dyDescent="0.25">
      <c r="AD1134"/>
    </row>
    <row r="1135" spans="30:30" x14ac:dyDescent="0.25">
      <c r="AD1135"/>
    </row>
    <row r="1136" spans="30:30" x14ac:dyDescent="0.25">
      <c r="AD1136"/>
    </row>
    <row r="1137" spans="30:30" x14ac:dyDescent="0.25">
      <c r="AD1137"/>
    </row>
    <row r="1138" spans="30:30" x14ac:dyDescent="0.25">
      <c r="AD1138"/>
    </row>
    <row r="1139" spans="30:30" x14ac:dyDescent="0.25">
      <c r="AD1139"/>
    </row>
    <row r="1140" spans="30:30" x14ac:dyDescent="0.25">
      <c r="AD1140"/>
    </row>
    <row r="1141" spans="30:30" x14ac:dyDescent="0.25">
      <c r="AD1141"/>
    </row>
    <row r="1142" spans="30:30" x14ac:dyDescent="0.25">
      <c r="AD1142"/>
    </row>
    <row r="1143" spans="30:30" x14ac:dyDescent="0.25">
      <c r="AD1143"/>
    </row>
    <row r="1144" spans="30:30" x14ac:dyDescent="0.25">
      <c r="AD1144"/>
    </row>
    <row r="1145" spans="30:30" x14ac:dyDescent="0.25">
      <c r="AD1145"/>
    </row>
    <row r="1146" spans="30:30" x14ac:dyDescent="0.25">
      <c r="AD1146"/>
    </row>
    <row r="1147" spans="30:30" x14ac:dyDescent="0.25">
      <c r="AD1147"/>
    </row>
    <row r="1148" spans="30:30" x14ac:dyDescent="0.25">
      <c r="AD1148"/>
    </row>
    <row r="1149" spans="30:30" x14ac:dyDescent="0.25">
      <c r="AD1149"/>
    </row>
    <row r="1150" spans="30:30" x14ac:dyDescent="0.25">
      <c r="AD1150"/>
    </row>
    <row r="1151" spans="30:30" x14ac:dyDescent="0.25">
      <c r="AD1151"/>
    </row>
    <row r="1152" spans="30:30" x14ac:dyDescent="0.25">
      <c r="AD1152"/>
    </row>
    <row r="1153" spans="30:30" x14ac:dyDescent="0.25">
      <c r="AD1153"/>
    </row>
    <row r="1154" spans="30:30" x14ac:dyDescent="0.25">
      <c r="AD1154"/>
    </row>
    <row r="1155" spans="30:30" x14ac:dyDescent="0.25">
      <c r="AD1155"/>
    </row>
    <row r="1156" spans="30:30" x14ac:dyDescent="0.25">
      <c r="AD1156"/>
    </row>
    <row r="1157" spans="30:30" x14ac:dyDescent="0.25">
      <c r="AD1157"/>
    </row>
    <row r="1158" spans="30:30" x14ac:dyDescent="0.25">
      <c r="AD1158"/>
    </row>
    <row r="1159" spans="30:30" x14ac:dyDescent="0.25">
      <c r="AD1159"/>
    </row>
    <row r="1160" spans="30:30" x14ac:dyDescent="0.25">
      <c r="AD1160"/>
    </row>
    <row r="1161" spans="30:30" x14ac:dyDescent="0.25">
      <c r="AD1161"/>
    </row>
    <row r="1162" spans="30:30" x14ac:dyDescent="0.25">
      <c r="AD1162"/>
    </row>
    <row r="1163" spans="30:30" x14ac:dyDescent="0.25">
      <c r="AD1163"/>
    </row>
    <row r="1164" spans="30:30" x14ac:dyDescent="0.25">
      <c r="AD1164"/>
    </row>
    <row r="1165" spans="30:30" x14ac:dyDescent="0.25">
      <c r="AD1165"/>
    </row>
    <row r="1166" spans="30:30" x14ac:dyDescent="0.25">
      <c r="AD1166"/>
    </row>
    <row r="1167" spans="30:30" x14ac:dyDescent="0.25">
      <c r="AD1167"/>
    </row>
    <row r="1168" spans="30:30" x14ac:dyDescent="0.25">
      <c r="AD1168"/>
    </row>
    <row r="1169" spans="30:30" x14ac:dyDescent="0.25">
      <c r="AD1169"/>
    </row>
    <row r="1170" spans="30:30" x14ac:dyDescent="0.25">
      <c r="AD1170"/>
    </row>
    <row r="1171" spans="30:30" x14ac:dyDescent="0.25">
      <c r="AD1171"/>
    </row>
    <row r="1172" spans="30:30" x14ac:dyDescent="0.25">
      <c r="AD1172"/>
    </row>
    <row r="1173" spans="30:30" x14ac:dyDescent="0.25">
      <c r="AD1173"/>
    </row>
    <row r="1174" spans="30:30" x14ac:dyDescent="0.25">
      <c r="AD1174"/>
    </row>
    <row r="1175" spans="30:30" x14ac:dyDescent="0.25">
      <c r="AD1175"/>
    </row>
    <row r="1176" spans="30:30" x14ac:dyDescent="0.25">
      <c r="AD1176"/>
    </row>
    <row r="1177" spans="30:30" x14ac:dyDescent="0.25">
      <c r="AD1177"/>
    </row>
    <row r="1178" spans="30:30" x14ac:dyDescent="0.25">
      <c r="AD1178"/>
    </row>
    <row r="1179" spans="30:30" x14ac:dyDescent="0.25">
      <c r="AD1179"/>
    </row>
    <row r="1180" spans="30:30" x14ac:dyDescent="0.25">
      <c r="AD1180"/>
    </row>
    <row r="1181" spans="30:30" x14ac:dyDescent="0.25">
      <c r="AD1181"/>
    </row>
    <row r="1182" spans="30:30" x14ac:dyDescent="0.25">
      <c r="AD1182"/>
    </row>
    <row r="1183" spans="30:30" x14ac:dyDescent="0.25">
      <c r="AD1183"/>
    </row>
    <row r="1184" spans="30:30" x14ac:dyDescent="0.25">
      <c r="AD1184"/>
    </row>
    <row r="1185" spans="30:30" x14ac:dyDescent="0.25">
      <c r="AD1185"/>
    </row>
    <row r="1186" spans="30:30" x14ac:dyDescent="0.25">
      <c r="AD1186"/>
    </row>
    <row r="1187" spans="30:30" x14ac:dyDescent="0.25">
      <c r="AD1187"/>
    </row>
    <row r="1188" spans="30:30" x14ac:dyDescent="0.25">
      <c r="AD1188"/>
    </row>
    <row r="1189" spans="30:30" x14ac:dyDescent="0.25">
      <c r="AD1189"/>
    </row>
    <row r="1190" spans="30:30" x14ac:dyDescent="0.25">
      <c r="AD1190"/>
    </row>
    <row r="1191" spans="30:30" x14ac:dyDescent="0.25">
      <c r="AD1191"/>
    </row>
    <row r="1192" spans="30:30" x14ac:dyDescent="0.25">
      <c r="AD1192"/>
    </row>
    <row r="1193" spans="30:30" x14ac:dyDescent="0.25">
      <c r="AD1193"/>
    </row>
    <row r="1194" spans="30:30" x14ac:dyDescent="0.25">
      <c r="AD1194"/>
    </row>
    <row r="1195" spans="30:30" x14ac:dyDescent="0.25">
      <c r="AD1195"/>
    </row>
    <row r="1196" spans="30:30" x14ac:dyDescent="0.25">
      <c r="AD1196"/>
    </row>
    <row r="1197" spans="30:30" x14ac:dyDescent="0.25">
      <c r="AD1197"/>
    </row>
    <row r="1198" spans="30:30" x14ac:dyDescent="0.25">
      <c r="AD1198"/>
    </row>
    <row r="1199" spans="30:30" x14ac:dyDescent="0.25">
      <c r="AD1199"/>
    </row>
    <row r="1200" spans="30:30" x14ac:dyDescent="0.25">
      <c r="AD1200"/>
    </row>
    <row r="1201" spans="30:30" x14ac:dyDescent="0.25">
      <c r="AD1201"/>
    </row>
    <row r="1202" spans="30:30" x14ac:dyDescent="0.25">
      <c r="AD1202"/>
    </row>
    <row r="1203" spans="30:30" x14ac:dyDescent="0.25">
      <c r="AD1203"/>
    </row>
    <row r="1204" spans="30:30" x14ac:dyDescent="0.25">
      <c r="AD1204"/>
    </row>
    <row r="1205" spans="30:30" x14ac:dyDescent="0.25">
      <c r="AD1205"/>
    </row>
    <row r="1206" spans="30:30" x14ac:dyDescent="0.25">
      <c r="AD1206"/>
    </row>
    <row r="1207" spans="30:30" x14ac:dyDescent="0.25">
      <c r="AD1207"/>
    </row>
    <row r="1208" spans="30:30" x14ac:dyDescent="0.25">
      <c r="AD1208"/>
    </row>
    <row r="1209" spans="30:30" x14ac:dyDescent="0.25">
      <c r="AD1209"/>
    </row>
    <row r="1210" spans="30:30" x14ac:dyDescent="0.25">
      <c r="AD1210"/>
    </row>
    <row r="1211" spans="30:30" x14ac:dyDescent="0.25">
      <c r="AD1211"/>
    </row>
    <row r="1212" spans="30:30" x14ac:dyDescent="0.25">
      <c r="AD1212"/>
    </row>
    <row r="1213" spans="30:30" x14ac:dyDescent="0.25">
      <c r="AD1213"/>
    </row>
    <row r="1214" spans="30:30" x14ac:dyDescent="0.25">
      <c r="AD1214"/>
    </row>
    <row r="1215" spans="30:30" x14ac:dyDescent="0.25">
      <c r="AD1215"/>
    </row>
    <row r="1216" spans="30:30" x14ac:dyDescent="0.25">
      <c r="AD1216"/>
    </row>
    <row r="1217" spans="30:30" x14ac:dyDescent="0.25">
      <c r="AD1217"/>
    </row>
    <row r="1218" spans="30:30" x14ac:dyDescent="0.25">
      <c r="AD1218"/>
    </row>
    <row r="1219" spans="30:30" x14ac:dyDescent="0.25">
      <c r="AD1219"/>
    </row>
    <row r="1220" spans="30:30" x14ac:dyDescent="0.25">
      <c r="AD1220"/>
    </row>
    <row r="1221" spans="30:30" x14ac:dyDescent="0.25">
      <c r="AD1221"/>
    </row>
    <row r="1222" spans="30:30" x14ac:dyDescent="0.25">
      <c r="AD1222"/>
    </row>
    <row r="1223" spans="30:30" x14ac:dyDescent="0.25">
      <c r="AD1223"/>
    </row>
    <row r="1224" spans="30:30" x14ac:dyDescent="0.25">
      <c r="AD1224"/>
    </row>
    <row r="1225" spans="30:30" x14ac:dyDescent="0.25">
      <c r="AD1225"/>
    </row>
    <row r="1226" spans="30:30" x14ac:dyDescent="0.25">
      <c r="AD1226"/>
    </row>
    <row r="1227" spans="30:30" x14ac:dyDescent="0.25">
      <c r="AD1227"/>
    </row>
    <row r="1228" spans="30:30" x14ac:dyDescent="0.25">
      <c r="AD1228"/>
    </row>
    <row r="1229" spans="30:30" x14ac:dyDescent="0.25">
      <c r="AD1229"/>
    </row>
    <row r="1230" spans="30:30" x14ac:dyDescent="0.25">
      <c r="AD1230"/>
    </row>
    <row r="1231" spans="30:30" x14ac:dyDescent="0.25">
      <c r="AD1231"/>
    </row>
    <row r="1232" spans="30:30" x14ac:dyDescent="0.25">
      <c r="AD1232"/>
    </row>
    <row r="1233" spans="30:30" x14ac:dyDescent="0.25">
      <c r="AD1233"/>
    </row>
    <row r="1234" spans="30:30" x14ac:dyDescent="0.25">
      <c r="AD1234"/>
    </row>
    <row r="1235" spans="30:30" x14ac:dyDescent="0.25">
      <c r="AD1235"/>
    </row>
    <row r="1236" spans="30:30" x14ac:dyDescent="0.25">
      <c r="AD1236"/>
    </row>
    <row r="1237" spans="30:30" x14ac:dyDescent="0.25">
      <c r="AD1237"/>
    </row>
    <row r="1238" spans="30:30" x14ac:dyDescent="0.25">
      <c r="AD1238"/>
    </row>
    <row r="1239" spans="30:30" x14ac:dyDescent="0.25">
      <c r="AD1239"/>
    </row>
    <row r="1240" spans="30:30" x14ac:dyDescent="0.25">
      <c r="AD1240"/>
    </row>
    <row r="1241" spans="30:30" x14ac:dyDescent="0.25">
      <c r="AD1241"/>
    </row>
    <row r="1242" spans="30:30" x14ac:dyDescent="0.25">
      <c r="AD1242"/>
    </row>
    <row r="1243" spans="30:30" x14ac:dyDescent="0.25">
      <c r="AD1243"/>
    </row>
    <row r="1244" spans="30:30" x14ac:dyDescent="0.25">
      <c r="AD1244"/>
    </row>
    <row r="1245" spans="30:30" x14ac:dyDescent="0.25">
      <c r="AD1245"/>
    </row>
    <row r="1246" spans="30:30" x14ac:dyDescent="0.25">
      <c r="AD1246"/>
    </row>
    <row r="1247" spans="30:30" x14ac:dyDescent="0.25">
      <c r="AD1247"/>
    </row>
    <row r="1248" spans="30:30" x14ac:dyDescent="0.25">
      <c r="AD1248"/>
    </row>
    <row r="1249" spans="30:30" x14ac:dyDescent="0.25">
      <c r="AD1249"/>
    </row>
    <row r="1250" spans="30:30" x14ac:dyDescent="0.25">
      <c r="AD1250"/>
    </row>
    <row r="1251" spans="30:30" x14ac:dyDescent="0.25">
      <c r="AD1251"/>
    </row>
    <row r="1252" spans="30:30" x14ac:dyDescent="0.25">
      <c r="AD1252"/>
    </row>
    <row r="1253" spans="30:30" x14ac:dyDescent="0.25">
      <c r="AD1253"/>
    </row>
    <row r="1254" spans="30:30" x14ac:dyDescent="0.25">
      <c r="AD1254"/>
    </row>
    <row r="1255" spans="30:30" x14ac:dyDescent="0.25">
      <c r="AD1255"/>
    </row>
    <row r="1256" spans="30:30" x14ac:dyDescent="0.25">
      <c r="AD1256"/>
    </row>
    <row r="1257" spans="30:30" x14ac:dyDescent="0.25">
      <c r="AD1257"/>
    </row>
    <row r="1258" spans="30:30" x14ac:dyDescent="0.25">
      <c r="AD1258"/>
    </row>
    <row r="1259" spans="30:30" x14ac:dyDescent="0.25">
      <c r="AD1259"/>
    </row>
    <row r="1260" spans="30:30" x14ac:dyDescent="0.25">
      <c r="AD1260"/>
    </row>
    <row r="1261" spans="30:30" x14ac:dyDescent="0.25">
      <c r="AD1261"/>
    </row>
    <row r="1262" spans="30:30" x14ac:dyDescent="0.25">
      <c r="AD1262"/>
    </row>
    <row r="1263" spans="30:30" x14ac:dyDescent="0.25">
      <c r="AD1263"/>
    </row>
    <row r="1264" spans="30:30" x14ac:dyDescent="0.25">
      <c r="AD1264"/>
    </row>
    <row r="1265" spans="30:30" x14ac:dyDescent="0.25">
      <c r="AD1265"/>
    </row>
    <row r="1266" spans="30:30" x14ac:dyDescent="0.25">
      <c r="AD1266"/>
    </row>
    <row r="1267" spans="30:30" x14ac:dyDescent="0.25">
      <c r="AD1267"/>
    </row>
    <row r="1268" spans="30:30" x14ac:dyDescent="0.25">
      <c r="AD1268"/>
    </row>
    <row r="1269" spans="30:30" x14ac:dyDescent="0.25">
      <c r="AD1269"/>
    </row>
    <row r="1270" spans="30:30" x14ac:dyDescent="0.25">
      <c r="AD1270"/>
    </row>
    <row r="1271" spans="30:30" x14ac:dyDescent="0.25">
      <c r="AD1271"/>
    </row>
    <row r="1272" spans="30:30" x14ac:dyDescent="0.25">
      <c r="AD1272"/>
    </row>
    <row r="1273" spans="30:30" x14ac:dyDescent="0.25">
      <c r="AD1273"/>
    </row>
    <row r="1274" spans="30:30" x14ac:dyDescent="0.25">
      <c r="AD1274"/>
    </row>
    <row r="1275" spans="30:30" x14ac:dyDescent="0.25">
      <c r="AD1275"/>
    </row>
    <row r="1276" spans="30:30" x14ac:dyDescent="0.25">
      <c r="AD1276"/>
    </row>
    <row r="1277" spans="30:30" x14ac:dyDescent="0.25">
      <c r="AD1277"/>
    </row>
    <row r="1278" spans="30:30" x14ac:dyDescent="0.25">
      <c r="AD1278"/>
    </row>
    <row r="1279" spans="30:30" x14ac:dyDescent="0.25">
      <c r="AD1279"/>
    </row>
    <row r="1280" spans="30:30" x14ac:dyDescent="0.25">
      <c r="AD1280"/>
    </row>
    <row r="1281" spans="30:30" x14ac:dyDescent="0.25">
      <c r="AD1281"/>
    </row>
    <row r="1282" spans="30:30" x14ac:dyDescent="0.25">
      <c r="AD1282"/>
    </row>
    <row r="1283" spans="30:30" x14ac:dyDescent="0.25">
      <c r="AD1283"/>
    </row>
    <row r="1284" spans="30:30" x14ac:dyDescent="0.25">
      <c r="AD1284"/>
    </row>
    <row r="1285" spans="30:30" x14ac:dyDescent="0.25">
      <c r="AD1285"/>
    </row>
    <row r="1286" spans="30:30" x14ac:dyDescent="0.25">
      <c r="AD1286"/>
    </row>
    <row r="1287" spans="30:30" x14ac:dyDescent="0.25">
      <c r="AD1287"/>
    </row>
    <row r="1288" spans="30:30" x14ac:dyDescent="0.25">
      <c r="AD1288"/>
    </row>
    <row r="1289" spans="30:30" x14ac:dyDescent="0.25">
      <c r="AD1289"/>
    </row>
    <row r="1290" spans="30:30" x14ac:dyDescent="0.25">
      <c r="AD1290"/>
    </row>
    <row r="1291" spans="30:30" x14ac:dyDescent="0.25">
      <c r="AD1291"/>
    </row>
    <row r="1292" spans="30:30" x14ac:dyDescent="0.25">
      <c r="AD1292"/>
    </row>
    <row r="1293" spans="30:30" x14ac:dyDescent="0.25">
      <c r="AD1293"/>
    </row>
    <row r="1294" spans="30:30" x14ac:dyDescent="0.25">
      <c r="AD1294"/>
    </row>
    <row r="1295" spans="30:30" x14ac:dyDescent="0.25">
      <c r="AD1295"/>
    </row>
    <row r="1296" spans="30:30" x14ac:dyDescent="0.25">
      <c r="AD1296"/>
    </row>
    <row r="1297" spans="30:30" x14ac:dyDescent="0.25">
      <c r="AD1297"/>
    </row>
    <row r="1298" spans="30:30" x14ac:dyDescent="0.25">
      <c r="AD1298"/>
    </row>
    <row r="1299" spans="30:30" x14ac:dyDescent="0.25">
      <c r="AD1299"/>
    </row>
    <row r="1300" spans="30:30" x14ac:dyDescent="0.25">
      <c r="AD1300"/>
    </row>
    <row r="1301" spans="30:30" x14ac:dyDescent="0.25">
      <c r="AD1301"/>
    </row>
    <row r="1302" spans="30:30" x14ac:dyDescent="0.25">
      <c r="AD1302"/>
    </row>
    <row r="1303" spans="30:30" x14ac:dyDescent="0.25">
      <c r="AD1303"/>
    </row>
    <row r="1304" spans="30:30" x14ac:dyDescent="0.25">
      <c r="AD1304"/>
    </row>
    <row r="1305" spans="30:30" x14ac:dyDescent="0.25">
      <c r="AD1305"/>
    </row>
    <row r="1306" spans="30:30" x14ac:dyDescent="0.25">
      <c r="AD1306"/>
    </row>
    <row r="1307" spans="30:30" x14ac:dyDescent="0.25">
      <c r="AD1307"/>
    </row>
    <row r="1308" spans="30:30" x14ac:dyDescent="0.25">
      <c r="AD1308"/>
    </row>
    <row r="1309" spans="30:30" x14ac:dyDescent="0.25">
      <c r="AD1309"/>
    </row>
    <row r="1310" spans="30:30" x14ac:dyDescent="0.25">
      <c r="AD1310"/>
    </row>
    <row r="1311" spans="30:30" x14ac:dyDescent="0.25">
      <c r="AD1311"/>
    </row>
    <row r="1312" spans="30:30" x14ac:dyDescent="0.25">
      <c r="AD1312"/>
    </row>
    <row r="1313" spans="30:30" x14ac:dyDescent="0.25">
      <c r="AD1313"/>
    </row>
    <row r="1314" spans="30:30" x14ac:dyDescent="0.25">
      <c r="AD1314"/>
    </row>
    <row r="1315" spans="30:30" x14ac:dyDescent="0.25">
      <c r="AD1315"/>
    </row>
    <row r="1316" spans="30:30" x14ac:dyDescent="0.25">
      <c r="AD1316"/>
    </row>
    <row r="1317" spans="30:30" x14ac:dyDescent="0.25">
      <c r="AD1317"/>
    </row>
    <row r="1318" spans="30:30" x14ac:dyDescent="0.25">
      <c r="AD1318"/>
    </row>
    <row r="1319" spans="30:30" x14ac:dyDescent="0.25">
      <c r="AD1319"/>
    </row>
    <row r="1320" spans="30:30" x14ac:dyDescent="0.25">
      <c r="AD1320"/>
    </row>
    <row r="1321" spans="30:30" x14ac:dyDescent="0.25">
      <c r="AD1321"/>
    </row>
    <row r="1322" spans="30:30" x14ac:dyDescent="0.25">
      <c r="AD1322"/>
    </row>
    <row r="1323" spans="30:30" x14ac:dyDescent="0.25">
      <c r="AD1323"/>
    </row>
    <row r="1324" spans="30:30" x14ac:dyDescent="0.25">
      <c r="AD1324"/>
    </row>
    <row r="1325" spans="30:30" x14ac:dyDescent="0.25">
      <c r="AD1325"/>
    </row>
    <row r="1326" spans="30:30" x14ac:dyDescent="0.25">
      <c r="AD1326"/>
    </row>
    <row r="1327" spans="30:30" x14ac:dyDescent="0.25">
      <c r="AD1327"/>
    </row>
    <row r="1328" spans="30:30" x14ac:dyDescent="0.25">
      <c r="AD1328"/>
    </row>
    <row r="1329" spans="30:30" x14ac:dyDescent="0.25">
      <c r="AD1329"/>
    </row>
    <row r="1330" spans="30:30" x14ac:dyDescent="0.25">
      <c r="AD1330"/>
    </row>
    <row r="1331" spans="30:30" x14ac:dyDescent="0.25">
      <c r="AD1331"/>
    </row>
    <row r="1332" spans="30:30" x14ac:dyDescent="0.25">
      <c r="AD1332"/>
    </row>
    <row r="1333" spans="30:30" x14ac:dyDescent="0.25">
      <c r="AD1333"/>
    </row>
    <row r="1334" spans="30:30" x14ac:dyDescent="0.25">
      <c r="AD1334"/>
    </row>
    <row r="1335" spans="30:30" x14ac:dyDescent="0.25">
      <c r="AD1335"/>
    </row>
    <row r="1336" spans="30:30" x14ac:dyDescent="0.25">
      <c r="AD1336"/>
    </row>
    <row r="1337" spans="30:30" x14ac:dyDescent="0.25">
      <c r="AD1337"/>
    </row>
    <row r="1338" spans="30:30" x14ac:dyDescent="0.25">
      <c r="AD1338"/>
    </row>
    <row r="1339" spans="30:30" x14ac:dyDescent="0.25">
      <c r="AD1339"/>
    </row>
    <row r="1340" spans="30:30" x14ac:dyDescent="0.25">
      <c r="AD1340"/>
    </row>
    <row r="1341" spans="30:30" x14ac:dyDescent="0.25">
      <c r="AD1341"/>
    </row>
    <row r="1342" spans="30:30" x14ac:dyDescent="0.25">
      <c r="AD1342"/>
    </row>
    <row r="1343" spans="30:30" x14ac:dyDescent="0.25">
      <c r="AD1343"/>
    </row>
    <row r="1344" spans="30:30" x14ac:dyDescent="0.25">
      <c r="AD1344"/>
    </row>
    <row r="1345" spans="30:30" x14ac:dyDescent="0.25">
      <c r="AD1345"/>
    </row>
    <row r="1346" spans="30:30" x14ac:dyDescent="0.25">
      <c r="AD1346"/>
    </row>
    <row r="1347" spans="30:30" x14ac:dyDescent="0.25">
      <c r="AD1347"/>
    </row>
    <row r="1348" spans="30:30" x14ac:dyDescent="0.25">
      <c r="AD1348"/>
    </row>
    <row r="1349" spans="30:30" x14ac:dyDescent="0.25">
      <c r="AD1349"/>
    </row>
    <row r="1350" spans="30:30" x14ac:dyDescent="0.25">
      <c r="AD1350"/>
    </row>
    <row r="1351" spans="30:30" x14ac:dyDescent="0.25">
      <c r="AD1351"/>
    </row>
    <row r="1352" spans="30:30" x14ac:dyDescent="0.25">
      <c r="AD1352"/>
    </row>
    <row r="1353" spans="30:30" x14ac:dyDescent="0.25">
      <c r="AD1353"/>
    </row>
    <row r="1354" spans="30:30" x14ac:dyDescent="0.25">
      <c r="AD1354"/>
    </row>
    <row r="1355" spans="30:30" x14ac:dyDescent="0.25">
      <c r="AD1355"/>
    </row>
    <row r="1356" spans="30:30" x14ac:dyDescent="0.25">
      <c r="AD1356"/>
    </row>
    <row r="1357" spans="30:30" x14ac:dyDescent="0.25">
      <c r="AD1357"/>
    </row>
    <row r="1358" spans="30:30" x14ac:dyDescent="0.25">
      <c r="AD1358"/>
    </row>
    <row r="1359" spans="30:30" x14ac:dyDescent="0.25">
      <c r="AD1359"/>
    </row>
    <row r="1360" spans="30:30" x14ac:dyDescent="0.25">
      <c r="AD1360"/>
    </row>
    <row r="1361" spans="30:30" x14ac:dyDescent="0.25">
      <c r="AD1361"/>
    </row>
    <row r="1362" spans="30:30" x14ac:dyDescent="0.25">
      <c r="AD1362"/>
    </row>
    <row r="1363" spans="30:30" x14ac:dyDescent="0.25">
      <c r="AD1363"/>
    </row>
    <row r="1364" spans="30:30" x14ac:dyDescent="0.25">
      <c r="AD1364"/>
    </row>
    <row r="1365" spans="30:30" x14ac:dyDescent="0.25">
      <c r="AD1365"/>
    </row>
    <row r="1366" spans="30:30" x14ac:dyDescent="0.25">
      <c r="AD1366"/>
    </row>
    <row r="1367" spans="30:30" x14ac:dyDescent="0.25">
      <c r="AD1367"/>
    </row>
    <row r="1368" spans="30:30" x14ac:dyDescent="0.25">
      <c r="AD1368"/>
    </row>
    <row r="1369" spans="30:30" x14ac:dyDescent="0.25">
      <c r="AD1369"/>
    </row>
    <row r="1370" spans="30:30" x14ac:dyDescent="0.25">
      <c r="AD1370"/>
    </row>
    <row r="1371" spans="30:30" x14ac:dyDescent="0.25">
      <c r="AD1371"/>
    </row>
    <row r="1372" spans="30:30" x14ac:dyDescent="0.25">
      <c r="AD1372"/>
    </row>
    <row r="1373" spans="30:30" x14ac:dyDescent="0.25">
      <c r="AD1373"/>
    </row>
    <row r="1374" spans="30:30" x14ac:dyDescent="0.25">
      <c r="AD1374"/>
    </row>
    <row r="1375" spans="30:30" x14ac:dyDescent="0.25">
      <c r="AD1375"/>
    </row>
    <row r="1376" spans="30:30" x14ac:dyDescent="0.25">
      <c r="AD1376"/>
    </row>
    <row r="1377" spans="30:30" x14ac:dyDescent="0.25">
      <c r="AD1377"/>
    </row>
    <row r="1378" spans="30:30" x14ac:dyDescent="0.25">
      <c r="AD1378"/>
    </row>
    <row r="1379" spans="30:30" x14ac:dyDescent="0.25">
      <c r="AD1379"/>
    </row>
    <row r="1380" spans="30:30" x14ac:dyDescent="0.25">
      <c r="AD1380"/>
    </row>
    <row r="1381" spans="30:30" x14ac:dyDescent="0.25">
      <c r="AD1381"/>
    </row>
    <row r="1382" spans="30:30" x14ac:dyDescent="0.25">
      <c r="AD1382"/>
    </row>
    <row r="1383" spans="30:30" x14ac:dyDescent="0.25">
      <c r="AD1383"/>
    </row>
    <row r="1384" spans="30:30" x14ac:dyDescent="0.25">
      <c r="AD1384"/>
    </row>
    <row r="1385" spans="30:30" x14ac:dyDescent="0.25">
      <c r="AD1385"/>
    </row>
    <row r="1386" spans="30:30" x14ac:dyDescent="0.25">
      <c r="AD1386"/>
    </row>
    <row r="1387" spans="30:30" x14ac:dyDescent="0.25">
      <c r="AD1387"/>
    </row>
    <row r="1388" spans="30:30" x14ac:dyDescent="0.25">
      <c r="AD1388"/>
    </row>
    <row r="1389" spans="30:30" x14ac:dyDescent="0.25">
      <c r="AD1389"/>
    </row>
    <row r="1390" spans="30:30" x14ac:dyDescent="0.25">
      <c r="AD1390"/>
    </row>
    <row r="1391" spans="30:30" x14ac:dyDescent="0.25">
      <c r="AD1391"/>
    </row>
    <row r="1392" spans="30:30" x14ac:dyDescent="0.25">
      <c r="AD1392"/>
    </row>
    <row r="1393" spans="30:30" x14ac:dyDescent="0.25">
      <c r="AD1393"/>
    </row>
    <row r="1394" spans="30:30" x14ac:dyDescent="0.25">
      <c r="AD1394"/>
    </row>
    <row r="1395" spans="30:30" x14ac:dyDescent="0.25">
      <c r="AD1395"/>
    </row>
    <row r="1396" spans="30:30" x14ac:dyDescent="0.25">
      <c r="AD1396"/>
    </row>
    <row r="1397" spans="30:30" x14ac:dyDescent="0.25">
      <c r="AD1397"/>
    </row>
    <row r="1398" spans="30:30" x14ac:dyDescent="0.25">
      <c r="AD1398"/>
    </row>
    <row r="1399" spans="30:30" x14ac:dyDescent="0.25">
      <c r="AD1399"/>
    </row>
    <row r="1400" spans="30:30" x14ac:dyDescent="0.25">
      <c r="AD1400"/>
    </row>
    <row r="1401" spans="30:30" x14ac:dyDescent="0.25">
      <c r="AD1401"/>
    </row>
    <row r="1402" spans="30:30" x14ac:dyDescent="0.25">
      <c r="AD1402"/>
    </row>
    <row r="1403" spans="30:30" x14ac:dyDescent="0.25">
      <c r="AD1403"/>
    </row>
    <row r="1404" spans="30:30" x14ac:dyDescent="0.25">
      <c r="AD1404"/>
    </row>
    <row r="1405" spans="30:30" x14ac:dyDescent="0.25">
      <c r="AD1405"/>
    </row>
    <row r="1406" spans="30:30" x14ac:dyDescent="0.25">
      <c r="AD1406"/>
    </row>
    <row r="1407" spans="30:30" x14ac:dyDescent="0.25">
      <c r="AD1407"/>
    </row>
    <row r="1408" spans="30:30" x14ac:dyDescent="0.25">
      <c r="AD1408"/>
    </row>
    <row r="1409" spans="30:30" x14ac:dyDescent="0.25">
      <c r="AD1409"/>
    </row>
    <row r="1410" spans="30:30" x14ac:dyDescent="0.25">
      <c r="AD1410"/>
    </row>
    <row r="1411" spans="30:30" x14ac:dyDescent="0.25">
      <c r="AD1411"/>
    </row>
    <row r="1412" spans="30:30" x14ac:dyDescent="0.25">
      <c r="AD1412"/>
    </row>
    <row r="1413" spans="30:30" x14ac:dyDescent="0.25">
      <c r="AD1413"/>
    </row>
    <row r="1414" spans="30:30" x14ac:dyDescent="0.25">
      <c r="AD1414"/>
    </row>
    <row r="1415" spans="30:30" x14ac:dyDescent="0.25">
      <c r="AD1415"/>
    </row>
    <row r="1416" spans="30:30" x14ac:dyDescent="0.25">
      <c r="AD1416"/>
    </row>
    <row r="1417" spans="30:30" x14ac:dyDescent="0.25">
      <c r="AD1417"/>
    </row>
    <row r="1418" spans="30:30" x14ac:dyDescent="0.25">
      <c r="AD1418"/>
    </row>
    <row r="1419" spans="30:30" x14ac:dyDescent="0.25">
      <c r="AD1419"/>
    </row>
    <row r="1420" spans="30:30" x14ac:dyDescent="0.25">
      <c r="AD1420"/>
    </row>
    <row r="1421" spans="30:30" x14ac:dyDescent="0.25">
      <c r="AD1421"/>
    </row>
    <row r="1422" spans="30:30" x14ac:dyDescent="0.25">
      <c r="AD1422"/>
    </row>
    <row r="1423" spans="30:30" x14ac:dyDescent="0.25">
      <c r="AD1423"/>
    </row>
    <row r="1424" spans="30:30" x14ac:dyDescent="0.25">
      <c r="AD1424"/>
    </row>
    <row r="1425" spans="30:30" x14ac:dyDescent="0.25">
      <c r="AD1425"/>
    </row>
    <row r="1426" spans="30:30" x14ac:dyDescent="0.25">
      <c r="AD1426"/>
    </row>
    <row r="1427" spans="30:30" x14ac:dyDescent="0.25">
      <c r="AD1427"/>
    </row>
    <row r="1428" spans="30:30" x14ac:dyDescent="0.25">
      <c r="AD1428"/>
    </row>
    <row r="1429" spans="30:30" x14ac:dyDescent="0.25">
      <c r="AD1429"/>
    </row>
    <row r="1430" spans="30:30" x14ac:dyDescent="0.25">
      <c r="AD1430"/>
    </row>
    <row r="1431" spans="30:30" x14ac:dyDescent="0.25">
      <c r="AD1431"/>
    </row>
    <row r="1432" spans="30:30" x14ac:dyDescent="0.25">
      <c r="AD1432"/>
    </row>
    <row r="1433" spans="30:30" x14ac:dyDescent="0.25">
      <c r="AD1433"/>
    </row>
    <row r="1434" spans="30:30" x14ac:dyDescent="0.25">
      <c r="AD1434"/>
    </row>
    <row r="1435" spans="30:30" x14ac:dyDescent="0.25">
      <c r="AD1435"/>
    </row>
    <row r="1436" spans="30:30" x14ac:dyDescent="0.25">
      <c r="AD1436"/>
    </row>
    <row r="1437" spans="30:30" x14ac:dyDescent="0.25">
      <c r="AD1437"/>
    </row>
    <row r="1438" spans="30:30" x14ac:dyDescent="0.25">
      <c r="AD1438"/>
    </row>
    <row r="1439" spans="30:30" x14ac:dyDescent="0.25">
      <c r="AD1439"/>
    </row>
    <row r="1440" spans="30:30" x14ac:dyDescent="0.25">
      <c r="AD1440"/>
    </row>
    <row r="1441" spans="30:30" x14ac:dyDescent="0.25">
      <c r="AD1441"/>
    </row>
    <row r="1442" spans="30:30" x14ac:dyDescent="0.25">
      <c r="AD1442"/>
    </row>
    <row r="1443" spans="30:30" x14ac:dyDescent="0.25">
      <c r="AD1443"/>
    </row>
    <row r="1444" spans="30:30" x14ac:dyDescent="0.25">
      <c r="AD1444"/>
    </row>
    <row r="1445" spans="30:30" x14ac:dyDescent="0.25">
      <c r="AD1445"/>
    </row>
    <row r="1446" spans="30:30" x14ac:dyDescent="0.25">
      <c r="AD1446"/>
    </row>
    <row r="1447" spans="30:30" x14ac:dyDescent="0.25">
      <c r="AD1447"/>
    </row>
    <row r="1448" spans="30:30" x14ac:dyDescent="0.25">
      <c r="AD1448"/>
    </row>
    <row r="1449" spans="30:30" x14ac:dyDescent="0.25">
      <c r="AD1449"/>
    </row>
    <row r="1450" spans="30:30" x14ac:dyDescent="0.25">
      <c r="AD1450"/>
    </row>
    <row r="1451" spans="30:30" x14ac:dyDescent="0.25">
      <c r="AD1451"/>
    </row>
    <row r="1452" spans="30:30" x14ac:dyDescent="0.25">
      <c r="AD1452"/>
    </row>
    <row r="1453" spans="30:30" x14ac:dyDescent="0.25">
      <c r="AD1453"/>
    </row>
    <row r="1454" spans="30:30" x14ac:dyDescent="0.25">
      <c r="AD1454"/>
    </row>
    <row r="1455" spans="30:30" x14ac:dyDescent="0.25">
      <c r="AD1455"/>
    </row>
    <row r="1456" spans="30:30" x14ac:dyDescent="0.25">
      <c r="AD1456"/>
    </row>
    <row r="1457" spans="30:30" x14ac:dyDescent="0.25">
      <c r="AD1457"/>
    </row>
    <row r="1458" spans="30:30" x14ac:dyDescent="0.25">
      <c r="AD1458"/>
    </row>
    <row r="1459" spans="30:30" x14ac:dyDescent="0.25">
      <c r="AD1459"/>
    </row>
    <row r="1460" spans="30:30" x14ac:dyDescent="0.25">
      <c r="AD1460"/>
    </row>
    <row r="1461" spans="30:30" x14ac:dyDescent="0.25">
      <c r="AD1461"/>
    </row>
    <row r="1462" spans="30:30" x14ac:dyDescent="0.25">
      <c r="AD1462"/>
    </row>
    <row r="1463" spans="30:30" x14ac:dyDescent="0.25">
      <c r="AD1463"/>
    </row>
    <row r="1464" spans="30:30" x14ac:dyDescent="0.25">
      <c r="AD1464"/>
    </row>
    <row r="1465" spans="30:30" x14ac:dyDescent="0.25">
      <c r="AD1465"/>
    </row>
    <row r="1466" spans="30:30" x14ac:dyDescent="0.25">
      <c r="AD1466"/>
    </row>
    <row r="1467" spans="30:30" x14ac:dyDescent="0.25">
      <c r="AD1467"/>
    </row>
    <row r="1468" spans="30:30" x14ac:dyDescent="0.25">
      <c r="AD1468"/>
    </row>
    <row r="1469" spans="30:30" x14ac:dyDescent="0.25">
      <c r="AD1469"/>
    </row>
    <row r="1470" spans="30:30" x14ac:dyDescent="0.25">
      <c r="AD1470"/>
    </row>
    <row r="1471" spans="30:30" x14ac:dyDescent="0.25">
      <c r="AD1471"/>
    </row>
    <row r="1472" spans="30:30" x14ac:dyDescent="0.25">
      <c r="AD1472"/>
    </row>
    <row r="1473" spans="30:30" x14ac:dyDescent="0.25">
      <c r="AD1473"/>
    </row>
    <row r="1474" spans="30:30" x14ac:dyDescent="0.25">
      <c r="AD1474"/>
    </row>
    <row r="1475" spans="30:30" x14ac:dyDescent="0.25">
      <c r="AD1475"/>
    </row>
    <row r="1476" spans="30:30" x14ac:dyDescent="0.25">
      <c r="AD1476"/>
    </row>
    <row r="1477" spans="30:30" x14ac:dyDescent="0.25">
      <c r="AD1477"/>
    </row>
    <row r="1478" spans="30:30" x14ac:dyDescent="0.25">
      <c r="AD1478"/>
    </row>
    <row r="1479" spans="30:30" x14ac:dyDescent="0.25">
      <c r="AD1479"/>
    </row>
    <row r="1480" spans="30:30" x14ac:dyDescent="0.25">
      <c r="AD1480"/>
    </row>
    <row r="1481" spans="30:30" x14ac:dyDescent="0.25">
      <c r="AD1481"/>
    </row>
    <row r="1482" spans="30:30" x14ac:dyDescent="0.25">
      <c r="AD1482"/>
    </row>
    <row r="1483" spans="30:30" x14ac:dyDescent="0.25">
      <c r="AD1483"/>
    </row>
    <row r="1484" spans="30:30" x14ac:dyDescent="0.25">
      <c r="AD1484"/>
    </row>
    <row r="1485" spans="30:30" x14ac:dyDescent="0.25">
      <c r="AD1485"/>
    </row>
    <row r="1486" spans="30:30" x14ac:dyDescent="0.25">
      <c r="AD1486"/>
    </row>
    <row r="1487" spans="30:30" x14ac:dyDescent="0.25">
      <c r="AD1487"/>
    </row>
    <row r="1488" spans="30:30" x14ac:dyDescent="0.25">
      <c r="AD1488"/>
    </row>
    <row r="1489" spans="30:30" x14ac:dyDescent="0.25">
      <c r="AD1489"/>
    </row>
    <row r="1490" spans="30:30" x14ac:dyDescent="0.25">
      <c r="AD1490"/>
    </row>
    <row r="1491" spans="30:30" x14ac:dyDescent="0.25">
      <c r="AD1491"/>
    </row>
    <row r="1492" spans="30:30" x14ac:dyDescent="0.25">
      <c r="AD1492"/>
    </row>
    <row r="1493" spans="30:30" x14ac:dyDescent="0.25">
      <c r="AD1493"/>
    </row>
    <row r="1494" spans="30:30" x14ac:dyDescent="0.25">
      <c r="AD1494"/>
    </row>
    <row r="1495" spans="30:30" x14ac:dyDescent="0.25">
      <c r="AD1495"/>
    </row>
    <row r="1496" spans="30:30" x14ac:dyDescent="0.25">
      <c r="AD1496"/>
    </row>
    <row r="1497" spans="30:30" x14ac:dyDescent="0.25">
      <c r="AD1497"/>
    </row>
    <row r="1498" spans="30:30" x14ac:dyDescent="0.25">
      <c r="AD1498"/>
    </row>
    <row r="1499" spans="30:30" x14ac:dyDescent="0.25">
      <c r="AD1499"/>
    </row>
    <row r="1500" spans="30:30" x14ac:dyDescent="0.25">
      <c r="AD1500"/>
    </row>
    <row r="1501" spans="30:30" x14ac:dyDescent="0.25">
      <c r="AD1501"/>
    </row>
    <row r="1502" spans="30:30" x14ac:dyDescent="0.25">
      <c r="AD1502"/>
    </row>
    <row r="1503" spans="30:30" x14ac:dyDescent="0.25">
      <c r="AD1503"/>
    </row>
    <row r="1504" spans="30:30" x14ac:dyDescent="0.25">
      <c r="AD1504"/>
    </row>
    <row r="1505" spans="30:30" x14ac:dyDescent="0.25">
      <c r="AD1505"/>
    </row>
    <row r="1506" spans="30:30" x14ac:dyDescent="0.25">
      <c r="AD1506"/>
    </row>
    <row r="1507" spans="30:30" x14ac:dyDescent="0.25">
      <c r="AD1507"/>
    </row>
    <row r="1508" spans="30:30" x14ac:dyDescent="0.25">
      <c r="AD1508"/>
    </row>
    <row r="1509" spans="30:30" x14ac:dyDescent="0.25">
      <c r="AD1509"/>
    </row>
    <row r="1510" spans="30:30" x14ac:dyDescent="0.25">
      <c r="AD1510"/>
    </row>
    <row r="1511" spans="30:30" x14ac:dyDescent="0.25">
      <c r="AD1511"/>
    </row>
    <row r="1512" spans="30:30" x14ac:dyDescent="0.25">
      <c r="AD1512"/>
    </row>
    <row r="1513" spans="30:30" x14ac:dyDescent="0.25">
      <c r="AD1513"/>
    </row>
    <row r="1514" spans="30:30" x14ac:dyDescent="0.25">
      <c r="AD1514"/>
    </row>
    <row r="1515" spans="30:30" x14ac:dyDescent="0.25">
      <c r="AD1515"/>
    </row>
    <row r="1516" spans="30:30" x14ac:dyDescent="0.25">
      <c r="AD1516"/>
    </row>
    <row r="1517" spans="30:30" x14ac:dyDescent="0.25">
      <c r="AD1517"/>
    </row>
    <row r="1518" spans="30:30" x14ac:dyDescent="0.25">
      <c r="AD1518"/>
    </row>
    <row r="1519" spans="30:30" x14ac:dyDescent="0.25">
      <c r="AD1519"/>
    </row>
    <row r="1520" spans="30:30" x14ac:dyDescent="0.25">
      <c r="AD1520"/>
    </row>
    <row r="1521" spans="30:30" x14ac:dyDescent="0.25">
      <c r="AD1521"/>
    </row>
    <row r="1522" spans="30:30" x14ac:dyDescent="0.25">
      <c r="AD1522"/>
    </row>
    <row r="1523" spans="30:30" x14ac:dyDescent="0.25">
      <c r="AD1523"/>
    </row>
    <row r="1524" spans="30:30" x14ac:dyDescent="0.25">
      <c r="AD1524"/>
    </row>
    <row r="1525" spans="30:30" x14ac:dyDescent="0.25">
      <c r="AD1525"/>
    </row>
    <row r="1526" spans="30:30" x14ac:dyDescent="0.25">
      <c r="AD1526"/>
    </row>
    <row r="1527" spans="30:30" x14ac:dyDescent="0.25">
      <c r="AD1527"/>
    </row>
    <row r="1528" spans="30:30" x14ac:dyDescent="0.25">
      <c r="AD1528"/>
    </row>
    <row r="1529" spans="30:30" x14ac:dyDescent="0.25">
      <c r="AD1529"/>
    </row>
    <row r="1530" spans="30:30" x14ac:dyDescent="0.25">
      <c r="AD1530"/>
    </row>
    <row r="1531" spans="30:30" x14ac:dyDescent="0.25">
      <c r="AD1531"/>
    </row>
    <row r="1532" spans="30:30" x14ac:dyDescent="0.25">
      <c r="AD1532"/>
    </row>
    <row r="1533" spans="30:30" x14ac:dyDescent="0.25">
      <c r="AD1533"/>
    </row>
    <row r="1534" spans="30:30" x14ac:dyDescent="0.25">
      <c r="AD1534"/>
    </row>
    <row r="1535" spans="30:30" x14ac:dyDescent="0.25">
      <c r="AD1535"/>
    </row>
    <row r="1536" spans="30:30" x14ac:dyDescent="0.25">
      <c r="AD1536"/>
    </row>
    <row r="1537" spans="30:30" x14ac:dyDescent="0.25">
      <c r="AD1537"/>
    </row>
    <row r="1538" spans="30:30" x14ac:dyDescent="0.25">
      <c r="AD1538"/>
    </row>
    <row r="1539" spans="30:30" x14ac:dyDescent="0.25">
      <c r="AD1539"/>
    </row>
    <row r="1540" spans="30:30" x14ac:dyDescent="0.25">
      <c r="AD1540"/>
    </row>
    <row r="1541" spans="30:30" x14ac:dyDescent="0.25">
      <c r="AD1541"/>
    </row>
    <row r="1542" spans="30:30" x14ac:dyDescent="0.25">
      <c r="AD1542"/>
    </row>
    <row r="1543" spans="30:30" x14ac:dyDescent="0.25">
      <c r="AD1543"/>
    </row>
    <row r="1544" spans="30:30" x14ac:dyDescent="0.25">
      <c r="AD1544"/>
    </row>
    <row r="1545" spans="30:30" x14ac:dyDescent="0.25">
      <c r="AD1545"/>
    </row>
    <row r="1546" spans="30:30" x14ac:dyDescent="0.25">
      <c r="AD1546"/>
    </row>
    <row r="1547" spans="30:30" x14ac:dyDescent="0.25">
      <c r="AD1547"/>
    </row>
    <row r="1548" spans="30:30" x14ac:dyDescent="0.25">
      <c r="AD1548"/>
    </row>
    <row r="1549" spans="30:30" x14ac:dyDescent="0.25">
      <c r="AD1549"/>
    </row>
    <row r="1550" spans="30:30" x14ac:dyDescent="0.25">
      <c r="AD1550"/>
    </row>
    <row r="1551" spans="30:30" x14ac:dyDescent="0.25">
      <c r="AD1551"/>
    </row>
    <row r="1552" spans="30:30" x14ac:dyDescent="0.25">
      <c r="AD1552"/>
    </row>
    <row r="1553" spans="30:30" x14ac:dyDescent="0.25">
      <c r="AD1553"/>
    </row>
    <row r="1554" spans="30:30" x14ac:dyDescent="0.25">
      <c r="AD1554"/>
    </row>
    <row r="1555" spans="30:30" x14ac:dyDescent="0.25">
      <c r="AD1555"/>
    </row>
    <row r="1556" spans="30:30" x14ac:dyDescent="0.25">
      <c r="AD1556"/>
    </row>
    <row r="1557" spans="30:30" x14ac:dyDescent="0.25">
      <c r="AD1557"/>
    </row>
    <row r="1558" spans="30:30" x14ac:dyDescent="0.25">
      <c r="AD1558"/>
    </row>
    <row r="1559" spans="30:30" x14ac:dyDescent="0.25">
      <c r="AD1559"/>
    </row>
    <row r="1560" spans="30:30" x14ac:dyDescent="0.25">
      <c r="AD1560"/>
    </row>
    <row r="1561" spans="30:30" x14ac:dyDescent="0.25">
      <c r="AD1561"/>
    </row>
    <row r="1562" spans="30:30" x14ac:dyDescent="0.25">
      <c r="AD1562"/>
    </row>
    <row r="1563" spans="30:30" x14ac:dyDescent="0.25">
      <c r="AD1563"/>
    </row>
    <row r="1564" spans="30:30" x14ac:dyDescent="0.25">
      <c r="AD1564"/>
    </row>
    <row r="1565" spans="30:30" x14ac:dyDescent="0.25">
      <c r="AD1565"/>
    </row>
    <row r="1566" spans="30:30" x14ac:dyDescent="0.25">
      <c r="AD1566"/>
    </row>
    <row r="1567" spans="30:30" x14ac:dyDescent="0.25">
      <c r="AD1567"/>
    </row>
    <row r="1568" spans="30:30" x14ac:dyDescent="0.25">
      <c r="AD1568"/>
    </row>
    <row r="1569" spans="30:30" x14ac:dyDescent="0.25">
      <c r="AD1569"/>
    </row>
    <row r="1570" spans="30:30" x14ac:dyDescent="0.25">
      <c r="AD1570"/>
    </row>
    <row r="1571" spans="30:30" x14ac:dyDescent="0.25">
      <c r="AD1571"/>
    </row>
    <row r="1572" spans="30:30" x14ac:dyDescent="0.25">
      <c r="AD1572"/>
    </row>
    <row r="1573" spans="30:30" x14ac:dyDescent="0.25">
      <c r="AD1573"/>
    </row>
    <row r="1574" spans="30:30" x14ac:dyDescent="0.25">
      <c r="AD1574"/>
    </row>
    <row r="1575" spans="30:30" x14ac:dyDescent="0.25">
      <c r="AD1575"/>
    </row>
    <row r="1576" spans="30:30" x14ac:dyDescent="0.25">
      <c r="AD1576"/>
    </row>
    <row r="1577" spans="30:30" x14ac:dyDescent="0.25">
      <c r="AD1577"/>
    </row>
    <row r="1578" spans="30:30" x14ac:dyDescent="0.25">
      <c r="AD1578"/>
    </row>
    <row r="1579" spans="30:30" x14ac:dyDescent="0.25">
      <c r="AD1579"/>
    </row>
    <row r="1580" spans="30:30" x14ac:dyDescent="0.25">
      <c r="AD1580"/>
    </row>
    <row r="1581" spans="30:30" x14ac:dyDescent="0.25">
      <c r="AD1581"/>
    </row>
    <row r="1582" spans="30:30" x14ac:dyDescent="0.25">
      <c r="AD1582"/>
    </row>
    <row r="1583" spans="30:30" x14ac:dyDescent="0.25">
      <c r="AD1583"/>
    </row>
    <row r="1584" spans="30:30" x14ac:dyDescent="0.25">
      <c r="AD1584"/>
    </row>
    <row r="1585" spans="30:30" x14ac:dyDescent="0.25">
      <c r="AD1585"/>
    </row>
    <row r="1586" spans="30:30" x14ac:dyDescent="0.25">
      <c r="AD1586"/>
    </row>
    <row r="1587" spans="30:30" x14ac:dyDescent="0.25">
      <c r="AD1587"/>
    </row>
    <row r="1588" spans="30:30" x14ac:dyDescent="0.25">
      <c r="AD1588"/>
    </row>
    <row r="1589" spans="30:30" x14ac:dyDescent="0.25">
      <c r="AD1589"/>
    </row>
    <row r="1590" spans="30:30" x14ac:dyDescent="0.25">
      <c r="AD1590"/>
    </row>
    <row r="1591" spans="30:30" x14ac:dyDescent="0.25">
      <c r="AD1591"/>
    </row>
    <row r="1592" spans="30:30" x14ac:dyDescent="0.25">
      <c r="AD1592"/>
    </row>
    <row r="1593" spans="30:30" x14ac:dyDescent="0.25">
      <c r="AD1593"/>
    </row>
    <row r="1594" spans="30:30" x14ac:dyDescent="0.25">
      <c r="AD1594"/>
    </row>
    <row r="1595" spans="30:30" x14ac:dyDescent="0.25">
      <c r="AD1595"/>
    </row>
    <row r="1596" spans="30:30" x14ac:dyDescent="0.25">
      <c r="AD1596"/>
    </row>
    <row r="1597" spans="30:30" x14ac:dyDescent="0.25">
      <c r="AD1597"/>
    </row>
    <row r="1598" spans="30:30" x14ac:dyDescent="0.25">
      <c r="AD1598"/>
    </row>
    <row r="1599" spans="30:30" x14ac:dyDescent="0.25">
      <c r="AD1599"/>
    </row>
    <row r="1600" spans="30:30" x14ac:dyDescent="0.25">
      <c r="AD1600"/>
    </row>
    <row r="1601" spans="30:30" x14ac:dyDescent="0.25">
      <c r="AD1601"/>
    </row>
    <row r="1602" spans="30:30" x14ac:dyDescent="0.25">
      <c r="AD1602"/>
    </row>
    <row r="1603" spans="30:30" x14ac:dyDescent="0.25">
      <c r="AD1603"/>
    </row>
    <row r="1604" spans="30:30" x14ac:dyDescent="0.25">
      <c r="AD1604"/>
    </row>
    <row r="1605" spans="30:30" x14ac:dyDescent="0.25">
      <c r="AD1605"/>
    </row>
    <row r="1606" spans="30:30" x14ac:dyDescent="0.25">
      <c r="AD1606"/>
    </row>
    <row r="1607" spans="30:30" x14ac:dyDescent="0.25">
      <c r="AD1607"/>
    </row>
    <row r="1608" spans="30:30" x14ac:dyDescent="0.25">
      <c r="AD1608"/>
    </row>
    <row r="1609" spans="30:30" x14ac:dyDescent="0.25">
      <c r="AD1609"/>
    </row>
    <row r="1610" spans="30:30" x14ac:dyDescent="0.25">
      <c r="AD1610"/>
    </row>
    <row r="1611" spans="30:30" x14ac:dyDescent="0.25">
      <c r="AD1611"/>
    </row>
    <row r="1612" spans="30:30" x14ac:dyDescent="0.25">
      <c r="AD1612"/>
    </row>
    <row r="1613" spans="30:30" x14ac:dyDescent="0.25">
      <c r="AD1613"/>
    </row>
    <row r="1614" spans="30:30" x14ac:dyDescent="0.25">
      <c r="AD1614"/>
    </row>
    <row r="1615" spans="30:30" x14ac:dyDescent="0.25">
      <c r="AD1615"/>
    </row>
    <row r="1616" spans="30:30" x14ac:dyDescent="0.25">
      <c r="AD1616"/>
    </row>
    <row r="1617" spans="30:30" x14ac:dyDescent="0.25">
      <c r="AD1617"/>
    </row>
    <row r="1618" spans="30:30" x14ac:dyDescent="0.25">
      <c r="AD1618"/>
    </row>
    <row r="1619" spans="30:30" x14ac:dyDescent="0.25">
      <c r="AD1619"/>
    </row>
    <row r="1620" spans="30:30" x14ac:dyDescent="0.25">
      <c r="AD1620"/>
    </row>
    <row r="1621" spans="30:30" x14ac:dyDescent="0.25">
      <c r="AD1621"/>
    </row>
    <row r="1622" spans="30:30" x14ac:dyDescent="0.25">
      <c r="AD1622"/>
    </row>
    <row r="1623" spans="30:30" x14ac:dyDescent="0.25">
      <c r="AD1623"/>
    </row>
    <row r="1624" spans="30:30" x14ac:dyDescent="0.25">
      <c r="AD1624"/>
    </row>
    <row r="1625" spans="30:30" x14ac:dyDescent="0.25">
      <c r="AD1625"/>
    </row>
    <row r="1626" spans="30:30" x14ac:dyDescent="0.25">
      <c r="AD1626"/>
    </row>
    <row r="1627" spans="30:30" x14ac:dyDescent="0.25">
      <c r="AD1627"/>
    </row>
    <row r="1628" spans="30:30" x14ac:dyDescent="0.25">
      <c r="AD1628"/>
    </row>
    <row r="1629" spans="30:30" x14ac:dyDescent="0.25">
      <c r="AD1629"/>
    </row>
    <row r="1630" spans="30:30" x14ac:dyDescent="0.25">
      <c r="AD1630"/>
    </row>
    <row r="1631" spans="30:30" x14ac:dyDescent="0.25">
      <c r="AD1631"/>
    </row>
    <row r="1632" spans="30:30" x14ac:dyDescent="0.25">
      <c r="AD1632"/>
    </row>
    <row r="1633" spans="30:30" x14ac:dyDescent="0.25">
      <c r="AD1633"/>
    </row>
    <row r="1634" spans="30:30" x14ac:dyDescent="0.25">
      <c r="AD1634"/>
    </row>
    <row r="1635" spans="30:30" x14ac:dyDescent="0.25">
      <c r="AD1635"/>
    </row>
    <row r="1636" spans="30:30" x14ac:dyDescent="0.25">
      <c r="AD1636"/>
    </row>
    <row r="1637" spans="30:30" x14ac:dyDescent="0.25">
      <c r="AD1637"/>
    </row>
    <row r="1638" spans="30:30" x14ac:dyDescent="0.25">
      <c r="AD1638"/>
    </row>
    <row r="1639" spans="30:30" x14ac:dyDescent="0.25">
      <c r="AD1639"/>
    </row>
    <row r="1640" spans="30:30" x14ac:dyDescent="0.25">
      <c r="AD1640"/>
    </row>
    <row r="1641" spans="30:30" x14ac:dyDescent="0.25">
      <c r="AD1641"/>
    </row>
    <row r="1642" spans="30:30" x14ac:dyDescent="0.25">
      <c r="AD1642"/>
    </row>
    <row r="1643" spans="30:30" x14ac:dyDescent="0.25">
      <c r="AD1643"/>
    </row>
    <row r="1644" spans="30:30" x14ac:dyDescent="0.25">
      <c r="AD1644"/>
    </row>
    <row r="1645" spans="30:30" x14ac:dyDescent="0.25">
      <c r="AD1645"/>
    </row>
    <row r="1646" spans="30:30" x14ac:dyDescent="0.25">
      <c r="AD1646"/>
    </row>
    <row r="1647" spans="30:30" x14ac:dyDescent="0.25">
      <c r="AD1647"/>
    </row>
    <row r="1648" spans="30:30" x14ac:dyDescent="0.25">
      <c r="AD1648"/>
    </row>
    <row r="1649" spans="30:30" x14ac:dyDescent="0.25">
      <c r="AD1649"/>
    </row>
    <row r="1650" spans="30:30" x14ac:dyDescent="0.25">
      <c r="AD1650"/>
    </row>
    <row r="1651" spans="30:30" x14ac:dyDescent="0.25">
      <c r="AD1651"/>
    </row>
    <row r="1652" spans="30:30" x14ac:dyDescent="0.25">
      <c r="AD1652"/>
    </row>
    <row r="1653" spans="30:30" x14ac:dyDescent="0.25">
      <c r="AD1653"/>
    </row>
    <row r="1654" spans="30:30" x14ac:dyDescent="0.25">
      <c r="AD1654"/>
    </row>
    <row r="1655" spans="30:30" x14ac:dyDescent="0.25">
      <c r="AD1655"/>
    </row>
    <row r="1656" spans="30:30" x14ac:dyDescent="0.25">
      <c r="AD1656"/>
    </row>
    <row r="1657" spans="30:30" x14ac:dyDescent="0.25">
      <c r="AD1657"/>
    </row>
    <row r="1658" spans="30:30" x14ac:dyDescent="0.25">
      <c r="AD1658"/>
    </row>
    <row r="1659" spans="30:30" x14ac:dyDescent="0.25">
      <c r="AD1659"/>
    </row>
    <row r="1660" spans="30:30" x14ac:dyDescent="0.25">
      <c r="AD1660"/>
    </row>
    <row r="1661" spans="30:30" x14ac:dyDescent="0.25">
      <c r="AD1661"/>
    </row>
    <row r="1662" spans="30:30" x14ac:dyDescent="0.25">
      <c r="AD1662"/>
    </row>
    <row r="1663" spans="30:30" x14ac:dyDescent="0.25">
      <c r="AD1663"/>
    </row>
    <row r="1664" spans="30:30" x14ac:dyDescent="0.25">
      <c r="AD1664"/>
    </row>
    <row r="1665" spans="30:30" x14ac:dyDescent="0.25">
      <c r="AD1665"/>
    </row>
    <row r="1666" spans="30:30" x14ac:dyDescent="0.25">
      <c r="AD1666"/>
    </row>
    <row r="1667" spans="30:30" x14ac:dyDescent="0.25">
      <c r="AD1667"/>
    </row>
    <row r="1668" spans="30:30" x14ac:dyDescent="0.25">
      <c r="AD1668"/>
    </row>
    <row r="1669" spans="30:30" x14ac:dyDescent="0.25">
      <c r="AD1669"/>
    </row>
    <row r="1670" spans="30:30" x14ac:dyDescent="0.25">
      <c r="AD1670"/>
    </row>
    <row r="1671" spans="30:30" x14ac:dyDescent="0.25">
      <c r="AD1671"/>
    </row>
    <row r="1672" spans="30:30" x14ac:dyDescent="0.25">
      <c r="AD1672"/>
    </row>
    <row r="1673" spans="30:30" x14ac:dyDescent="0.25">
      <c r="AD1673"/>
    </row>
    <row r="1674" spans="30:30" x14ac:dyDescent="0.25">
      <c r="AD1674"/>
    </row>
    <row r="1675" spans="30:30" x14ac:dyDescent="0.25">
      <c r="AD1675"/>
    </row>
    <row r="1676" spans="30:30" x14ac:dyDescent="0.25">
      <c r="AD1676"/>
    </row>
    <row r="1677" spans="30:30" x14ac:dyDescent="0.25">
      <c r="AD1677"/>
    </row>
    <row r="1678" spans="30:30" x14ac:dyDescent="0.25">
      <c r="AD1678"/>
    </row>
    <row r="1679" spans="30:30" x14ac:dyDescent="0.25">
      <c r="AD1679"/>
    </row>
    <row r="1680" spans="30:30" x14ac:dyDescent="0.25">
      <c r="AD1680"/>
    </row>
    <row r="1681" spans="30:30" x14ac:dyDescent="0.25">
      <c r="AD1681"/>
    </row>
    <row r="1682" spans="30:30" x14ac:dyDescent="0.25">
      <c r="AD1682"/>
    </row>
    <row r="1683" spans="30:30" x14ac:dyDescent="0.25">
      <c r="AD1683"/>
    </row>
    <row r="1684" spans="30:30" x14ac:dyDescent="0.25">
      <c r="AD1684"/>
    </row>
    <row r="1685" spans="30:30" x14ac:dyDescent="0.25">
      <c r="AD1685"/>
    </row>
    <row r="1686" spans="30:30" x14ac:dyDescent="0.25">
      <c r="AD1686"/>
    </row>
    <row r="1687" spans="30:30" x14ac:dyDescent="0.25">
      <c r="AD1687"/>
    </row>
    <row r="1688" spans="30:30" x14ac:dyDescent="0.25">
      <c r="AD1688"/>
    </row>
    <row r="1689" spans="30:30" x14ac:dyDescent="0.25">
      <c r="AD1689"/>
    </row>
    <row r="1690" spans="30:30" x14ac:dyDescent="0.25">
      <c r="AD1690"/>
    </row>
    <row r="1691" spans="30:30" x14ac:dyDescent="0.25">
      <c r="AD1691"/>
    </row>
    <row r="1692" spans="30:30" x14ac:dyDescent="0.25">
      <c r="AD1692"/>
    </row>
    <row r="1693" spans="30:30" x14ac:dyDescent="0.25">
      <c r="AD1693"/>
    </row>
    <row r="1694" spans="30:30" x14ac:dyDescent="0.25">
      <c r="AD1694"/>
    </row>
    <row r="1695" spans="30:30" x14ac:dyDescent="0.25">
      <c r="AD1695"/>
    </row>
    <row r="1696" spans="30:30" x14ac:dyDescent="0.25">
      <c r="AD1696"/>
    </row>
    <row r="1697" spans="30:30" x14ac:dyDescent="0.25">
      <c r="AD1697"/>
    </row>
    <row r="1698" spans="30:30" x14ac:dyDescent="0.25">
      <c r="AD1698"/>
    </row>
    <row r="1699" spans="30:30" x14ac:dyDescent="0.25">
      <c r="AD1699"/>
    </row>
    <row r="1700" spans="30:30" x14ac:dyDescent="0.25">
      <c r="AD1700"/>
    </row>
    <row r="1701" spans="30:30" x14ac:dyDescent="0.25">
      <c r="AD1701"/>
    </row>
    <row r="1702" spans="30:30" x14ac:dyDescent="0.25">
      <c r="AD1702"/>
    </row>
    <row r="1703" spans="30:30" x14ac:dyDescent="0.25">
      <c r="AD1703"/>
    </row>
    <row r="1704" spans="30:30" x14ac:dyDescent="0.25">
      <c r="AD1704"/>
    </row>
    <row r="1705" spans="30:30" x14ac:dyDescent="0.25">
      <c r="AD1705"/>
    </row>
    <row r="1706" spans="30:30" x14ac:dyDescent="0.25">
      <c r="AD1706"/>
    </row>
    <row r="1707" spans="30:30" x14ac:dyDescent="0.25">
      <c r="AD1707"/>
    </row>
    <row r="1708" spans="30:30" x14ac:dyDescent="0.25">
      <c r="AD1708"/>
    </row>
    <row r="1709" spans="30:30" x14ac:dyDescent="0.25">
      <c r="AD1709"/>
    </row>
    <row r="1710" spans="30:30" x14ac:dyDescent="0.25">
      <c r="AD1710"/>
    </row>
    <row r="1711" spans="30:30" x14ac:dyDescent="0.25">
      <c r="AD1711"/>
    </row>
    <row r="1712" spans="30:30" x14ac:dyDescent="0.25">
      <c r="AD1712"/>
    </row>
    <row r="1713" spans="30:30" x14ac:dyDescent="0.25">
      <c r="AD1713"/>
    </row>
    <row r="1714" spans="30:30" x14ac:dyDescent="0.25">
      <c r="AD1714"/>
    </row>
    <row r="1715" spans="30:30" x14ac:dyDescent="0.25">
      <c r="AD1715"/>
    </row>
    <row r="1716" spans="30:30" x14ac:dyDescent="0.25">
      <c r="AD1716"/>
    </row>
    <row r="1717" spans="30:30" x14ac:dyDescent="0.25">
      <c r="AD1717"/>
    </row>
    <row r="1718" spans="30:30" x14ac:dyDescent="0.25">
      <c r="AD1718"/>
    </row>
    <row r="1719" spans="30:30" x14ac:dyDescent="0.25">
      <c r="AD1719"/>
    </row>
    <row r="1720" spans="30:30" x14ac:dyDescent="0.25">
      <c r="AD1720"/>
    </row>
    <row r="1721" spans="30:30" x14ac:dyDescent="0.25">
      <c r="AD1721"/>
    </row>
    <row r="1722" spans="30:30" x14ac:dyDescent="0.25">
      <c r="AD1722"/>
    </row>
    <row r="1723" spans="30:30" x14ac:dyDescent="0.25">
      <c r="AD1723"/>
    </row>
    <row r="1724" spans="30:30" x14ac:dyDescent="0.25">
      <c r="AD1724"/>
    </row>
    <row r="1725" spans="30:30" x14ac:dyDescent="0.25">
      <c r="AD1725"/>
    </row>
    <row r="1726" spans="30:30" x14ac:dyDescent="0.25">
      <c r="AD1726"/>
    </row>
    <row r="1727" spans="30:30" x14ac:dyDescent="0.25">
      <c r="AD1727"/>
    </row>
    <row r="1728" spans="30:30" x14ac:dyDescent="0.25">
      <c r="AD1728"/>
    </row>
    <row r="1729" spans="30:30" x14ac:dyDescent="0.25">
      <c r="AD1729"/>
    </row>
    <row r="1730" spans="30:30" x14ac:dyDescent="0.25">
      <c r="AD1730"/>
    </row>
    <row r="1731" spans="30:30" x14ac:dyDescent="0.25">
      <c r="AD1731"/>
    </row>
    <row r="1732" spans="30:30" x14ac:dyDescent="0.25">
      <c r="AD1732"/>
    </row>
    <row r="1733" spans="30:30" x14ac:dyDescent="0.25">
      <c r="AD1733"/>
    </row>
    <row r="1734" spans="30:30" x14ac:dyDescent="0.25">
      <c r="AD1734"/>
    </row>
    <row r="1735" spans="30:30" x14ac:dyDescent="0.25">
      <c r="AD1735"/>
    </row>
    <row r="1736" spans="30:30" x14ac:dyDescent="0.25">
      <c r="AD1736"/>
    </row>
    <row r="1737" spans="30:30" x14ac:dyDescent="0.25">
      <c r="AD1737"/>
    </row>
    <row r="1738" spans="30:30" x14ac:dyDescent="0.25">
      <c r="AD1738"/>
    </row>
    <row r="1739" spans="30:30" x14ac:dyDescent="0.25">
      <c r="AD1739"/>
    </row>
    <row r="1740" spans="30:30" x14ac:dyDescent="0.25">
      <c r="AD1740"/>
    </row>
    <row r="1741" spans="30:30" x14ac:dyDescent="0.25">
      <c r="AD1741"/>
    </row>
    <row r="1742" spans="30:30" x14ac:dyDescent="0.25">
      <c r="AD1742"/>
    </row>
    <row r="1743" spans="30:30" x14ac:dyDescent="0.25">
      <c r="AD1743"/>
    </row>
    <row r="1744" spans="30:30" x14ac:dyDescent="0.25">
      <c r="AD1744"/>
    </row>
    <row r="1745" spans="30:30" x14ac:dyDescent="0.25">
      <c r="AD1745"/>
    </row>
    <row r="1746" spans="30:30" x14ac:dyDescent="0.25">
      <c r="AD1746"/>
    </row>
    <row r="1747" spans="30:30" x14ac:dyDescent="0.25">
      <c r="AD1747"/>
    </row>
    <row r="1748" spans="30:30" x14ac:dyDescent="0.25">
      <c r="AD1748"/>
    </row>
    <row r="1749" spans="30:30" x14ac:dyDescent="0.25">
      <c r="AD1749"/>
    </row>
    <row r="1750" spans="30:30" x14ac:dyDescent="0.25">
      <c r="AD1750"/>
    </row>
    <row r="1751" spans="30:30" x14ac:dyDescent="0.25">
      <c r="AD1751"/>
    </row>
    <row r="1752" spans="30:30" x14ac:dyDescent="0.25">
      <c r="AD1752"/>
    </row>
    <row r="1753" spans="30:30" x14ac:dyDescent="0.25">
      <c r="AD1753"/>
    </row>
    <row r="1754" spans="30:30" x14ac:dyDescent="0.25">
      <c r="AD1754"/>
    </row>
    <row r="1755" spans="30:30" x14ac:dyDescent="0.25">
      <c r="AD1755"/>
    </row>
    <row r="1756" spans="30:30" x14ac:dyDescent="0.25">
      <c r="AD1756"/>
    </row>
    <row r="1757" spans="30:30" x14ac:dyDescent="0.25">
      <c r="AD1757"/>
    </row>
    <row r="1758" spans="30:30" x14ac:dyDescent="0.25">
      <c r="AD1758"/>
    </row>
    <row r="1759" spans="30:30" x14ac:dyDescent="0.25">
      <c r="AD1759"/>
    </row>
    <row r="1760" spans="30:30" x14ac:dyDescent="0.25">
      <c r="AD1760"/>
    </row>
    <row r="1761" spans="30:30" x14ac:dyDescent="0.25">
      <c r="AD1761"/>
    </row>
    <row r="1762" spans="30:30" x14ac:dyDescent="0.25">
      <c r="AD1762"/>
    </row>
    <row r="1763" spans="30:30" x14ac:dyDescent="0.25">
      <c r="AD1763"/>
    </row>
    <row r="1764" spans="30:30" x14ac:dyDescent="0.25">
      <c r="AD1764"/>
    </row>
    <row r="1765" spans="30:30" x14ac:dyDescent="0.25">
      <c r="AD1765"/>
    </row>
    <row r="1766" spans="30:30" x14ac:dyDescent="0.25">
      <c r="AD1766"/>
    </row>
    <row r="1767" spans="30:30" x14ac:dyDescent="0.25">
      <c r="AD1767"/>
    </row>
    <row r="1768" spans="30:30" x14ac:dyDescent="0.25">
      <c r="AD1768"/>
    </row>
    <row r="1769" spans="30:30" x14ac:dyDescent="0.25">
      <c r="AD1769"/>
    </row>
    <row r="1770" spans="30:30" x14ac:dyDescent="0.25">
      <c r="AD1770"/>
    </row>
    <row r="1771" spans="30:30" x14ac:dyDescent="0.25">
      <c r="AD1771"/>
    </row>
    <row r="1772" spans="30:30" x14ac:dyDescent="0.25">
      <c r="AD1772"/>
    </row>
    <row r="1773" spans="30:30" x14ac:dyDescent="0.25">
      <c r="AD1773"/>
    </row>
    <row r="1774" spans="30:30" x14ac:dyDescent="0.25">
      <c r="AD1774"/>
    </row>
    <row r="1775" spans="30:30" x14ac:dyDescent="0.25">
      <c r="AD1775"/>
    </row>
    <row r="1776" spans="30:30" x14ac:dyDescent="0.25">
      <c r="AD1776"/>
    </row>
    <row r="1777" spans="30:30" x14ac:dyDescent="0.25">
      <c r="AD1777"/>
    </row>
    <row r="1778" spans="30:30" x14ac:dyDescent="0.25">
      <c r="AD1778"/>
    </row>
    <row r="1779" spans="30:30" x14ac:dyDescent="0.25">
      <c r="AD1779"/>
    </row>
    <row r="1780" spans="30:30" x14ac:dyDescent="0.25">
      <c r="AD1780"/>
    </row>
    <row r="1781" spans="30:30" x14ac:dyDescent="0.25">
      <c r="AD1781"/>
    </row>
    <row r="1782" spans="30:30" x14ac:dyDescent="0.25">
      <c r="AD1782"/>
    </row>
    <row r="1783" spans="30:30" x14ac:dyDescent="0.25">
      <c r="AD1783"/>
    </row>
    <row r="1784" spans="30:30" x14ac:dyDescent="0.25">
      <c r="AD1784"/>
    </row>
    <row r="1785" spans="30:30" x14ac:dyDescent="0.25">
      <c r="AD1785"/>
    </row>
    <row r="1786" spans="30:30" x14ac:dyDescent="0.25">
      <c r="AD1786"/>
    </row>
    <row r="1787" spans="30:30" x14ac:dyDescent="0.25">
      <c r="AD1787"/>
    </row>
    <row r="1788" spans="30:30" x14ac:dyDescent="0.25">
      <c r="AD1788"/>
    </row>
    <row r="1789" spans="30:30" x14ac:dyDescent="0.25">
      <c r="AD1789"/>
    </row>
    <row r="1790" spans="30:30" x14ac:dyDescent="0.25">
      <c r="AD1790"/>
    </row>
    <row r="1791" spans="30:30" x14ac:dyDescent="0.25">
      <c r="AD1791"/>
    </row>
    <row r="1792" spans="30:30" x14ac:dyDescent="0.25">
      <c r="AD1792"/>
    </row>
    <row r="1793" spans="30:30" x14ac:dyDescent="0.25">
      <c r="AD1793"/>
    </row>
    <row r="1794" spans="30:30" x14ac:dyDescent="0.25">
      <c r="AD1794"/>
    </row>
    <row r="1795" spans="30:30" x14ac:dyDescent="0.25">
      <c r="AD1795"/>
    </row>
    <row r="1796" spans="30:30" x14ac:dyDescent="0.25">
      <c r="AD1796"/>
    </row>
    <row r="1797" spans="30:30" x14ac:dyDescent="0.25">
      <c r="AD1797"/>
    </row>
    <row r="1798" spans="30:30" x14ac:dyDescent="0.25">
      <c r="AD1798"/>
    </row>
    <row r="1799" spans="30:30" x14ac:dyDescent="0.25">
      <c r="AD1799"/>
    </row>
    <row r="1800" spans="30:30" x14ac:dyDescent="0.25">
      <c r="AD1800"/>
    </row>
    <row r="1801" spans="30:30" x14ac:dyDescent="0.25">
      <c r="AD1801"/>
    </row>
    <row r="1802" spans="30:30" x14ac:dyDescent="0.25">
      <c r="AD1802"/>
    </row>
    <row r="1803" spans="30:30" x14ac:dyDescent="0.25">
      <c r="AD1803"/>
    </row>
    <row r="1804" spans="30:30" x14ac:dyDescent="0.25">
      <c r="AD1804"/>
    </row>
    <row r="1805" spans="30:30" x14ac:dyDescent="0.25">
      <c r="AD1805"/>
    </row>
    <row r="1806" spans="30:30" x14ac:dyDescent="0.25">
      <c r="AD1806"/>
    </row>
    <row r="1807" spans="30:30" x14ac:dyDescent="0.25">
      <c r="AD1807"/>
    </row>
    <row r="1808" spans="30:30" x14ac:dyDescent="0.25">
      <c r="AD1808"/>
    </row>
    <row r="1809" spans="30:30" x14ac:dyDescent="0.25">
      <c r="AD1809"/>
    </row>
    <row r="1810" spans="30:30" x14ac:dyDescent="0.25">
      <c r="AD1810"/>
    </row>
    <row r="1811" spans="30:30" x14ac:dyDescent="0.25">
      <c r="AD1811"/>
    </row>
    <row r="1812" spans="30:30" x14ac:dyDescent="0.25">
      <c r="AD1812"/>
    </row>
    <row r="1813" spans="30:30" x14ac:dyDescent="0.25">
      <c r="AD1813"/>
    </row>
    <row r="1814" spans="30:30" x14ac:dyDescent="0.25">
      <c r="AD1814"/>
    </row>
    <row r="1815" spans="30:30" x14ac:dyDescent="0.25">
      <c r="AD1815"/>
    </row>
    <row r="1816" spans="30:30" x14ac:dyDescent="0.25">
      <c r="AD1816"/>
    </row>
    <row r="1817" spans="30:30" x14ac:dyDescent="0.25">
      <c r="AD1817"/>
    </row>
    <row r="1818" spans="30:30" x14ac:dyDescent="0.25">
      <c r="AD1818"/>
    </row>
    <row r="1819" spans="30:30" x14ac:dyDescent="0.25">
      <c r="AD1819"/>
    </row>
    <row r="1820" spans="30:30" x14ac:dyDescent="0.25">
      <c r="AD1820"/>
    </row>
    <row r="1821" spans="30:30" x14ac:dyDescent="0.25">
      <c r="AD1821"/>
    </row>
    <row r="1822" spans="30:30" x14ac:dyDescent="0.25">
      <c r="AD1822"/>
    </row>
    <row r="1823" spans="30:30" x14ac:dyDescent="0.25">
      <c r="AD1823"/>
    </row>
    <row r="1824" spans="30:30" x14ac:dyDescent="0.25">
      <c r="AD1824"/>
    </row>
    <row r="1825" spans="30:30" x14ac:dyDescent="0.25">
      <c r="AD1825"/>
    </row>
    <row r="1826" spans="30:30" x14ac:dyDescent="0.25">
      <c r="AD1826"/>
    </row>
    <row r="1827" spans="30:30" x14ac:dyDescent="0.25">
      <c r="AD1827"/>
    </row>
    <row r="1828" spans="30:30" x14ac:dyDescent="0.25">
      <c r="AD1828"/>
    </row>
    <row r="1829" spans="30:30" x14ac:dyDescent="0.25">
      <c r="AD1829"/>
    </row>
    <row r="1830" spans="30:30" x14ac:dyDescent="0.25">
      <c r="AD1830"/>
    </row>
    <row r="1831" spans="30:30" x14ac:dyDescent="0.25">
      <c r="AD1831"/>
    </row>
    <row r="1832" spans="30:30" x14ac:dyDescent="0.25">
      <c r="AD1832"/>
    </row>
    <row r="1833" spans="30:30" x14ac:dyDescent="0.25">
      <c r="AD1833"/>
    </row>
    <row r="1834" spans="30:30" x14ac:dyDescent="0.25">
      <c r="AD1834"/>
    </row>
    <row r="1835" spans="30:30" x14ac:dyDescent="0.25">
      <c r="AD1835"/>
    </row>
    <row r="1836" spans="30:30" x14ac:dyDescent="0.25">
      <c r="AD1836"/>
    </row>
    <row r="1837" spans="30:30" x14ac:dyDescent="0.25">
      <c r="AD1837"/>
    </row>
    <row r="1838" spans="30:30" x14ac:dyDescent="0.25">
      <c r="AD1838"/>
    </row>
    <row r="1839" spans="30:30" x14ac:dyDescent="0.25">
      <c r="AD1839"/>
    </row>
    <row r="1840" spans="30:30" x14ac:dyDescent="0.25">
      <c r="AD1840"/>
    </row>
    <row r="1841" spans="30:30" x14ac:dyDescent="0.25">
      <c r="AD1841"/>
    </row>
    <row r="1842" spans="30:30" x14ac:dyDescent="0.25">
      <c r="AD1842"/>
    </row>
    <row r="1843" spans="30:30" x14ac:dyDescent="0.25">
      <c r="AD1843"/>
    </row>
    <row r="1844" spans="30:30" x14ac:dyDescent="0.25">
      <c r="AD1844"/>
    </row>
    <row r="1845" spans="30:30" x14ac:dyDescent="0.25">
      <c r="AD1845"/>
    </row>
    <row r="1846" spans="30:30" x14ac:dyDescent="0.25">
      <c r="AD1846"/>
    </row>
    <row r="1847" spans="30:30" x14ac:dyDescent="0.25">
      <c r="AD1847"/>
    </row>
    <row r="1848" spans="30:30" x14ac:dyDescent="0.25">
      <c r="AD1848"/>
    </row>
    <row r="1849" spans="30:30" x14ac:dyDescent="0.25">
      <c r="AD1849"/>
    </row>
    <row r="1850" spans="30:30" x14ac:dyDescent="0.25">
      <c r="AD1850"/>
    </row>
    <row r="1851" spans="30:30" x14ac:dyDescent="0.25">
      <c r="AD1851"/>
    </row>
    <row r="1852" spans="30:30" x14ac:dyDescent="0.25">
      <c r="AD1852"/>
    </row>
    <row r="1853" spans="30:30" x14ac:dyDescent="0.25">
      <c r="AD1853"/>
    </row>
    <row r="1854" spans="30:30" x14ac:dyDescent="0.25">
      <c r="AD1854"/>
    </row>
    <row r="1855" spans="30:30" x14ac:dyDescent="0.25">
      <c r="AD1855"/>
    </row>
    <row r="1856" spans="30:30" x14ac:dyDescent="0.25">
      <c r="AD1856"/>
    </row>
    <row r="1857" spans="30:30" x14ac:dyDescent="0.25">
      <c r="AD1857"/>
    </row>
    <row r="1858" spans="30:30" x14ac:dyDescent="0.25">
      <c r="AD1858"/>
    </row>
    <row r="1859" spans="30:30" x14ac:dyDescent="0.25">
      <c r="AD1859"/>
    </row>
    <row r="1860" spans="30:30" x14ac:dyDescent="0.25">
      <c r="AD1860"/>
    </row>
    <row r="1861" spans="30:30" x14ac:dyDescent="0.25">
      <c r="AD1861"/>
    </row>
    <row r="1862" spans="30:30" x14ac:dyDescent="0.25">
      <c r="AD1862"/>
    </row>
    <row r="1863" spans="30:30" x14ac:dyDescent="0.25">
      <c r="AD1863"/>
    </row>
    <row r="1864" spans="30:30" x14ac:dyDescent="0.25">
      <c r="AD1864"/>
    </row>
    <row r="1865" spans="30:30" x14ac:dyDescent="0.25">
      <c r="AD1865"/>
    </row>
    <row r="1866" spans="30:30" x14ac:dyDescent="0.25">
      <c r="AD1866"/>
    </row>
    <row r="1867" spans="30:30" x14ac:dyDescent="0.25">
      <c r="AD1867"/>
    </row>
    <row r="1868" spans="30:30" x14ac:dyDescent="0.25">
      <c r="AD1868"/>
    </row>
    <row r="1869" spans="30:30" x14ac:dyDescent="0.25">
      <c r="AD1869"/>
    </row>
    <row r="1870" spans="30:30" x14ac:dyDescent="0.25">
      <c r="AD1870"/>
    </row>
    <row r="1871" spans="30:30" x14ac:dyDescent="0.25">
      <c r="AD1871"/>
    </row>
    <row r="1872" spans="30:30" x14ac:dyDescent="0.25">
      <c r="AD1872"/>
    </row>
    <row r="1873" spans="30:30" x14ac:dyDescent="0.25">
      <c r="AD1873"/>
    </row>
    <row r="1874" spans="30:30" x14ac:dyDescent="0.25">
      <c r="AD1874"/>
    </row>
    <row r="1875" spans="30:30" x14ac:dyDescent="0.25">
      <c r="AD1875"/>
    </row>
    <row r="1876" spans="30:30" x14ac:dyDescent="0.25">
      <c r="AD1876"/>
    </row>
    <row r="1877" spans="30:30" x14ac:dyDescent="0.25">
      <c r="AD1877"/>
    </row>
    <row r="1878" spans="30:30" x14ac:dyDescent="0.25">
      <c r="AD1878"/>
    </row>
    <row r="1879" spans="30:30" x14ac:dyDescent="0.25">
      <c r="AD1879"/>
    </row>
    <row r="1880" spans="30:30" x14ac:dyDescent="0.25">
      <c r="AD1880"/>
    </row>
    <row r="1881" spans="30:30" x14ac:dyDescent="0.25">
      <c r="AD1881"/>
    </row>
    <row r="1882" spans="30:30" x14ac:dyDescent="0.25">
      <c r="AD1882"/>
    </row>
    <row r="1883" spans="30:30" x14ac:dyDescent="0.25">
      <c r="AD1883"/>
    </row>
    <row r="1884" spans="30:30" x14ac:dyDescent="0.25">
      <c r="AD1884"/>
    </row>
    <row r="1885" spans="30:30" x14ac:dyDescent="0.25">
      <c r="AD1885"/>
    </row>
    <row r="1886" spans="30:30" x14ac:dyDescent="0.25">
      <c r="AD1886"/>
    </row>
    <row r="1887" spans="30:30" x14ac:dyDescent="0.25">
      <c r="AD1887"/>
    </row>
    <row r="1888" spans="30:30" x14ac:dyDescent="0.25">
      <c r="AD1888"/>
    </row>
    <row r="1889" spans="30:30" x14ac:dyDescent="0.25">
      <c r="AD1889"/>
    </row>
    <row r="1890" spans="30:30" x14ac:dyDescent="0.25">
      <c r="AD1890"/>
    </row>
    <row r="1891" spans="30:30" x14ac:dyDescent="0.25">
      <c r="AD1891"/>
    </row>
    <row r="1892" spans="30:30" x14ac:dyDescent="0.25">
      <c r="AD1892"/>
    </row>
    <row r="1893" spans="30:30" x14ac:dyDescent="0.25">
      <c r="AD1893"/>
    </row>
    <row r="1894" spans="30:30" x14ac:dyDescent="0.25">
      <c r="AD1894"/>
    </row>
    <row r="1895" spans="30:30" x14ac:dyDescent="0.25">
      <c r="AD1895"/>
    </row>
    <row r="1896" spans="30:30" x14ac:dyDescent="0.25">
      <c r="AD1896"/>
    </row>
    <row r="1897" spans="30:30" x14ac:dyDescent="0.25">
      <c r="AD1897"/>
    </row>
    <row r="1898" spans="30:30" x14ac:dyDescent="0.25">
      <c r="AD1898"/>
    </row>
    <row r="1899" spans="30:30" x14ac:dyDescent="0.25">
      <c r="AD1899"/>
    </row>
    <row r="1900" spans="30:30" x14ac:dyDescent="0.25">
      <c r="AD1900"/>
    </row>
    <row r="1901" spans="30:30" x14ac:dyDescent="0.25">
      <c r="AD1901"/>
    </row>
    <row r="1902" spans="30:30" x14ac:dyDescent="0.25">
      <c r="AD1902"/>
    </row>
    <row r="1903" spans="30:30" x14ac:dyDescent="0.25">
      <c r="AD1903"/>
    </row>
    <row r="1904" spans="30:30" x14ac:dyDescent="0.25">
      <c r="AD1904"/>
    </row>
    <row r="1905" spans="30:30" x14ac:dyDescent="0.25">
      <c r="AD1905"/>
    </row>
    <row r="1906" spans="30:30" x14ac:dyDescent="0.25">
      <c r="AD1906"/>
    </row>
    <row r="1907" spans="30:30" x14ac:dyDescent="0.25">
      <c r="AD1907"/>
    </row>
    <row r="1908" spans="30:30" x14ac:dyDescent="0.25">
      <c r="AD1908"/>
    </row>
    <row r="1909" spans="30:30" x14ac:dyDescent="0.25">
      <c r="AD1909"/>
    </row>
    <row r="1910" spans="30:30" x14ac:dyDescent="0.25">
      <c r="AD1910"/>
    </row>
    <row r="1911" spans="30:30" x14ac:dyDescent="0.25">
      <c r="AD1911"/>
    </row>
    <row r="1912" spans="30:30" x14ac:dyDescent="0.25">
      <c r="AD1912"/>
    </row>
    <row r="1913" spans="30:30" x14ac:dyDescent="0.25">
      <c r="AD1913"/>
    </row>
    <row r="1914" spans="30:30" x14ac:dyDescent="0.25">
      <c r="AD1914"/>
    </row>
    <row r="1915" spans="30:30" x14ac:dyDescent="0.25">
      <c r="AD1915"/>
    </row>
    <row r="1916" spans="30:30" x14ac:dyDescent="0.25">
      <c r="AD1916"/>
    </row>
    <row r="1917" spans="30:30" x14ac:dyDescent="0.25">
      <c r="AD1917"/>
    </row>
    <row r="1918" spans="30:30" x14ac:dyDescent="0.25">
      <c r="AD1918"/>
    </row>
    <row r="1919" spans="30:30" x14ac:dyDescent="0.25">
      <c r="AD1919"/>
    </row>
    <row r="1920" spans="30:30" x14ac:dyDescent="0.25">
      <c r="AD1920"/>
    </row>
    <row r="1921" spans="30:30" x14ac:dyDescent="0.25">
      <c r="AD1921"/>
    </row>
    <row r="1922" spans="30:30" x14ac:dyDescent="0.25">
      <c r="AD1922"/>
    </row>
    <row r="1923" spans="30:30" x14ac:dyDescent="0.25">
      <c r="AD1923"/>
    </row>
    <row r="1924" spans="30:30" x14ac:dyDescent="0.25">
      <c r="AD1924"/>
    </row>
    <row r="1925" spans="30:30" x14ac:dyDescent="0.25">
      <c r="AD1925"/>
    </row>
    <row r="1926" spans="30:30" x14ac:dyDescent="0.25">
      <c r="AD1926"/>
    </row>
    <row r="1927" spans="30:30" x14ac:dyDescent="0.25">
      <c r="AD1927"/>
    </row>
    <row r="1928" spans="30:30" x14ac:dyDescent="0.25">
      <c r="AD1928"/>
    </row>
    <row r="1929" spans="30:30" x14ac:dyDescent="0.25">
      <c r="AD1929"/>
    </row>
    <row r="1930" spans="30:30" x14ac:dyDescent="0.25">
      <c r="AD1930"/>
    </row>
    <row r="1931" spans="30:30" x14ac:dyDescent="0.25">
      <c r="AD1931"/>
    </row>
    <row r="1932" spans="30:30" x14ac:dyDescent="0.25">
      <c r="AD1932"/>
    </row>
    <row r="1933" spans="30:30" x14ac:dyDescent="0.25">
      <c r="AD1933"/>
    </row>
    <row r="1934" spans="30:30" x14ac:dyDescent="0.25">
      <c r="AD1934"/>
    </row>
    <row r="1935" spans="30:30" x14ac:dyDescent="0.25">
      <c r="AD1935"/>
    </row>
    <row r="1936" spans="30:30" x14ac:dyDescent="0.25">
      <c r="AD1936"/>
    </row>
    <row r="1937" spans="30:30" x14ac:dyDescent="0.25">
      <c r="AD1937"/>
    </row>
    <row r="1938" spans="30:30" x14ac:dyDescent="0.25">
      <c r="AD1938"/>
    </row>
    <row r="1939" spans="30:30" x14ac:dyDescent="0.25">
      <c r="AD1939"/>
    </row>
    <row r="1940" spans="30:30" x14ac:dyDescent="0.25">
      <c r="AD1940"/>
    </row>
    <row r="1941" spans="30:30" x14ac:dyDescent="0.25">
      <c r="AD1941"/>
    </row>
    <row r="1942" spans="30:30" x14ac:dyDescent="0.25">
      <c r="AD1942"/>
    </row>
    <row r="1943" spans="30:30" x14ac:dyDescent="0.25">
      <c r="AD1943"/>
    </row>
    <row r="1944" spans="30:30" x14ac:dyDescent="0.25">
      <c r="AD1944"/>
    </row>
    <row r="1945" spans="30:30" x14ac:dyDescent="0.25">
      <c r="AD1945"/>
    </row>
    <row r="1946" spans="30:30" x14ac:dyDescent="0.25">
      <c r="AD1946"/>
    </row>
    <row r="1947" spans="30:30" x14ac:dyDescent="0.25">
      <c r="AD1947"/>
    </row>
    <row r="1948" spans="30:30" x14ac:dyDescent="0.25">
      <c r="AD1948"/>
    </row>
    <row r="1949" spans="30:30" x14ac:dyDescent="0.25">
      <c r="AD1949"/>
    </row>
    <row r="1950" spans="30:30" x14ac:dyDescent="0.25">
      <c r="AD1950"/>
    </row>
    <row r="1951" spans="30:30" x14ac:dyDescent="0.25">
      <c r="AD1951"/>
    </row>
    <row r="1952" spans="30:30" x14ac:dyDescent="0.25">
      <c r="AD1952"/>
    </row>
    <row r="1953" spans="30:30" x14ac:dyDescent="0.25">
      <c r="AD1953"/>
    </row>
    <row r="1954" spans="30:30" x14ac:dyDescent="0.25">
      <c r="AD1954"/>
    </row>
    <row r="1955" spans="30:30" x14ac:dyDescent="0.25">
      <c r="AD1955"/>
    </row>
    <row r="1956" spans="30:30" x14ac:dyDescent="0.25">
      <c r="AD1956"/>
    </row>
    <row r="1957" spans="30:30" x14ac:dyDescent="0.25">
      <c r="AD1957"/>
    </row>
    <row r="1958" spans="30:30" x14ac:dyDescent="0.25">
      <c r="AD1958"/>
    </row>
    <row r="1959" spans="30:30" x14ac:dyDescent="0.25">
      <c r="AD1959"/>
    </row>
    <row r="1960" spans="30:30" x14ac:dyDescent="0.25">
      <c r="AD1960"/>
    </row>
    <row r="1961" spans="30:30" x14ac:dyDescent="0.25">
      <c r="AD1961"/>
    </row>
    <row r="1962" spans="30:30" x14ac:dyDescent="0.25">
      <c r="AD1962"/>
    </row>
    <row r="1963" spans="30:30" x14ac:dyDescent="0.25">
      <c r="AD1963"/>
    </row>
    <row r="1964" spans="30:30" x14ac:dyDescent="0.25">
      <c r="AD1964"/>
    </row>
    <row r="1965" spans="30:30" x14ac:dyDescent="0.25">
      <c r="AD1965"/>
    </row>
    <row r="1966" spans="30:30" x14ac:dyDescent="0.25">
      <c r="AD1966"/>
    </row>
    <row r="1967" spans="30:30" x14ac:dyDescent="0.25">
      <c r="AD1967"/>
    </row>
    <row r="1968" spans="30:30" x14ac:dyDescent="0.25">
      <c r="AD1968"/>
    </row>
    <row r="1969" spans="30:30" x14ac:dyDescent="0.25">
      <c r="AD1969"/>
    </row>
    <row r="1970" spans="30:30" x14ac:dyDescent="0.25">
      <c r="AD1970"/>
    </row>
    <row r="1971" spans="30:30" x14ac:dyDescent="0.25">
      <c r="AD1971"/>
    </row>
    <row r="1972" spans="30:30" x14ac:dyDescent="0.25">
      <c r="AD1972"/>
    </row>
    <row r="1973" spans="30:30" x14ac:dyDescent="0.25">
      <c r="AD1973"/>
    </row>
    <row r="1974" spans="30:30" x14ac:dyDescent="0.25">
      <c r="AD1974"/>
    </row>
    <row r="1975" spans="30:30" x14ac:dyDescent="0.25">
      <c r="AD1975"/>
    </row>
    <row r="1976" spans="30:30" x14ac:dyDescent="0.25">
      <c r="AD1976"/>
    </row>
    <row r="1977" spans="30:30" x14ac:dyDescent="0.25">
      <c r="AD1977"/>
    </row>
    <row r="1978" spans="30:30" x14ac:dyDescent="0.25">
      <c r="AD1978"/>
    </row>
    <row r="1979" spans="30:30" x14ac:dyDescent="0.25">
      <c r="AD1979"/>
    </row>
    <row r="1980" spans="30:30" x14ac:dyDescent="0.25">
      <c r="AD1980"/>
    </row>
    <row r="1981" spans="30:30" x14ac:dyDescent="0.25">
      <c r="AD1981"/>
    </row>
    <row r="1982" spans="30:30" x14ac:dyDescent="0.25">
      <c r="AD1982"/>
    </row>
    <row r="1983" spans="30:30" x14ac:dyDescent="0.25">
      <c r="AD1983"/>
    </row>
    <row r="1984" spans="30:30" x14ac:dyDescent="0.25">
      <c r="AD1984"/>
    </row>
    <row r="1985" spans="30:30" x14ac:dyDescent="0.25">
      <c r="AD1985"/>
    </row>
    <row r="1986" spans="30:30" x14ac:dyDescent="0.25">
      <c r="AD1986"/>
    </row>
    <row r="1987" spans="30:30" x14ac:dyDescent="0.25">
      <c r="AD1987"/>
    </row>
    <row r="1988" spans="30:30" x14ac:dyDescent="0.25">
      <c r="AD1988"/>
    </row>
    <row r="1989" spans="30:30" x14ac:dyDescent="0.25">
      <c r="AD1989"/>
    </row>
    <row r="1990" spans="30:30" x14ac:dyDescent="0.25">
      <c r="AD1990"/>
    </row>
    <row r="1991" spans="30:30" x14ac:dyDescent="0.25">
      <c r="AD1991"/>
    </row>
    <row r="1992" spans="30:30" x14ac:dyDescent="0.25">
      <c r="AD1992"/>
    </row>
    <row r="1993" spans="30:30" x14ac:dyDescent="0.25">
      <c r="AD1993"/>
    </row>
    <row r="1994" spans="30:30" x14ac:dyDescent="0.25">
      <c r="AD1994"/>
    </row>
    <row r="1995" spans="30:30" x14ac:dyDescent="0.25">
      <c r="AD1995"/>
    </row>
    <row r="1996" spans="30:30" x14ac:dyDescent="0.25">
      <c r="AD1996"/>
    </row>
    <row r="1997" spans="30:30" x14ac:dyDescent="0.25">
      <c r="AD1997"/>
    </row>
    <row r="1998" spans="30:30" x14ac:dyDescent="0.25">
      <c r="AD1998"/>
    </row>
    <row r="1999" spans="30:30" x14ac:dyDescent="0.25">
      <c r="AD1999"/>
    </row>
    <row r="2000" spans="30:30" x14ac:dyDescent="0.25">
      <c r="AD2000"/>
    </row>
    <row r="2001" spans="30:30" x14ac:dyDescent="0.25">
      <c r="AD2001"/>
    </row>
    <row r="2002" spans="30:30" x14ac:dyDescent="0.25">
      <c r="AD2002"/>
    </row>
    <row r="2003" spans="30:30" x14ac:dyDescent="0.25">
      <c r="AD2003"/>
    </row>
    <row r="2004" spans="30:30" x14ac:dyDescent="0.25">
      <c r="AD2004"/>
    </row>
    <row r="2005" spans="30:30" x14ac:dyDescent="0.25">
      <c r="AD2005"/>
    </row>
    <row r="2006" spans="30:30" x14ac:dyDescent="0.25">
      <c r="AD2006"/>
    </row>
    <row r="2007" spans="30:30" x14ac:dyDescent="0.25">
      <c r="AD2007"/>
    </row>
    <row r="2008" spans="30:30" x14ac:dyDescent="0.25">
      <c r="AD2008"/>
    </row>
    <row r="2009" spans="30:30" x14ac:dyDescent="0.25">
      <c r="AD2009"/>
    </row>
    <row r="2010" spans="30:30" x14ac:dyDescent="0.25">
      <c r="AD2010"/>
    </row>
    <row r="2011" spans="30:30" x14ac:dyDescent="0.25">
      <c r="AD2011"/>
    </row>
    <row r="2012" spans="30:30" x14ac:dyDescent="0.25">
      <c r="AD2012"/>
    </row>
    <row r="2013" spans="30:30" x14ac:dyDescent="0.25">
      <c r="AD2013"/>
    </row>
    <row r="2014" spans="30:30" x14ac:dyDescent="0.25">
      <c r="AD2014"/>
    </row>
    <row r="2015" spans="30:30" x14ac:dyDescent="0.25">
      <c r="AD2015"/>
    </row>
    <row r="2016" spans="30:30" x14ac:dyDescent="0.25">
      <c r="AD2016"/>
    </row>
    <row r="2017" spans="30:30" x14ac:dyDescent="0.25">
      <c r="AD2017"/>
    </row>
    <row r="2018" spans="30:30" x14ac:dyDescent="0.25">
      <c r="AD2018"/>
    </row>
    <row r="2019" spans="30:30" x14ac:dyDescent="0.25">
      <c r="AD2019"/>
    </row>
    <row r="2020" spans="30:30" x14ac:dyDescent="0.25">
      <c r="AD2020"/>
    </row>
    <row r="2021" spans="30:30" x14ac:dyDescent="0.25">
      <c r="AD2021"/>
    </row>
    <row r="2022" spans="30:30" x14ac:dyDescent="0.25">
      <c r="AD2022"/>
    </row>
    <row r="2023" spans="30:30" x14ac:dyDescent="0.25">
      <c r="AD2023"/>
    </row>
    <row r="2024" spans="30:30" x14ac:dyDescent="0.25">
      <c r="AD2024"/>
    </row>
    <row r="2025" spans="30:30" x14ac:dyDescent="0.25">
      <c r="AD2025"/>
    </row>
    <row r="2026" spans="30:30" x14ac:dyDescent="0.25">
      <c r="AD2026"/>
    </row>
    <row r="2027" spans="30:30" x14ac:dyDescent="0.25">
      <c r="AD2027"/>
    </row>
    <row r="2028" spans="30:30" x14ac:dyDescent="0.25">
      <c r="AD2028"/>
    </row>
    <row r="2029" spans="30:30" x14ac:dyDescent="0.25">
      <c r="AD2029"/>
    </row>
    <row r="2030" spans="30:30" x14ac:dyDescent="0.25">
      <c r="AD2030"/>
    </row>
    <row r="2031" spans="30:30" x14ac:dyDescent="0.25">
      <c r="AD2031"/>
    </row>
    <row r="2032" spans="30:30" x14ac:dyDescent="0.25">
      <c r="AD2032"/>
    </row>
    <row r="2033" spans="30:30" x14ac:dyDescent="0.25">
      <c r="AD2033"/>
    </row>
    <row r="2034" spans="30:30" x14ac:dyDescent="0.25">
      <c r="AD2034"/>
    </row>
    <row r="2035" spans="30:30" x14ac:dyDescent="0.25">
      <c r="AD2035"/>
    </row>
    <row r="2036" spans="30:30" x14ac:dyDescent="0.25">
      <c r="AD2036"/>
    </row>
    <row r="2037" spans="30:30" x14ac:dyDescent="0.25">
      <c r="AD2037"/>
    </row>
    <row r="2038" spans="30:30" x14ac:dyDescent="0.25">
      <c r="AD2038"/>
    </row>
    <row r="2039" spans="30:30" x14ac:dyDescent="0.25">
      <c r="AD2039"/>
    </row>
    <row r="2040" spans="30:30" x14ac:dyDescent="0.25">
      <c r="AD2040"/>
    </row>
    <row r="2041" spans="30:30" x14ac:dyDescent="0.25">
      <c r="AD2041"/>
    </row>
    <row r="2042" spans="30:30" x14ac:dyDescent="0.25">
      <c r="AD2042"/>
    </row>
    <row r="2043" spans="30:30" x14ac:dyDescent="0.25">
      <c r="AD2043"/>
    </row>
    <row r="2044" spans="30:30" x14ac:dyDescent="0.25">
      <c r="AD2044"/>
    </row>
    <row r="2045" spans="30:30" x14ac:dyDescent="0.25">
      <c r="AD2045"/>
    </row>
    <row r="2046" spans="30:30" x14ac:dyDescent="0.25">
      <c r="AD2046"/>
    </row>
    <row r="2047" spans="30:30" x14ac:dyDescent="0.25">
      <c r="AD2047"/>
    </row>
    <row r="2048" spans="30:30" x14ac:dyDescent="0.25">
      <c r="AD2048"/>
    </row>
    <row r="2049" spans="30:30" x14ac:dyDescent="0.25">
      <c r="AD2049"/>
    </row>
    <row r="2050" spans="30:30" x14ac:dyDescent="0.25">
      <c r="AD2050"/>
    </row>
    <row r="2051" spans="30:30" x14ac:dyDescent="0.25">
      <c r="AD2051"/>
    </row>
    <row r="2052" spans="30:30" x14ac:dyDescent="0.25">
      <c r="AD2052"/>
    </row>
    <row r="2053" spans="30:30" x14ac:dyDescent="0.25">
      <c r="AD2053"/>
    </row>
    <row r="2054" spans="30:30" x14ac:dyDescent="0.25">
      <c r="AD2054"/>
    </row>
    <row r="2055" spans="30:30" x14ac:dyDescent="0.25">
      <c r="AD2055"/>
    </row>
    <row r="2056" spans="30:30" x14ac:dyDescent="0.25">
      <c r="AD2056"/>
    </row>
    <row r="2057" spans="30:30" x14ac:dyDescent="0.25">
      <c r="AD2057"/>
    </row>
    <row r="2058" spans="30:30" x14ac:dyDescent="0.25">
      <c r="AD2058"/>
    </row>
    <row r="2059" spans="30:30" x14ac:dyDescent="0.25">
      <c r="AD2059"/>
    </row>
    <row r="2060" spans="30:30" x14ac:dyDescent="0.25">
      <c r="AD2060"/>
    </row>
    <row r="2061" spans="30:30" x14ac:dyDescent="0.25">
      <c r="AD2061"/>
    </row>
    <row r="2062" spans="30:30" x14ac:dyDescent="0.25">
      <c r="AD2062"/>
    </row>
    <row r="2063" spans="30:30" x14ac:dyDescent="0.25">
      <c r="AD2063"/>
    </row>
    <row r="2064" spans="30:30" x14ac:dyDescent="0.25">
      <c r="AD2064"/>
    </row>
    <row r="2065" spans="30:30" x14ac:dyDescent="0.25">
      <c r="AD2065"/>
    </row>
    <row r="2066" spans="30:30" x14ac:dyDescent="0.25">
      <c r="AD2066"/>
    </row>
    <row r="2067" spans="30:30" x14ac:dyDescent="0.25">
      <c r="AD2067"/>
    </row>
    <row r="2068" spans="30:30" x14ac:dyDescent="0.25">
      <c r="AD2068"/>
    </row>
    <row r="2069" spans="30:30" x14ac:dyDescent="0.25">
      <c r="AD2069"/>
    </row>
    <row r="2070" spans="30:30" x14ac:dyDescent="0.25">
      <c r="AD2070"/>
    </row>
    <row r="2071" spans="30:30" x14ac:dyDescent="0.25">
      <c r="AD2071"/>
    </row>
    <row r="2072" spans="30:30" x14ac:dyDescent="0.25">
      <c r="AD2072"/>
    </row>
    <row r="2073" spans="30:30" x14ac:dyDescent="0.25">
      <c r="AD2073"/>
    </row>
    <row r="2074" spans="30:30" x14ac:dyDescent="0.25">
      <c r="AD2074"/>
    </row>
    <row r="2075" spans="30:30" x14ac:dyDescent="0.25">
      <c r="AD2075"/>
    </row>
    <row r="2076" spans="30:30" x14ac:dyDescent="0.25">
      <c r="AD2076"/>
    </row>
    <row r="2077" spans="30:30" x14ac:dyDescent="0.25">
      <c r="AD2077"/>
    </row>
    <row r="2078" spans="30:30" x14ac:dyDescent="0.25">
      <c r="AD2078"/>
    </row>
    <row r="2079" spans="30:30" x14ac:dyDescent="0.25">
      <c r="AD2079"/>
    </row>
    <row r="2080" spans="30:30" x14ac:dyDescent="0.25">
      <c r="AD2080"/>
    </row>
    <row r="2081" spans="30:30" x14ac:dyDescent="0.25">
      <c r="AD2081"/>
    </row>
    <row r="2082" spans="30:30" x14ac:dyDescent="0.25">
      <c r="AD2082"/>
    </row>
    <row r="2083" spans="30:30" x14ac:dyDescent="0.25">
      <c r="AD2083"/>
    </row>
    <row r="2084" spans="30:30" x14ac:dyDescent="0.25">
      <c r="AD2084"/>
    </row>
    <row r="2085" spans="30:30" x14ac:dyDescent="0.25">
      <c r="AD2085"/>
    </row>
    <row r="2086" spans="30:30" x14ac:dyDescent="0.25">
      <c r="AD2086"/>
    </row>
    <row r="2087" spans="30:30" x14ac:dyDescent="0.25">
      <c r="AD2087"/>
    </row>
    <row r="2088" spans="30:30" x14ac:dyDescent="0.25">
      <c r="AD2088"/>
    </row>
    <row r="2089" spans="30:30" x14ac:dyDescent="0.25">
      <c r="AD2089"/>
    </row>
    <row r="2090" spans="30:30" x14ac:dyDescent="0.25">
      <c r="AD2090"/>
    </row>
    <row r="2091" spans="30:30" x14ac:dyDescent="0.25">
      <c r="AD2091"/>
    </row>
    <row r="2092" spans="30:30" x14ac:dyDescent="0.25">
      <c r="AD2092"/>
    </row>
    <row r="2093" spans="30:30" x14ac:dyDescent="0.25">
      <c r="AD2093"/>
    </row>
    <row r="2094" spans="30:30" x14ac:dyDescent="0.25">
      <c r="AD2094"/>
    </row>
    <row r="2095" spans="30:30" x14ac:dyDescent="0.25">
      <c r="AD2095"/>
    </row>
    <row r="2096" spans="30:30" x14ac:dyDescent="0.25">
      <c r="AD2096"/>
    </row>
    <row r="2097" spans="30:30" x14ac:dyDescent="0.25">
      <c r="AD2097"/>
    </row>
    <row r="2098" spans="30:30" x14ac:dyDescent="0.25">
      <c r="AD2098"/>
    </row>
    <row r="2099" spans="30:30" x14ac:dyDescent="0.25">
      <c r="AD2099"/>
    </row>
    <row r="2100" spans="30:30" x14ac:dyDescent="0.25">
      <c r="AD2100"/>
    </row>
    <row r="2101" spans="30:30" x14ac:dyDescent="0.25">
      <c r="AD2101"/>
    </row>
    <row r="2102" spans="30:30" x14ac:dyDescent="0.25">
      <c r="AD2102"/>
    </row>
    <row r="2103" spans="30:30" x14ac:dyDescent="0.25">
      <c r="AD2103"/>
    </row>
    <row r="2104" spans="30:30" x14ac:dyDescent="0.25">
      <c r="AD2104"/>
    </row>
    <row r="2105" spans="30:30" x14ac:dyDescent="0.25">
      <c r="AD2105"/>
    </row>
    <row r="2106" spans="30:30" x14ac:dyDescent="0.25">
      <c r="AD2106"/>
    </row>
    <row r="2107" spans="30:30" x14ac:dyDescent="0.25">
      <c r="AD2107"/>
    </row>
    <row r="2108" spans="30:30" x14ac:dyDescent="0.25">
      <c r="AD2108"/>
    </row>
    <row r="2109" spans="30:30" x14ac:dyDescent="0.25">
      <c r="AD2109"/>
    </row>
    <row r="2110" spans="30:30" x14ac:dyDescent="0.25">
      <c r="AD2110"/>
    </row>
    <row r="2111" spans="30:30" x14ac:dyDescent="0.25">
      <c r="AD2111"/>
    </row>
    <row r="2112" spans="30:30" x14ac:dyDescent="0.25">
      <c r="AD2112"/>
    </row>
    <row r="2113" spans="30:30" x14ac:dyDescent="0.25">
      <c r="AD2113"/>
    </row>
    <row r="2114" spans="30:30" x14ac:dyDescent="0.25">
      <c r="AD2114"/>
    </row>
    <row r="2115" spans="30:30" x14ac:dyDescent="0.25">
      <c r="AD2115"/>
    </row>
    <row r="2116" spans="30:30" x14ac:dyDescent="0.25">
      <c r="AD2116"/>
    </row>
    <row r="2117" spans="30:30" x14ac:dyDescent="0.25">
      <c r="AD2117"/>
    </row>
    <row r="2118" spans="30:30" x14ac:dyDescent="0.25">
      <c r="AD2118"/>
    </row>
    <row r="2119" spans="30:30" x14ac:dyDescent="0.25">
      <c r="AD2119"/>
    </row>
    <row r="2120" spans="30:30" x14ac:dyDescent="0.25">
      <c r="AD2120"/>
    </row>
    <row r="2121" spans="30:30" x14ac:dyDescent="0.25">
      <c r="AD2121"/>
    </row>
    <row r="2122" spans="30:30" x14ac:dyDescent="0.25">
      <c r="AD2122"/>
    </row>
    <row r="2123" spans="30:30" x14ac:dyDescent="0.25">
      <c r="AD2123"/>
    </row>
    <row r="2124" spans="30:30" x14ac:dyDescent="0.25">
      <c r="AD2124"/>
    </row>
    <row r="2125" spans="30:30" x14ac:dyDescent="0.25">
      <c r="AD2125"/>
    </row>
    <row r="2126" spans="30:30" x14ac:dyDescent="0.25">
      <c r="AD2126"/>
    </row>
    <row r="2127" spans="30:30" x14ac:dyDescent="0.25">
      <c r="AD2127"/>
    </row>
    <row r="2128" spans="30:30" x14ac:dyDescent="0.25">
      <c r="AD2128"/>
    </row>
    <row r="2129" spans="30:30" x14ac:dyDescent="0.25">
      <c r="AD2129"/>
    </row>
    <row r="2130" spans="30:30" x14ac:dyDescent="0.25">
      <c r="AD2130"/>
    </row>
    <row r="2131" spans="30:30" x14ac:dyDescent="0.25">
      <c r="AD2131"/>
    </row>
    <row r="2132" spans="30:30" x14ac:dyDescent="0.25">
      <c r="AD2132"/>
    </row>
    <row r="2133" spans="30:30" x14ac:dyDescent="0.25">
      <c r="AD2133"/>
    </row>
    <row r="2134" spans="30:30" x14ac:dyDescent="0.25">
      <c r="AD2134"/>
    </row>
    <row r="2135" spans="30:30" x14ac:dyDescent="0.25">
      <c r="AD2135"/>
    </row>
    <row r="2136" spans="30:30" x14ac:dyDescent="0.25">
      <c r="AD2136"/>
    </row>
    <row r="2137" spans="30:30" x14ac:dyDescent="0.25">
      <c r="AD2137"/>
    </row>
    <row r="2138" spans="30:30" x14ac:dyDescent="0.25">
      <c r="AD2138"/>
    </row>
    <row r="2139" spans="30:30" x14ac:dyDescent="0.25">
      <c r="AD2139"/>
    </row>
    <row r="2140" spans="30:30" x14ac:dyDescent="0.25">
      <c r="AD2140"/>
    </row>
    <row r="2141" spans="30:30" x14ac:dyDescent="0.25">
      <c r="AD2141"/>
    </row>
    <row r="2142" spans="30:30" x14ac:dyDescent="0.25">
      <c r="AD2142"/>
    </row>
    <row r="2143" spans="30:30" x14ac:dyDescent="0.25">
      <c r="AD2143"/>
    </row>
    <row r="2144" spans="30:30" x14ac:dyDescent="0.25">
      <c r="AD2144"/>
    </row>
    <row r="2145" spans="30:30" x14ac:dyDescent="0.25">
      <c r="AD2145"/>
    </row>
    <row r="2146" spans="30:30" x14ac:dyDescent="0.25">
      <c r="AD2146"/>
    </row>
    <row r="2147" spans="30:30" x14ac:dyDescent="0.25">
      <c r="AD2147"/>
    </row>
    <row r="2148" spans="30:30" x14ac:dyDescent="0.25">
      <c r="AD2148"/>
    </row>
    <row r="2149" spans="30:30" x14ac:dyDescent="0.25">
      <c r="AD2149"/>
    </row>
    <row r="2150" spans="30:30" x14ac:dyDescent="0.25">
      <c r="AD2150"/>
    </row>
    <row r="2151" spans="30:30" x14ac:dyDescent="0.25">
      <c r="AD2151"/>
    </row>
    <row r="2152" spans="30:30" x14ac:dyDescent="0.25">
      <c r="AD2152"/>
    </row>
    <row r="2153" spans="30:30" x14ac:dyDescent="0.25">
      <c r="AD2153"/>
    </row>
    <row r="2154" spans="30:30" x14ac:dyDescent="0.25">
      <c r="AD2154"/>
    </row>
    <row r="2155" spans="30:30" x14ac:dyDescent="0.25">
      <c r="AD2155"/>
    </row>
    <row r="2156" spans="30:30" x14ac:dyDescent="0.25">
      <c r="AD2156"/>
    </row>
    <row r="2157" spans="30:30" x14ac:dyDescent="0.25">
      <c r="AD2157"/>
    </row>
    <row r="2158" spans="30:30" x14ac:dyDescent="0.25">
      <c r="AD2158"/>
    </row>
    <row r="2159" spans="30:30" x14ac:dyDescent="0.25">
      <c r="AD2159"/>
    </row>
    <row r="2160" spans="30:30" x14ac:dyDescent="0.25">
      <c r="AD2160"/>
    </row>
    <row r="2161" spans="30:30" x14ac:dyDescent="0.25">
      <c r="AD2161"/>
    </row>
    <row r="2162" spans="30:30" x14ac:dyDescent="0.25">
      <c r="AD2162"/>
    </row>
    <row r="2163" spans="30:30" x14ac:dyDescent="0.25">
      <c r="AD2163"/>
    </row>
    <row r="2164" spans="30:30" x14ac:dyDescent="0.25">
      <c r="AD2164"/>
    </row>
    <row r="2165" spans="30:30" x14ac:dyDescent="0.25">
      <c r="AD2165"/>
    </row>
    <row r="2166" spans="30:30" x14ac:dyDescent="0.25">
      <c r="AD2166"/>
    </row>
    <row r="2167" spans="30:30" x14ac:dyDescent="0.25">
      <c r="AD2167"/>
    </row>
    <row r="2168" spans="30:30" x14ac:dyDescent="0.25">
      <c r="AD2168"/>
    </row>
    <row r="2169" spans="30:30" x14ac:dyDescent="0.25">
      <c r="AD2169"/>
    </row>
    <row r="2170" spans="30:30" x14ac:dyDescent="0.25">
      <c r="AD2170"/>
    </row>
    <row r="2171" spans="30:30" x14ac:dyDescent="0.25">
      <c r="AD2171"/>
    </row>
    <row r="2172" spans="30:30" x14ac:dyDescent="0.25">
      <c r="AD2172"/>
    </row>
    <row r="2173" spans="30:30" x14ac:dyDescent="0.25">
      <c r="AD2173"/>
    </row>
    <row r="2174" spans="30:30" x14ac:dyDescent="0.25">
      <c r="AD2174"/>
    </row>
    <row r="2175" spans="30:30" x14ac:dyDescent="0.25">
      <c r="AD2175"/>
    </row>
    <row r="2176" spans="30:30" x14ac:dyDescent="0.25">
      <c r="AD2176"/>
    </row>
    <row r="2177" spans="30:30" x14ac:dyDescent="0.25">
      <c r="AD2177"/>
    </row>
    <row r="2178" spans="30:30" x14ac:dyDescent="0.25">
      <c r="AD2178"/>
    </row>
    <row r="2179" spans="30:30" x14ac:dyDescent="0.25">
      <c r="AD2179"/>
    </row>
    <row r="2180" spans="30:30" x14ac:dyDescent="0.25">
      <c r="AD2180"/>
    </row>
    <row r="2181" spans="30:30" x14ac:dyDescent="0.25">
      <c r="AD2181"/>
    </row>
    <row r="2182" spans="30:30" x14ac:dyDescent="0.25">
      <c r="AD2182"/>
    </row>
    <row r="2183" spans="30:30" x14ac:dyDescent="0.25">
      <c r="AD2183"/>
    </row>
    <row r="2184" spans="30:30" x14ac:dyDescent="0.25">
      <c r="AD2184"/>
    </row>
    <row r="2185" spans="30:30" x14ac:dyDescent="0.25">
      <c r="AD2185"/>
    </row>
    <row r="2186" spans="30:30" x14ac:dyDescent="0.25">
      <c r="AD2186"/>
    </row>
    <row r="2187" spans="30:30" x14ac:dyDescent="0.25">
      <c r="AD2187"/>
    </row>
    <row r="2188" spans="30:30" x14ac:dyDescent="0.25">
      <c r="AD2188"/>
    </row>
    <row r="2189" spans="30:30" x14ac:dyDescent="0.25">
      <c r="AD2189"/>
    </row>
    <row r="2190" spans="30:30" x14ac:dyDescent="0.25">
      <c r="AD2190"/>
    </row>
    <row r="2191" spans="30:30" x14ac:dyDescent="0.25">
      <c r="AD2191"/>
    </row>
    <row r="2192" spans="30:30" x14ac:dyDescent="0.25">
      <c r="AD2192"/>
    </row>
    <row r="2193" spans="30:30" x14ac:dyDescent="0.25">
      <c r="AD2193"/>
    </row>
    <row r="2194" spans="30:30" x14ac:dyDescent="0.25">
      <c r="AD2194"/>
    </row>
    <row r="2195" spans="30:30" x14ac:dyDescent="0.25">
      <c r="AD2195"/>
    </row>
    <row r="2196" spans="30:30" x14ac:dyDescent="0.25">
      <c r="AD2196"/>
    </row>
    <row r="2197" spans="30:30" x14ac:dyDescent="0.25">
      <c r="AD2197"/>
    </row>
    <row r="2198" spans="30:30" x14ac:dyDescent="0.25">
      <c r="AD2198"/>
    </row>
    <row r="2199" spans="30:30" x14ac:dyDescent="0.25">
      <c r="AD2199"/>
    </row>
    <row r="2200" spans="30:30" x14ac:dyDescent="0.25">
      <c r="AD2200"/>
    </row>
    <row r="2201" spans="30:30" x14ac:dyDescent="0.25">
      <c r="AD2201"/>
    </row>
    <row r="2202" spans="30:30" x14ac:dyDescent="0.25">
      <c r="AD2202"/>
    </row>
    <row r="2203" spans="30:30" x14ac:dyDescent="0.25">
      <c r="AD2203"/>
    </row>
    <row r="2204" spans="30:30" x14ac:dyDescent="0.25">
      <c r="AD2204"/>
    </row>
    <row r="2205" spans="30:30" x14ac:dyDescent="0.25">
      <c r="AD2205"/>
    </row>
    <row r="2206" spans="30:30" x14ac:dyDescent="0.25">
      <c r="AD2206"/>
    </row>
    <row r="2207" spans="30:30" x14ac:dyDescent="0.25">
      <c r="AD2207"/>
    </row>
    <row r="2208" spans="30:30" x14ac:dyDescent="0.25">
      <c r="AD2208"/>
    </row>
    <row r="2209" spans="30:30" x14ac:dyDescent="0.25">
      <c r="AD2209"/>
    </row>
    <row r="2210" spans="30:30" x14ac:dyDescent="0.25">
      <c r="AD2210"/>
    </row>
    <row r="2211" spans="30:30" x14ac:dyDescent="0.25">
      <c r="AD2211"/>
    </row>
    <row r="2212" spans="30:30" x14ac:dyDescent="0.25">
      <c r="AD2212"/>
    </row>
    <row r="2213" spans="30:30" x14ac:dyDescent="0.25">
      <c r="AD2213"/>
    </row>
    <row r="2214" spans="30:30" x14ac:dyDescent="0.25">
      <c r="AD2214"/>
    </row>
    <row r="2215" spans="30:30" x14ac:dyDescent="0.25">
      <c r="AD2215"/>
    </row>
    <row r="2216" spans="30:30" x14ac:dyDescent="0.25">
      <c r="AD2216"/>
    </row>
    <row r="2217" spans="30:30" x14ac:dyDescent="0.25">
      <c r="AD2217"/>
    </row>
    <row r="2218" spans="30:30" x14ac:dyDescent="0.25">
      <c r="AD2218"/>
    </row>
    <row r="2219" spans="30:30" x14ac:dyDescent="0.25">
      <c r="AD2219"/>
    </row>
    <row r="2220" spans="30:30" x14ac:dyDescent="0.25">
      <c r="AD2220"/>
    </row>
    <row r="2221" spans="30:30" x14ac:dyDescent="0.25">
      <c r="AD2221"/>
    </row>
    <row r="2222" spans="30:30" x14ac:dyDescent="0.25">
      <c r="AD2222"/>
    </row>
    <row r="2223" spans="30:30" x14ac:dyDescent="0.25">
      <c r="AD2223"/>
    </row>
    <row r="2224" spans="30:30" x14ac:dyDescent="0.25">
      <c r="AD2224"/>
    </row>
    <row r="2225" spans="30:30" x14ac:dyDescent="0.25">
      <c r="AD2225"/>
    </row>
    <row r="2226" spans="30:30" x14ac:dyDescent="0.25">
      <c r="AD2226"/>
    </row>
    <row r="2227" spans="30:30" x14ac:dyDescent="0.25">
      <c r="AD2227"/>
    </row>
    <row r="2228" spans="30:30" x14ac:dyDescent="0.25">
      <c r="AD2228"/>
    </row>
    <row r="2229" spans="30:30" x14ac:dyDescent="0.25">
      <c r="AD2229"/>
    </row>
    <row r="2230" spans="30:30" x14ac:dyDescent="0.25">
      <c r="AD2230"/>
    </row>
    <row r="2231" spans="30:30" x14ac:dyDescent="0.25">
      <c r="AD2231"/>
    </row>
    <row r="2232" spans="30:30" x14ac:dyDescent="0.25">
      <c r="AD2232"/>
    </row>
    <row r="2233" spans="30:30" x14ac:dyDescent="0.25">
      <c r="AD2233"/>
    </row>
    <row r="2234" spans="30:30" x14ac:dyDescent="0.25">
      <c r="AD2234"/>
    </row>
    <row r="2235" spans="30:30" x14ac:dyDescent="0.25">
      <c r="AD2235"/>
    </row>
    <row r="2236" spans="30:30" x14ac:dyDescent="0.25">
      <c r="AD2236"/>
    </row>
    <row r="2237" spans="30:30" x14ac:dyDescent="0.25">
      <c r="AD2237"/>
    </row>
    <row r="2238" spans="30:30" x14ac:dyDescent="0.25">
      <c r="AD2238"/>
    </row>
    <row r="2239" spans="30:30" x14ac:dyDescent="0.25">
      <c r="AD2239"/>
    </row>
    <row r="2240" spans="30:30" x14ac:dyDescent="0.25">
      <c r="AD2240"/>
    </row>
    <row r="2241" spans="30:30" x14ac:dyDescent="0.25">
      <c r="AD2241"/>
    </row>
    <row r="2242" spans="30:30" x14ac:dyDescent="0.25">
      <c r="AD2242"/>
    </row>
    <row r="2243" spans="30:30" x14ac:dyDescent="0.25">
      <c r="AD2243"/>
    </row>
    <row r="2244" spans="30:30" x14ac:dyDescent="0.25">
      <c r="AD2244"/>
    </row>
    <row r="2245" spans="30:30" x14ac:dyDescent="0.25">
      <c r="AD2245"/>
    </row>
    <row r="2246" spans="30:30" x14ac:dyDescent="0.25">
      <c r="AD2246"/>
    </row>
    <row r="2247" spans="30:30" x14ac:dyDescent="0.25">
      <c r="AD2247"/>
    </row>
    <row r="2248" spans="30:30" x14ac:dyDescent="0.25">
      <c r="AD2248"/>
    </row>
    <row r="2249" spans="30:30" x14ac:dyDescent="0.25">
      <c r="AD2249"/>
    </row>
    <row r="2250" spans="30:30" x14ac:dyDescent="0.25">
      <c r="AD2250"/>
    </row>
    <row r="2251" spans="30:30" x14ac:dyDescent="0.25">
      <c r="AD2251"/>
    </row>
    <row r="2252" spans="30:30" x14ac:dyDescent="0.25">
      <c r="AD2252"/>
    </row>
    <row r="2253" spans="30:30" x14ac:dyDescent="0.25">
      <c r="AD2253"/>
    </row>
    <row r="2254" spans="30:30" x14ac:dyDescent="0.25">
      <c r="AD2254"/>
    </row>
    <row r="2255" spans="30:30" x14ac:dyDescent="0.25">
      <c r="AD2255"/>
    </row>
    <row r="2256" spans="30:30" x14ac:dyDescent="0.25">
      <c r="AD2256"/>
    </row>
    <row r="2257" spans="30:30" x14ac:dyDescent="0.25">
      <c r="AD2257"/>
    </row>
    <row r="2258" spans="30:30" x14ac:dyDescent="0.25">
      <c r="AD2258"/>
    </row>
    <row r="2259" spans="30:30" x14ac:dyDescent="0.25">
      <c r="AD2259"/>
    </row>
    <row r="2260" spans="30:30" x14ac:dyDescent="0.25">
      <c r="AD2260"/>
    </row>
    <row r="2261" spans="30:30" x14ac:dyDescent="0.25">
      <c r="AD2261"/>
    </row>
    <row r="2262" spans="30:30" x14ac:dyDescent="0.25">
      <c r="AD2262"/>
    </row>
    <row r="2263" spans="30:30" x14ac:dyDescent="0.25">
      <c r="AD2263"/>
    </row>
    <row r="2264" spans="30:30" x14ac:dyDescent="0.25">
      <c r="AD2264"/>
    </row>
    <row r="2265" spans="30:30" x14ac:dyDescent="0.25">
      <c r="AD2265"/>
    </row>
    <row r="2266" spans="30:30" x14ac:dyDescent="0.25">
      <c r="AD2266"/>
    </row>
    <row r="2267" spans="30:30" x14ac:dyDescent="0.25">
      <c r="AD2267"/>
    </row>
    <row r="2268" spans="30:30" x14ac:dyDescent="0.25">
      <c r="AD2268"/>
    </row>
    <row r="2269" spans="30:30" x14ac:dyDescent="0.25">
      <c r="AD2269"/>
    </row>
    <row r="2270" spans="30:30" x14ac:dyDescent="0.25">
      <c r="AD2270"/>
    </row>
    <row r="2271" spans="30:30" x14ac:dyDescent="0.25">
      <c r="AD2271"/>
    </row>
    <row r="2272" spans="30:30" x14ac:dyDescent="0.25">
      <c r="AD2272"/>
    </row>
    <row r="2273" spans="30:30" x14ac:dyDescent="0.25">
      <c r="AD2273"/>
    </row>
    <row r="2274" spans="30:30" x14ac:dyDescent="0.25">
      <c r="AD2274"/>
    </row>
    <row r="2275" spans="30:30" x14ac:dyDescent="0.25">
      <c r="AD2275"/>
    </row>
    <row r="2276" spans="30:30" x14ac:dyDescent="0.25">
      <c r="AD2276"/>
    </row>
    <row r="2277" spans="30:30" x14ac:dyDescent="0.25">
      <c r="AD2277"/>
    </row>
    <row r="2278" spans="30:30" x14ac:dyDescent="0.25">
      <c r="AD2278"/>
    </row>
    <row r="2279" spans="30:30" x14ac:dyDescent="0.25">
      <c r="AD2279"/>
    </row>
    <row r="2280" spans="30:30" x14ac:dyDescent="0.25">
      <c r="AD2280"/>
    </row>
    <row r="2281" spans="30:30" x14ac:dyDescent="0.25">
      <c r="AD2281"/>
    </row>
    <row r="2282" spans="30:30" x14ac:dyDescent="0.25">
      <c r="AD2282"/>
    </row>
    <row r="2283" spans="30:30" x14ac:dyDescent="0.25">
      <c r="AD2283"/>
    </row>
    <row r="2284" spans="30:30" x14ac:dyDescent="0.25">
      <c r="AD2284"/>
    </row>
    <row r="2285" spans="30:30" x14ac:dyDescent="0.25">
      <c r="AD2285"/>
    </row>
    <row r="2286" spans="30:30" x14ac:dyDescent="0.25">
      <c r="AD2286"/>
    </row>
    <row r="2287" spans="30:30" x14ac:dyDescent="0.25">
      <c r="AD2287"/>
    </row>
    <row r="2288" spans="30:30" x14ac:dyDescent="0.25">
      <c r="AD2288"/>
    </row>
    <row r="2289" spans="30:30" x14ac:dyDescent="0.25">
      <c r="AD2289"/>
    </row>
    <row r="2290" spans="30:30" x14ac:dyDescent="0.25">
      <c r="AD2290"/>
    </row>
    <row r="2291" spans="30:30" x14ac:dyDescent="0.25">
      <c r="AD2291"/>
    </row>
    <row r="2292" spans="30:30" x14ac:dyDescent="0.25">
      <c r="AD2292"/>
    </row>
    <row r="2293" spans="30:30" x14ac:dyDescent="0.25">
      <c r="AD2293"/>
    </row>
    <row r="2294" spans="30:30" x14ac:dyDescent="0.25">
      <c r="AD2294"/>
    </row>
    <row r="2295" spans="30:30" x14ac:dyDescent="0.25">
      <c r="AD2295"/>
    </row>
    <row r="2296" spans="30:30" x14ac:dyDescent="0.25">
      <c r="AD2296"/>
    </row>
    <row r="2297" spans="30:30" x14ac:dyDescent="0.25">
      <c r="AD2297"/>
    </row>
    <row r="2298" spans="30:30" x14ac:dyDescent="0.25">
      <c r="AD2298"/>
    </row>
    <row r="2299" spans="30:30" x14ac:dyDescent="0.25">
      <c r="AD2299"/>
    </row>
    <row r="2300" spans="30:30" x14ac:dyDescent="0.25">
      <c r="AD2300"/>
    </row>
    <row r="2301" spans="30:30" x14ac:dyDescent="0.25">
      <c r="AD2301"/>
    </row>
    <row r="2302" spans="30:30" x14ac:dyDescent="0.25">
      <c r="AD2302"/>
    </row>
    <row r="2303" spans="30:30" x14ac:dyDescent="0.25">
      <c r="AD2303"/>
    </row>
    <row r="2304" spans="30:30" x14ac:dyDescent="0.25">
      <c r="AD2304"/>
    </row>
    <row r="2305" spans="30:30" x14ac:dyDescent="0.25">
      <c r="AD2305"/>
    </row>
    <row r="2306" spans="30:30" x14ac:dyDescent="0.25">
      <c r="AD2306"/>
    </row>
    <row r="2307" spans="30:30" x14ac:dyDescent="0.25">
      <c r="AD2307"/>
    </row>
    <row r="2308" spans="30:30" x14ac:dyDescent="0.25">
      <c r="AD2308"/>
    </row>
    <row r="2309" spans="30:30" x14ac:dyDescent="0.25">
      <c r="AD2309"/>
    </row>
    <row r="2310" spans="30:30" x14ac:dyDescent="0.25">
      <c r="AD2310"/>
    </row>
    <row r="2311" spans="30:30" x14ac:dyDescent="0.25">
      <c r="AD2311"/>
    </row>
    <row r="2312" spans="30:30" x14ac:dyDescent="0.25">
      <c r="AD2312"/>
    </row>
    <row r="2313" spans="30:30" x14ac:dyDescent="0.25">
      <c r="AD2313"/>
    </row>
    <row r="2314" spans="30:30" x14ac:dyDescent="0.25">
      <c r="AD2314"/>
    </row>
    <row r="2315" spans="30:30" x14ac:dyDescent="0.25">
      <c r="AD2315"/>
    </row>
    <row r="2316" spans="30:30" x14ac:dyDescent="0.25">
      <c r="AD2316"/>
    </row>
    <row r="2317" spans="30:30" x14ac:dyDescent="0.25">
      <c r="AD2317"/>
    </row>
    <row r="2318" spans="30:30" x14ac:dyDescent="0.25">
      <c r="AD2318"/>
    </row>
    <row r="2319" spans="30:30" x14ac:dyDescent="0.25">
      <c r="AD2319"/>
    </row>
    <row r="2320" spans="30:30" x14ac:dyDescent="0.25">
      <c r="AD2320"/>
    </row>
    <row r="2321" spans="30:30" x14ac:dyDescent="0.25">
      <c r="AD2321"/>
    </row>
    <row r="2322" spans="30:30" x14ac:dyDescent="0.25">
      <c r="AD2322"/>
    </row>
    <row r="2323" spans="30:30" x14ac:dyDescent="0.25">
      <c r="AD2323"/>
    </row>
    <row r="2324" spans="30:30" x14ac:dyDescent="0.25">
      <c r="AD2324"/>
    </row>
    <row r="2325" spans="30:30" x14ac:dyDescent="0.25">
      <c r="AD2325"/>
    </row>
    <row r="2326" spans="30:30" x14ac:dyDescent="0.25">
      <c r="AD2326"/>
    </row>
    <row r="2327" spans="30:30" x14ac:dyDescent="0.25">
      <c r="AD2327"/>
    </row>
    <row r="2328" spans="30:30" x14ac:dyDescent="0.25">
      <c r="AD2328"/>
    </row>
    <row r="2329" spans="30:30" x14ac:dyDescent="0.25">
      <c r="AD2329"/>
    </row>
    <row r="2330" spans="30:30" x14ac:dyDescent="0.25">
      <c r="AD2330"/>
    </row>
    <row r="2331" spans="30:30" x14ac:dyDescent="0.25">
      <c r="AD2331"/>
    </row>
    <row r="2332" spans="30:30" x14ac:dyDescent="0.25">
      <c r="AD2332"/>
    </row>
    <row r="2333" spans="30:30" x14ac:dyDescent="0.25">
      <c r="AD2333"/>
    </row>
    <row r="2334" spans="30:30" x14ac:dyDescent="0.25">
      <c r="AD2334"/>
    </row>
    <row r="2335" spans="30:30" x14ac:dyDescent="0.25">
      <c r="AD2335"/>
    </row>
    <row r="2336" spans="30:30" x14ac:dyDescent="0.25">
      <c r="AD2336"/>
    </row>
    <row r="2337" spans="30:30" x14ac:dyDescent="0.25">
      <c r="AD2337"/>
    </row>
    <row r="2338" spans="30:30" x14ac:dyDescent="0.25">
      <c r="AD2338"/>
    </row>
    <row r="2339" spans="30:30" x14ac:dyDescent="0.25">
      <c r="AD2339"/>
    </row>
    <row r="2340" spans="30:30" x14ac:dyDescent="0.25">
      <c r="AD2340"/>
    </row>
    <row r="2341" spans="30:30" x14ac:dyDescent="0.25">
      <c r="AD2341"/>
    </row>
    <row r="2342" spans="30:30" x14ac:dyDescent="0.25">
      <c r="AD2342"/>
    </row>
    <row r="2343" spans="30:30" x14ac:dyDescent="0.25">
      <c r="AD2343"/>
    </row>
    <row r="2344" spans="30:30" x14ac:dyDescent="0.25">
      <c r="AD2344"/>
    </row>
    <row r="2345" spans="30:30" x14ac:dyDescent="0.25">
      <c r="AD2345"/>
    </row>
    <row r="2346" spans="30:30" x14ac:dyDescent="0.25">
      <c r="AD2346"/>
    </row>
    <row r="2347" spans="30:30" x14ac:dyDescent="0.25">
      <c r="AD2347"/>
    </row>
    <row r="2348" spans="30:30" x14ac:dyDescent="0.25">
      <c r="AD2348"/>
    </row>
    <row r="2349" spans="30:30" x14ac:dyDescent="0.25">
      <c r="AD2349"/>
    </row>
    <row r="2350" spans="30:30" x14ac:dyDescent="0.25">
      <c r="AD2350"/>
    </row>
    <row r="2351" spans="30:30" x14ac:dyDescent="0.25">
      <c r="AD2351"/>
    </row>
    <row r="2352" spans="30:30" x14ac:dyDescent="0.25">
      <c r="AD2352"/>
    </row>
    <row r="2353" spans="30:30" x14ac:dyDescent="0.25">
      <c r="AD2353"/>
    </row>
    <row r="2354" spans="30:30" x14ac:dyDescent="0.25">
      <c r="AD2354"/>
    </row>
    <row r="2355" spans="30:30" x14ac:dyDescent="0.25">
      <c r="AD2355"/>
    </row>
    <row r="2356" spans="30:30" x14ac:dyDescent="0.25">
      <c r="AD2356"/>
    </row>
    <row r="2357" spans="30:30" x14ac:dyDescent="0.25">
      <c r="AD2357"/>
    </row>
    <row r="2358" spans="30:30" x14ac:dyDescent="0.25">
      <c r="AD2358"/>
    </row>
    <row r="2359" spans="30:30" x14ac:dyDescent="0.25">
      <c r="AD2359"/>
    </row>
    <row r="2360" spans="30:30" x14ac:dyDescent="0.25">
      <c r="AD2360"/>
    </row>
    <row r="2361" spans="30:30" x14ac:dyDescent="0.25">
      <c r="AD2361"/>
    </row>
    <row r="2362" spans="30:30" x14ac:dyDescent="0.25">
      <c r="AD2362"/>
    </row>
    <row r="2363" spans="30:30" x14ac:dyDescent="0.25">
      <c r="AD2363"/>
    </row>
    <row r="2364" spans="30:30" x14ac:dyDescent="0.25">
      <c r="AD2364"/>
    </row>
    <row r="2365" spans="30:30" x14ac:dyDescent="0.25">
      <c r="AD2365"/>
    </row>
    <row r="2366" spans="30:30" x14ac:dyDescent="0.25">
      <c r="AD2366"/>
    </row>
    <row r="2367" spans="30:30" x14ac:dyDescent="0.25">
      <c r="AD2367"/>
    </row>
    <row r="2368" spans="30:30" x14ac:dyDescent="0.25">
      <c r="AD2368"/>
    </row>
    <row r="2369" spans="30:30" x14ac:dyDescent="0.25">
      <c r="AD2369"/>
    </row>
    <row r="2370" spans="30:30" x14ac:dyDescent="0.25">
      <c r="AD2370"/>
    </row>
    <row r="2371" spans="30:30" x14ac:dyDescent="0.25">
      <c r="AD2371"/>
    </row>
    <row r="2372" spans="30:30" x14ac:dyDescent="0.25">
      <c r="AD2372"/>
    </row>
    <row r="2373" spans="30:30" x14ac:dyDescent="0.25">
      <c r="AD2373"/>
    </row>
    <row r="2374" spans="30:30" x14ac:dyDescent="0.25">
      <c r="AD2374"/>
    </row>
    <row r="2375" spans="30:30" x14ac:dyDescent="0.25">
      <c r="AD2375"/>
    </row>
    <row r="2376" spans="30:30" x14ac:dyDescent="0.25">
      <c r="AD2376"/>
    </row>
    <row r="2377" spans="30:30" x14ac:dyDescent="0.25">
      <c r="AD2377"/>
    </row>
    <row r="2378" spans="30:30" x14ac:dyDescent="0.25">
      <c r="AD2378"/>
    </row>
    <row r="2379" spans="30:30" x14ac:dyDescent="0.25">
      <c r="AD2379"/>
    </row>
    <row r="2380" spans="30:30" x14ac:dyDescent="0.25">
      <c r="AD2380"/>
    </row>
    <row r="2381" spans="30:30" x14ac:dyDescent="0.25">
      <c r="AD2381"/>
    </row>
    <row r="2382" spans="30:30" x14ac:dyDescent="0.25">
      <c r="AD2382"/>
    </row>
    <row r="2383" spans="30:30" x14ac:dyDescent="0.25">
      <c r="AD2383"/>
    </row>
    <row r="2384" spans="30:30" x14ac:dyDescent="0.25">
      <c r="AD2384"/>
    </row>
    <row r="2385" spans="30:30" x14ac:dyDescent="0.25">
      <c r="AD2385"/>
    </row>
    <row r="2386" spans="30:30" x14ac:dyDescent="0.25">
      <c r="AD2386"/>
    </row>
    <row r="2387" spans="30:30" x14ac:dyDescent="0.25">
      <c r="AD2387"/>
    </row>
    <row r="2388" spans="30:30" x14ac:dyDescent="0.25">
      <c r="AD2388"/>
    </row>
    <row r="2389" spans="30:30" x14ac:dyDescent="0.25">
      <c r="AD2389"/>
    </row>
    <row r="2390" spans="30:30" x14ac:dyDescent="0.25">
      <c r="AD2390"/>
    </row>
    <row r="2391" spans="30:30" x14ac:dyDescent="0.25">
      <c r="AD2391"/>
    </row>
    <row r="2392" spans="30:30" x14ac:dyDescent="0.25">
      <c r="AD2392"/>
    </row>
    <row r="2393" spans="30:30" x14ac:dyDescent="0.25">
      <c r="AD2393"/>
    </row>
    <row r="2394" spans="30:30" x14ac:dyDescent="0.25">
      <c r="AD2394"/>
    </row>
    <row r="2395" spans="30:30" x14ac:dyDescent="0.25">
      <c r="AD2395"/>
    </row>
    <row r="2396" spans="30:30" x14ac:dyDescent="0.25">
      <c r="AD2396"/>
    </row>
    <row r="2397" spans="30:30" x14ac:dyDescent="0.25">
      <c r="AD2397"/>
    </row>
    <row r="2398" spans="30:30" x14ac:dyDescent="0.25">
      <c r="AD2398"/>
    </row>
    <row r="2399" spans="30:30" x14ac:dyDescent="0.25">
      <c r="AD2399"/>
    </row>
    <row r="2400" spans="30:30" x14ac:dyDescent="0.25">
      <c r="AD2400"/>
    </row>
    <row r="2401" spans="30:30" x14ac:dyDescent="0.25">
      <c r="AD2401"/>
    </row>
    <row r="2402" spans="30:30" x14ac:dyDescent="0.25">
      <c r="AD2402"/>
    </row>
    <row r="2403" spans="30:30" x14ac:dyDescent="0.25">
      <c r="AD2403"/>
    </row>
    <row r="2404" spans="30:30" x14ac:dyDescent="0.25">
      <c r="AD2404"/>
    </row>
    <row r="2405" spans="30:30" x14ac:dyDescent="0.25">
      <c r="AD2405"/>
    </row>
    <row r="2406" spans="30:30" x14ac:dyDescent="0.25">
      <c r="AD2406"/>
    </row>
    <row r="2407" spans="30:30" x14ac:dyDescent="0.25">
      <c r="AD2407"/>
    </row>
    <row r="2408" spans="30:30" x14ac:dyDescent="0.25">
      <c r="AD2408"/>
    </row>
    <row r="2409" spans="30:30" x14ac:dyDescent="0.25">
      <c r="AD2409"/>
    </row>
    <row r="2410" spans="30:30" x14ac:dyDescent="0.25">
      <c r="AD2410"/>
    </row>
    <row r="2411" spans="30:30" x14ac:dyDescent="0.25">
      <c r="AD2411"/>
    </row>
    <row r="2412" spans="30:30" x14ac:dyDescent="0.25">
      <c r="AD2412"/>
    </row>
    <row r="2413" spans="30:30" x14ac:dyDescent="0.25">
      <c r="AD2413"/>
    </row>
    <row r="2414" spans="30:30" x14ac:dyDescent="0.25">
      <c r="AD2414"/>
    </row>
    <row r="2415" spans="30:30" x14ac:dyDescent="0.25">
      <c r="AD2415"/>
    </row>
    <row r="2416" spans="30:30" x14ac:dyDescent="0.25">
      <c r="AD2416"/>
    </row>
    <row r="2417" spans="30:30" x14ac:dyDescent="0.25">
      <c r="AD2417"/>
    </row>
    <row r="2418" spans="30:30" x14ac:dyDescent="0.25">
      <c r="AD2418"/>
    </row>
    <row r="2419" spans="30:30" x14ac:dyDescent="0.25">
      <c r="AD2419"/>
    </row>
    <row r="2420" spans="30:30" x14ac:dyDescent="0.25">
      <c r="AD2420"/>
    </row>
    <row r="2421" spans="30:30" x14ac:dyDescent="0.25">
      <c r="AD2421"/>
    </row>
    <row r="2422" spans="30:30" x14ac:dyDescent="0.25">
      <c r="AD2422"/>
    </row>
    <row r="2423" spans="30:30" x14ac:dyDescent="0.25">
      <c r="AD2423"/>
    </row>
    <row r="2424" spans="30:30" x14ac:dyDescent="0.25">
      <c r="AD2424"/>
    </row>
    <row r="2425" spans="30:30" x14ac:dyDescent="0.25">
      <c r="AD2425"/>
    </row>
    <row r="2426" spans="30:30" x14ac:dyDescent="0.25">
      <c r="AD2426"/>
    </row>
    <row r="2427" spans="30:30" x14ac:dyDescent="0.25">
      <c r="AD2427"/>
    </row>
    <row r="2428" spans="30:30" x14ac:dyDescent="0.25">
      <c r="AD2428"/>
    </row>
    <row r="2429" spans="30:30" x14ac:dyDescent="0.25">
      <c r="AD2429"/>
    </row>
    <row r="2430" spans="30:30" x14ac:dyDescent="0.25">
      <c r="AD2430"/>
    </row>
    <row r="2431" spans="30:30" x14ac:dyDescent="0.25">
      <c r="AD2431"/>
    </row>
    <row r="2432" spans="30:30" x14ac:dyDescent="0.25">
      <c r="AD2432"/>
    </row>
    <row r="2433" spans="30:30" x14ac:dyDescent="0.25">
      <c r="AD2433"/>
    </row>
    <row r="2434" spans="30:30" x14ac:dyDescent="0.25">
      <c r="AD2434"/>
    </row>
    <row r="2435" spans="30:30" x14ac:dyDescent="0.25">
      <c r="AD2435"/>
    </row>
    <row r="2436" spans="30:30" x14ac:dyDescent="0.25">
      <c r="AD2436"/>
    </row>
    <row r="2437" spans="30:30" x14ac:dyDescent="0.25">
      <c r="AD2437"/>
    </row>
    <row r="2438" spans="30:30" x14ac:dyDescent="0.25">
      <c r="AD2438"/>
    </row>
    <row r="2439" spans="30:30" x14ac:dyDescent="0.25">
      <c r="AD2439"/>
    </row>
    <row r="2440" spans="30:30" x14ac:dyDescent="0.25">
      <c r="AD2440"/>
    </row>
    <row r="2441" spans="30:30" x14ac:dyDescent="0.25">
      <c r="AD2441"/>
    </row>
    <row r="2442" spans="30:30" x14ac:dyDescent="0.25">
      <c r="AD2442"/>
    </row>
    <row r="2443" spans="30:30" x14ac:dyDescent="0.25">
      <c r="AD2443"/>
    </row>
    <row r="2444" spans="30:30" x14ac:dyDescent="0.25">
      <c r="AD2444"/>
    </row>
    <row r="2445" spans="30:30" x14ac:dyDescent="0.25">
      <c r="AD2445"/>
    </row>
    <row r="2446" spans="30:30" x14ac:dyDescent="0.25">
      <c r="AD2446"/>
    </row>
    <row r="2447" spans="30:30" x14ac:dyDescent="0.25">
      <c r="AD2447"/>
    </row>
    <row r="2448" spans="30:30" x14ac:dyDescent="0.25">
      <c r="AD2448"/>
    </row>
    <row r="2449" spans="30:30" x14ac:dyDescent="0.25">
      <c r="AD2449"/>
    </row>
    <row r="2450" spans="30:30" x14ac:dyDescent="0.25">
      <c r="AD2450"/>
    </row>
    <row r="2451" spans="30:30" x14ac:dyDescent="0.25">
      <c r="AD2451"/>
    </row>
    <row r="2452" spans="30:30" x14ac:dyDescent="0.25">
      <c r="AD2452"/>
    </row>
    <row r="2453" spans="30:30" x14ac:dyDescent="0.25">
      <c r="AD2453"/>
    </row>
    <row r="2454" spans="30:30" x14ac:dyDescent="0.25">
      <c r="AD2454"/>
    </row>
    <row r="2455" spans="30:30" x14ac:dyDescent="0.25">
      <c r="AD2455"/>
    </row>
    <row r="2456" spans="30:30" x14ac:dyDescent="0.25">
      <c r="AD2456"/>
    </row>
    <row r="2457" spans="30:30" x14ac:dyDescent="0.25">
      <c r="AD2457"/>
    </row>
    <row r="2458" spans="30:30" x14ac:dyDescent="0.25">
      <c r="AD2458"/>
    </row>
    <row r="2459" spans="30:30" x14ac:dyDescent="0.25">
      <c r="AD2459"/>
    </row>
    <row r="2460" spans="30:30" x14ac:dyDescent="0.25">
      <c r="AD2460"/>
    </row>
    <row r="2461" spans="30:30" x14ac:dyDescent="0.25">
      <c r="AD2461"/>
    </row>
    <row r="2462" spans="30:30" x14ac:dyDescent="0.25">
      <c r="AD2462"/>
    </row>
    <row r="2463" spans="30:30" x14ac:dyDescent="0.25">
      <c r="AD2463"/>
    </row>
    <row r="2464" spans="30:30" x14ac:dyDescent="0.25">
      <c r="AD2464"/>
    </row>
    <row r="2465" spans="30:30" x14ac:dyDescent="0.25">
      <c r="AD2465"/>
    </row>
    <row r="2466" spans="30:30" x14ac:dyDescent="0.25">
      <c r="AD2466"/>
    </row>
    <row r="2467" spans="30:30" x14ac:dyDescent="0.25">
      <c r="AD2467"/>
    </row>
    <row r="2468" spans="30:30" x14ac:dyDescent="0.25">
      <c r="AD2468"/>
    </row>
    <row r="2469" spans="30:30" x14ac:dyDescent="0.25">
      <c r="AD2469"/>
    </row>
    <row r="2470" spans="30:30" x14ac:dyDescent="0.25">
      <c r="AD2470"/>
    </row>
    <row r="2471" spans="30:30" x14ac:dyDescent="0.25">
      <c r="AD2471"/>
    </row>
    <row r="2472" spans="30:30" x14ac:dyDescent="0.25">
      <c r="AD2472"/>
    </row>
    <row r="2473" spans="30:30" x14ac:dyDescent="0.25">
      <c r="AD2473"/>
    </row>
    <row r="2474" spans="30:30" x14ac:dyDescent="0.25">
      <c r="AD2474"/>
    </row>
    <row r="2475" spans="30:30" x14ac:dyDescent="0.25">
      <c r="AD2475"/>
    </row>
    <row r="2476" spans="30:30" x14ac:dyDescent="0.25">
      <c r="AD2476"/>
    </row>
    <row r="2477" spans="30:30" x14ac:dyDescent="0.25">
      <c r="AD2477"/>
    </row>
    <row r="2478" spans="30:30" x14ac:dyDescent="0.25">
      <c r="AD2478"/>
    </row>
    <row r="2479" spans="30:30" x14ac:dyDescent="0.25">
      <c r="AD2479"/>
    </row>
    <row r="2480" spans="30:30" x14ac:dyDescent="0.25">
      <c r="AD2480"/>
    </row>
    <row r="2481" spans="30:30" x14ac:dyDescent="0.25">
      <c r="AD2481"/>
    </row>
    <row r="2482" spans="30:30" x14ac:dyDescent="0.25">
      <c r="AD2482"/>
    </row>
    <row r="2483" spans="30:30" x14ac:dyDescent="0.25">
      <c r="AD2483"/>
    </row>
    <row r="2484" spans="30:30" x14ac:dyDescent="0.25">
      <c r="AD2484"/>
    </row>
    <row r="2485" spans="30:30" x14ac:dyDescent="0.25">
      <c r="AD2485"/>
    </row>
    <row r="2486" spans="30:30" x14ac:dyDescent="0.25">
      <c r="AD2486"/>
    </row>
    <row r="2487" spans="30:30" x14ac:dyDescent="0.25">
      <c r="AD2487"/>
    </row>
    <row r="2488" spans="30:30" x14ac:dyDescent="0.25">
      <c r="AD2488"/>
    </row>
    <row r="2489" spans="30:30" x14ac:dyDescent="0.25">
      <c r="AD2489"/>
    </row>
    <row r="2490" spans="30:30" x14ac:dyDescent="0.25">
      <c r="AD2490"/>
    </row>
    <row r="2491" spans="30:30" x14ac:dyDescent="0.25">
      <c r="AD2491"/>
    </row>
    <row r="2492" spans="30:30" x14ac:dyDescent="0.25">
      <c r="AD2492"/>
    </row>
    <row r="2493" spans="30:30" x14ac:dyDescent="0.25">
      <c r="AD2493"/>
    </row>
    <row r="2494" spans="30:30" x14ac:dyDescent="0.25">
      <c r="AD2494"/>
    </row>
    <row r="2495" spans="30:30" x14ac:dyDescent="0.25">
      <c r="AD2495"/>
    </row>
    <row r="2496" spans="30:30" x14ac:dyDescent="0.25">
      <c r="AD2496"/>
    </row>
    <row r="2497" spans="30:30" x14ac:dyDescent="0.25">
      <c r="AD2497"/>
    </row>
    <row r="2498" spans="30:30" x14ac:dyDescent="0.25">
      <c r="AD2498"/>
    </row>
    <row r="2499" spans="30:30" x14ac:dyDescent="0.25">
      <c r="AD2499"/>
    </row>
    <row r="2500" spans="30:30" x14ac:dyDescent="0.25">
      <c r="AD2500"/>
    </row>
    <row r="2501" spans="30:30" x14ac:dyDescent="0.25">
      <c r="AD2501"/>
    </row>
    <row r="2502" spans="30:30" x14ac:dyDescent="0.25">
      <c r="AD2502"/>
    </row>
    <row r="2503" spans="30:30" x14ac:dyDescent="0.25">
      <c r="AD2503"/>
    </row>
    <row r="2504" spans="30:30" x14ac:dyDescent="0.25">
      <c r="AD2504"/>
    </row>
    <row r="2505" spans="30:30" x14ac:dyDescent="0.25">
      <c r="AD2505"/>
    </row>
    <row r="2506" spans="30:30" x14ac:dyDescent="0.25">
      <c r="AD2506"/>
    </row>
    <row r="2507" spans="30:30" x14ac:dyDescent="0.25">
      <c r="AD2507"/>
    </row>
    <row r="2508" spans="30:30" x14ac:dyDescent="0.25">
      <c r="AD2508"/>
    </row>
    <row r="2509" spans="30:30" x14ac:dyDescent="0.25">
      <c r="AD2509"/>
    </row>
    <row r="2510" spans="30:30" x14ac:dyDescent="0.25">
      <c r="AD2510"/>
    </row>
    <row r="2511" spans="30:30" x14ac:dyDescent="0.25">
      <c r="AD2511"/>
    </row>
    <row r="2512" spans="30:30" x14ac:dyDescent="0.25">
      <c r="AD2512"/>
    </row>
    <row r="2513" spans="30:30" x14ac:dyDescent="0.25">
      <c r="AD2513"/>
    </row>
    <row r="2514" spans="30:30" x14ac:dyDescent="0.25">
      <c r="AD2514"/>
    </row>
    <row r="2515" spans="30:30" x14ac:dyDescent="0.25">
      <c r="AD2515"/>
    </row>
    <row r="2516" spans="30:30" x14ac:dyDescent="0.25">
      <c r="AD2516"/>
    </row>
    <row r="2517" spans="30:30" x14ac:dyDescent="0.25">
      <c r="AD2517"/>
    </row>
    <row r="2518" spans="30:30" x14ac:dyDescent="0.25">
      <c r="AD2518"/>
    </row>
    <row r="2519" spans="30:30" x14ac:dyDescent="0.25">
      <c r="AD2519"/>
    </row>
    <row r="2520" spans="30:30" x14ac:dyDescent="0.25">
      <c r="AD2520"/>
    </row>
    <row r="2521" spans="30:30" x14ac:dyDescent="0.25">
      <c r="AD2521"/>
    </row>
    <row r="2522" spans="30:30" x14ac:dyDescent="0.25">
      <c r="AD2522"/>
    </row>
    <row r="2523" spans="30:30" x14ac:dyDescent="0.25">
      <c r="AD2523"/>
    </row>
    <row r="2524" spans="30:30" x14ac:dyDescent="0.25">
      <c r="AD2524"/>
    </row>
    <row r="2525" spans="30:30" x14ac:dyDescent="0.25">
      <c r="AD2525"/>
    </row>
    <row r="2526" spans="30:30" x14ac:dyDescent="0.25">
      <c r="AD2526"/>
    </row>
    <row r="2527" spans="30:30" x14ac:dyDescent="0.25">
      <c r="AD2527"/>
    </row>
    <row r="2528" spans="30:30" x14ac:dyDescent="0.25">
      <c r="AD2528"/>
    </row>
    <row r="2529" spans="30:30" x14ac:dyDescent="0.25">
      <c r="AD2529"/>
    </row>
    <row r="2530" spans="30:30" x14ac:dyDescent="0.25">
      <c r="AD2530"/>
    </row>
    <row r="2531" spans="30:30" x14ac:dyDescent="0.25">
      <c r="AD2531"/>
    </row>
    <row r="2532" spans="30:30" x14ac:dyDescent="0.25">
      <c r="AD2532"/>
    </row>
    <row r="2533" spans="30:30" x14ac:dyDescent="0.25">
      <c r="AD2533"/>
    </row>
    <row r="2534" spans="30:30" x14ac:dyDescent="0.25">
      <c r="AD2534"/>
    </row>
    <row r="2535" spans="30:30" x14ac:dyDescent="0.25">
      <c r="AD2535"/>
    </row>
    <row r="2536" spans="30:30" x14ac:dyDescent="0.25">
      <c r="AD2536"/>
    </row>
    <row r="2537" spans="30:30" x14ac:dyDescent="0.25">
      <c r="AD2537"/>
    </row>
    <row r="2538" spans="30:30" x14ac:dyDescent="0.25">
      <c r="AD2538"/>
    </row>
    <row r="2539" spans="30:30" x14ac:dyDescent="0.25">
      <c r="AD2539"/>
    </row>
    <row r="2540" spans="30:30" x14ac:dyDescent="0.25">
      <c r="AD2540"/>
    </row>
    <row r="2541" spans="30:30" x14ac:dyDescent="0.25">
      <c r="AD2541"/>
    </row>
    <row r="2542" spans="30:30" x14ac:dyDescent="0.25">
      <c r="AD2542"/>
    </row>
    <row r="2543" spans="30:30" x14ac:dyDescent="0.25">
      <c r="AD2543"/>
    </row>
    <row r="2544" spans="30:30" x14ac:dyDescent="0.25">
      <c r="AD2544"/>
    </row>
    <row r="2545" spans="30:30" x14ac:dyDescent="0.25">
      <c r="AD2545"/>
    </row>
    <row r="2546" spans="30:30" x14ac:dyDescent="0.25">
      <c r="AD2546"/>
    </row>
    <row r="2547" spans="30:30" x14ac:dyDescent="0.25">
      <c r="AD2547"/>
    </row>
    <row r="2548" spans="30:30" x14ac:dyDescent="0.25">
      <c r="AD2548"/>
    </row>
    <row r="2549" spans="30:30" x14ac:dyDescent="0.25">
      <c r="AD2549"/>
    </row>
    <row r="2550" spans="30:30" x14ac:dyDescent="0.25">
      <c r="AD2550"/>
    </row>
    <row r="2551" spans="30:30" x14ac:dyDescent="0.25">
      <c r="AD2551"/>
    </row>
    <row r="2552" spans="30:30" x14ac:dyDescent="0.25">
      <c r="AD2552"/>
    </row>
    <row r="2553" spans="30:30" x14ac:dyDescent="0.25">
      <c r="AD2553"/>
    </row>
    <row r="2554" spans="30:30" x14ac:dyDescent="0.25">
      <c r="AD2554"/>
    </row>
    <row r="2555" spans="30:30" x14ac:dyDescent="0.25">
      <c r="AD2555"/>
    </row>
    <row r="2556" spans="30:30" x14ac:dyDescent="0.25">
      <c r="AD2556"/>
    </row>
    <row r="2557" spans="30:30" x14ac:dyDescent="0.25">
      <c r="AD2557"/>
    </row>
    <row r="2558" spans="30:30" x14ac:dyDescent="0.25">
      <c r="AD2558"/>
    </row>
    <row r="2559" spans="30:30" x14ac:dyDescent="0.25">
      <c r="AD2559"/>
    </row>
    <row r="2560" spans="30:30" x14ac:dyDescent="0.25">
      <c r="AD2560"/>
    </row>
    <row r="2561" spans="30:30" x14ac:dyDescent="0.25">
      <c r="AD2561"/>
    </row>
    <row r="2562" spans="30:30" x14ac:dyDescent="0.25">
      <c r="AD2562"/>
    </row>
    <row r="2563" spans="30:30" x14ac:dyDescent="0.25">
      <c r="AD2563"/>
    </row>
    <row r="2564" spans="30:30" x14ac:dyDescent="0.25">
      <c r="AD2564"/>
    </row>
    <row r="2565" spans="30:30" x14ac:dyDescent="0.25">
      <c r="AD2565"/>
    </row>
    <row r="2566" spans="30:30" x14ac:dyDescent="0.25">
      <c r="AD2566"/>
    </row>
    <row r="2567" spans="30:30" x14ac:dyDescent="0.25">
      <c r="AD2567"/>
    </row>
    <row r="2568" spans="30:30" x14ac:dyDescent="0.25">
      <c r="AD2568"/>
    </row>
    <row r="2569" spans="30:30" x14ac:dyDescent="0.25">
      <c r="AD2569"/>
    </row>
    <row r="2570" spans="30:30" x14ac:dyDescent="0.25">
      <c r="AD2570"/>
    </row>
    <row r="2571" spans="30:30" x14ac:dyDescent="0.25">
      <c r="AD2571"/>
    </row>
    <row r="2572" spans="30:30" x14ac:dyDescent="0.25">
      <c r="AD2572"/>
    </row>
    <row r="2573" spans="30:30" x14ac:dyDescent="0.25">
      <c r="AD2573"/>
    </row>
    <row r="2574" spans="30:30" x14ac:dyDescent="0.25">
      <c r="AD2574"/>
    </row>
    <row r="2575" spans="30:30" x14ac:dyDescent="0.25">
      <c r="AD2575"/>
    </row>
    <row r="2576" spans="30:30" x14ac:dyDescent="0.25">
      <c r="AD2576"/>
    </row>
    <row r="2577" spans="30:30" x14ac:dyDescent="0.25">
      <c r="AD2577"/>
    </row>
    <row r="2578" spans="30:30" x14ac:dyDescent="0.25">
      <c r="AD2578"/>
    </row>
    <row r="2579" spans="30:30" x14ac:dyDescent="0.25">
      <c r="AD2579"/>
    </row>
    <row r="2580" spans="30:30" x14ac:dyDescent="0.25">
      <c r="AD2580"/>
    </row>
    <row r="2581" spans="30:30" x14ac:dyDescent="0.25">
      <c r="AD2581"/>
    </row>
    <row r="2582" spans="30:30" x14ac:dyDescent="0.25">
      <c r="AD2582"/>
    </row>
    <row r="2583" spans="30:30" x14ac:dyDescent="0.25">
      <c r="AD2583"/>
    </row>
    <row r="2584" spans="30:30" x14ac:dyDescent="0.25">
      <c r="AD2584"/>
    </row>
    <row r="2585" spans="30:30" x14ac:dyDescent="0.25">
      <c r="AD2585"/>
    </row>
    <row r="2586" spans="30:30" x14ac:dyDescent="0.25">
      <c r="AD2586"/>
    </row>
    <row r="2587" spans="30:30" x14ac:dyDescent="0.25">
      <c r="AD2587"/>
    </row>
    <row r="2588" spans="30:30" x14ac:dyDescent="0.25">
      <c r="AD2588"/>
    </row>
    <row r="2589" spans="30:30" x14ac:dyDescent="0.25">
      <c r="AD2589"/>
    </row>
    <row r="2590" spans="30:30" x14ac:dyDescent="0.25">
      <c r="AD2590"/>
    </row>
    <row r="2591" spans="30:30" x14ac:dyDescent="0.25">
      <c r="AD2591"/>
    </row>
    <row r="2592" spans="30:30" x14ac:dyDescent="0.25">
      <c r="AD2592"/>
    </row>
    <row r="2593" spans="30:30" x14ac:dyDescent="0.25">
      <c r="AD2593"/>
    </row>
    <row r="2594" spans="30:30" x14ac:dyDescent="0.25">
      <c r="AD2594"/>
    </row>
    <row r="2595" spans="30:30" x14ac:dyDescent="0.25">
      <c r="AD2595"/>
    </row>
    <row r="2596" spans="30:30" x14ac:dyDescent="0.25">
      <c r="AD2596"/>
    </row>
    <row r="2597" spans="30:30" x14ac:dyDescent="0.25">
      <c r="AD2597"/>
    </row>
    <row r="2598" spans="30:30" x14ac:dyDescent="0.25">
      <c r="AD2598"/>
    </row>
    <row r="2599" spans="30:30" x14ac:dyDescent="0.25">
      <c r="AD2599"/>
    </row>
    <row r="2600" spans="30:30" x14ac:dyDescent="0.25">
      <c r="AD2600"/>
    </row>
    <row r="2601" spans="30:30" x14ac:dyDescent="0.25">
      <c r="AD2601"/>
    </row>
    <row r="2602" spans="30:30" x14ac:dyDescent="0.25">
      <c r="AD2602"/>
    </row>
    <row r="2603" spans="30:30" x14ac:dyDescent="0.25">
      <c r="AD2603"/>
    </row>
    <row r="2604" spans="30:30" x14ac:dyDescent="0.25">
      <c r="AD2604"/>
    </row>
    <row r="2605" spans="30:30" x14ac:dyDescent="0.25">
      <c r="AD2605"/>
    </row>
    <row r="2606" spans="30:30" x14ac:dyDescent="0.25">
      <c r="AD2606"/>
    </row>
    <row r="2607" spans="30:30" x14ac:dyDescent="0.25">
      <c r="AD2607"/>
    </row>
    <row r="2608" spans="30:30" x14ac:dyDescent="0.25">
      <c r="AD2608"/>
    </row>
    <row r="2609" spans="30:30" x14ac:dyDescent="0.25">
      <c r="AD2609"/>
    </row>
    <row r="2610" spans="30:30" x14ac:dyDescent="0.25">
      <c r="AD2610"/>
    </row>
    <row r="2611" spans="30:30" x14ac:dyDescent="0.25">
      <c r="AD2611"/>
    </row>
    <row r="2612" spans="30:30" x14ac:dyDescent="0.25">
      <c r="AD2612"/>
    </row>
    <row r="2613" spans="30:30" x14ac:dyDescent="0.25">
      <c r="AD2613"/>
    </row>
    <row r="2614" spans="30:30" x14ac:dyDescent="0.25">
      <c r="AD2614"/>
    </row>
    <row r="2615" spans="30:30" x14ac:dyDescent="0.25">
      <c r="AD2615"/>
    </row>
    <row r="2616" spans="30:30" x14ac:dyDescent="0.25">
      <c r="AD2616"/>
    </row>
    <row r="2617" spans="30:30" x14ac:dyDescent="0.25">
      <c r="AD2617"/>
    </row>
    <row r="2618" spans="30:30" x14ac:dyDescent="0.25">
      <c r="AD2618"/>
    </row>
    <row r="2619" spans="30:30" x14ac:dyDescent="0.25">
      <c r="AD2619"/>
    </row>
    <row r="2620" spans="30:30" x14ac:dyDescent="0.25">
      <c r="AD2620"/>
    </row>
    <row r="2621" spans="30:30" x14ac:dyDescent="0.25">
      <c r="AD2621"/>
    </row>
    <row r="2622" spans="30:30" x14ac:dyDescent="0.25">
      <c r="AD2622"/>
    </row>
    <row r="2623" spans="30:30" x14ac:dyDescent="0.25">
      <c r="AD2623"/>
    </row>
    <row r="2624" spans="30:30" x14ac:dyDescent="0.25">
      <c r="AD2624"/>
    </row>
    <row r="2625" spans="30:30" x14ac:dyDescent="0.25">
      <c r="AD2625"/>
    </row>
    <row r="2626" spans="30:30" x14ac:dyDescent="0.25">
      <c r="AD2626"/>
    </row>
    <row r="2627" spans="30:30" x14ac:dyDescent="0.25">
      <c r="AD2627"/>
    </row>
    <row r="2628" spans="30:30" x14ac:dyDescent="0.25">
      <c r="AD2628"/>
    </row>
    <row r="2629" spans="30:30" x14ac:dyDescent="0.25">
      <c r="AD2629"/>
    </row>
    <row r="2630" spans="30:30" x14ac:dyDescent="0.25">
      <c r="AD2630"/>
    </row>
    <row r="2631" spans="30:30" x14ac:dyDescent="0.25">
      <c r="AD2631"/>
    </row>
    <row r="2632" spans="30:30" x14ac:dyDescent="0.25">
      <c r="AD2632"/>
    </row>
    <row r="2633" spans="30:30" x14ac:dyDescent="0.25">
      <c r="AD2633"/>
    </row>
    <row r="2634" spans="30:30" x14ac:dyDescent="0.25">
      <c r="AD2634"/>
    </row>
    <row r="2635" spans="30:30" x14ac:dyDescent="0.25">
      <c r="AD2635"/>
    </row>
    <row r="2636" spans="30:30" x14ac:dyDescent="0.25">
      <c r="AD2636"/>
    </row>
    <row r="2637" spans="30:30" x14ac:dyDescent="0.25">
      <c r="AD2637"/>
    </row>
    <row r="2638" spans="30:30" x14ac:dyDescent="0.25">
      <c r="AD2638"/>
    </row>
    <row r="2639" spans="30:30" x14ac:dyDescent="0.25">
      <c r="AD2639"/>
    </row>
    <row r="2640" spans="30:30" x14ac:dyDescent="0.25">
      <c r="AD2640"/>
    </row>
    <row r="2641" spans="30:30" x14ac:dyDescent="0.25">
      <c r="AD2641"/>
    </row>
    <row r="2642" spans="30:30" x14ac:dyDescent="0.25">
      <c r="AD2642"/>
    </row>
    <row r="2643" spans="30:30" x14ac:dyDescent="0.25">
      <c r="AD2643"/>
    </row>
    <row r="2644" spans="30:30" x14ac:dyDescent="0.25">
      <c r="AD2644"/>
    </row>
    <row r="2645" spans="30:30" x14ac:dyDescent="0.25">
      <c r="AD2645"/>
    </row>
    <row r="2646" spans="30:30" x14ac:dyDescent="0.25">
      <c r="AD2646"/>
    </row>
    <row r="2647" spans="30:30" x14ac:dyDescent="0.25">
      <c r="AD2647"/>
    </row>
    <row r="2648" spans="30:30" x14ac:dyDescent="0.25">
      <c r="AD2648"/>
    </row>
    <row r="2649" spans="30:30" x14ac:dyDescent="0.25">
      <c r="AD2649"/>
    </row>
    <row r="2650" spans="30:30" x14ac:dyDescent="0.25">
      <c r="AD2650"/>
    </row>
    <row r="2651" spans="30:30" x14ac:dyDescent="0.25">
      <c r="AD2651"/>
    </row>
    <row r="2652" spans="30:30" x14ac:dyDescent="0.25">
      <c r="AD2652"/>
    </row>
    <row r="2653" spans="30:30" x14ac:dyDescent="0.25">
      <c r="AD2653"/>
    </row>
    <row r="2654" spans="30:30" x14ac:dyDescent="0.25">
      <c r="AD2654"/>
    </row>
    <row r="2655" spans="30:30" x14ac:dyDescent="0.25">
      <c r="AD2655"/>
    </row>
    <row r="2656" spans="30:30" x14ac:dyDescent="0.25">
      <c r="AD2656"/>
    </row>
    <row r="2657" spans="30:30" x14ac:dyDescent="0.25">
      <c r="AD2657"/>
    </row>
    <row r="2658" spans="30:30" x14ac:dyDescent="0.25">
      <c r="AD2658"/>
    </row>
    <row r="2659" spans="30:30" x14ac:dyDescent="0.25">
      <c r="AD2659"/>
    </row>
    <row r="2660" spans="30:30" x14ac:dyDescent="0.25">
      <c r="AD2660"/>
    </row>
    <row r="2661" spans="30:30" x14ac:dyDescent="0.25">
      <c r="AD2661"/>
    </row>
    <row r="2662" spans="30:30" x14ac:dyDescent="0.25">
      <c r="AD2662"/>
    </row>
    <row r="2663" spans="30:30" x14ac:dyDescent="0.25">
      <c r="AD2663"/>
    </row>
    <row r="2664" spans="30:30" x14ac:dyDescent="0.25">
      <c r="AD2664"/>
    </row>
    <row r="2665" spans="30:30" x14ac:dyDescent="0.25">
      <c r="AD2665"/>
    </row>
    <row r="2666" spans="30:30" x14ac:dyDescent="0.25">
      <c r="AD2666"/>
    </row>
    <row r="2667" spans="30:30" x14ac:dyDescent="0.25">
      <c r="AD2667"/>
    </row>
    <row r="2668" spans="30:30" x14ac:dyDescent="0.25">
      <c r="AD2668"/>
    </row>
    <row r="2669" spans="30:30" x14ac:dyDescent="0.25">
      <c r="AD2669"/>
    </row>
    <row r="2670" spans="30:30" x14ac:dyDescent="0.25">
      <c r="AD2670"/>
    </row>
    <row r="2671" spans="30:30" x14ac:dyDescent="0.25">
      <c r="AD2671"/>
    </row>
    <row r="2672" spans="30:30" x14ac:dyDescent="0.25">
      <c r="AD2672"/>
    </row>
    <row r="2673" spans="30:30" x14ac:dyDescent="0.25">
      <c r="AD2673"/>
    </row>
    <row r="2674" spans="30:30" x14ac:dyDescent="0.25">
      <c r="AD2674"/>
    </row>
    <row r="2675" spans="30:30" x14ac:dyDescent="0.25">
      <c r="AD2675"/>
    </row>
    <row r="2676" spans="30:30" x14ac:dyDescent="0.25">
      <c r="AD2676"/>
    </row>
    <row r="2677" spans="30:30" x14ac:dyDescent="0.25">
      <c r="AD2677"/>
    </row>
    <row r="2678" spans="30:30" x14ac:dyDescent="0.25">
      <c r="AD2678"/>
    </row>
    <row r="2679" spans="30:30" x14ac:dyDescent="0.25">
      <c r="AD2679"/>
    </row>
    <row r="2680" spans="30:30" x14ac:dyDescent="0.25">
      <c r="AD2680"/>
    </row>
    <row r="2681" spans="30:30" x14ac:dyDescent="0.25">
      <c r="AD2681"/>
    </row>
    <row r="2682" spans="30:30" x14ac:dyDescent="0.25">
      <c r="AD2682"/>
    </row>
    <row r="2683" spans="30:30" x14ac:dyDescent="0.25">
      <c r="AD2683"/>
    </row>
    <row r="2684" spans="30:30" x14ac:dyDescent="0.25">
      <c r="AD2684"/>
    </row>
    <row r="2685" spans="30:30" x14ac:dyDescent="0.25">
      <c r="AD2685"/>
    </row>
    <row r="2686" spans="30:30" x14ac:dyDescent="0.25">
      <c r="AD2686"/>
    </row>
    <row r="2687" spans="30:30" x14ac:dyDescent="0.25">
      <c r="AD2687"/>
    </row>
    <row r="2688" spans="30:30" x14ac:dyDescent="0.25">
      <c r="AD2688"/>
    </row>
    <row r="2689" spans="30:30" x14ac:dyDescent="0.25">
      <c r="AD2689"/>
    </row>
    <row r="2690" spans="30:30" x14ac:dyDescent="0.25">
      <c r="AD2690"/>
    </row>
    <row r="2691" spans="30:30" x14ac:dyDescent="0.25">
      <c r="AD2691"/>
    </row>
    <row r="2692" spans="30:30" x14ac:dyDescent="0.25">
      <c r="AD2692"/>
    </row>
    <row r="2693" spans="30:30" x14ac:dyDescent="0.25">
      <c r="AD2693"/>
    </row>
    <row r="2694" spans="30:30" x14ac:dyDescent="0.25">
      <c r="AD2694"/>
    </row>
    <row r="2695" spans="30:30" x14ac:dyDescent="0.25">
      <c r="AD2695"/>
    </row>
    <row r="2696" spans="30:30" x14ac:dyDescent="0.25">
      <c r="AD2696"/>
    </row>
    <row r="2697" spans="30:30" x14ac:dyDescent="0.25">
      <c r="AD2697"/>
    </row>
    <row r="2698" spans="30:30" x14ac:dyDescent="0.25">
      <c r="AD2698"/>
    </row>
    <row r="2699" spans="30:30" x14ac:dyDescent="0.25">
      <c r="AD2699"/>
    </row>
    <row r="2700" spans="30:30" x14ac:dyDescent="0.25">
      <c r="AD2700"/>
    </row>
    <row r="2701" spans="30:30" x14ac:dyDescent="0.25">
      <c r="AD2701"/>
    </row>
    <row r="2702" spans="30:30" x14ac:dyDescent="0.25">
      <c r="AD2702"/>
    </row>
    <row r="2703" spans="30:30" x14ac:dyDescent="0.25">
      <c r="AD2703"/>
    </row>
    <row r="2704" spans="30:30" x14ac:dyDescent="0.25">
      <c r="AD2704"/>
    </row>
    <row r="2705" spans="30:30" x14ac:dyDescent="0.25">
      <c r="AD2705"/>
    </row>
    <row r="2706" spans="30:30" x14ac:dyDescent="0.25">
      <c r="AD2706"/>
    </row>
    <row r="2707" spans="30:30" x14ac:dyDescent="0.25">
      <c r="AD2707"/>
    </row>
    <row r="2708" spans="30:30" x14ac:dyDescent="0.25">
      <c r="AD2708"/>
    </row>
    <row r="2709" spans="30:30" x14ac:dyDescent="0.25">
      <c r="AD2709"/>
    </row>
    <row r="2710" spans="30:30" x14ac:dyDescent="0.25">
      <c r="AD2710"/>
    </row>
    <row r="2711" spans="30:30" x14ac:dyDescent="0.25">
      <c r="AD2711"/>
    </row>
    <row r="2712" spans="30:30" x14ac:dyDescent="0.25">
      <c r="AD2712"/>
    </row>
    <row r="2713" spans="30:30" x14ac:dyDescent="0.25">
      <c r="AD2713"/>
    </row>
    <row r="2714" spans="30:30" x14ac:dyDescent="0.25">
      <c r="AD2714"/>
    </row>
    <row r="2715" spans="30:30" x14ac:dyDescent="0.25">
      <c r="AD2715"/>
    </row>
    <row r="2716" spans="30:30" x14ac:dyDescent="0.25">
      <c r="AD2716"/>
    </row>
    <row r="2717" spans="30:30" x14ac:dyDescent="0.25">
      <c r="AD2717"/>
    </row>
    <row r="2718" spans="30:30" x14ac:dyDescent="0.25">
      <c r="AD2718"/>
    </row>
    <row r="2719" spans="30:30" x14ac:dyDescent="0.25">
      <c r="AD2719"/>
    </row>
    <row r="2720" spans="30:30" x14ac:dyDescent="0.25">
      <c r="AD2720"/>
    </row>
    <row r="2721" spans="30:30" x14ac:dyDescent="0.25">
      <c r="AD2721"/>
    </row>
    <row r="2722" spans="30:30" x14ac:dyDescent="0.25">
      <c r="AD2722"/>
    </row>
    <row r="2723" spans="30:30" x14ac:dyDescent="0.25">
      <c r="AD2723"/>
    </row>
    <row r="2724" spans="30:30" x14ac:dyDescent="0.25">
      <c r="AD2724"/>
    </row>
    <row r="2725" spans="30:30" x14ac:dyDescent="0.25">
      <c r="AD2725"/>
    </row>
    <row r="2726" spans="30:30" x14ac:dyDescent="0.25">
      <c r="AD2726"/>
    </row>
    <row r="2727" spans="30:30" x14ac:dyDescent="0.25">
      <c r="AD2727"/>
    </row>
    <row r="2728" spans="30:30" x14ac:dyDescent="0.25">
      <c r="AD2728"/>
    </row>
    <row r="2729" spans="30:30" x14ac:dyDescent="0.25">
      <c r="AD2729"/>
    </row>
    <row r="2730" spans="30:30" x14ac:dyDescent="0.25">
      <c r="AD2730"/>
    </row>
    <row r="2731" spans="30:30" x14ac:dyDescent="0.25">
      <c r="AD2731"/>
    </row>
    <row r="2732" spans="30:30" x14ac:dyDescent="0.25">
      <c r="AD2732"/>
    </row>
    <row r="2733" spans="30:30" x14ac:dyDescent="0.25">
      <c r="AD2733"/>
    </row>
    <row r="2734" spans="30:30" x14ac:dyDescent="0.25">
      <c r="AD2734"/>
    </row>
    <row r="2735" spans="30:30" x14ac:dyDescent="0.25">
      <c r="AD2735"/>
    </row>
    <row r="2736" spans="30:30" x14ac:dyDescent="0.25">
      <c r="AD2736"/>
    </row>
    <row r="2737" spans="30:30" x14ac:dyDescent="0.25">
      <c r="AD2737"/>
    </row>
    <row r="2738" spans="30:30" x14ac:dyDescent="0.25">
      <c r="AD2738"/>
    </row>
    <row r="2739" spans="30:30" x14ac:dyDescent="0.25">
      <c r="AD2739"/>
    </row>
    <row r="2740" spans="30:30" x14ac:dyDescent="0.25">
      <c r="AD2740"/>
    </row>
    <row r="2741" spans="30:30" x14ac:dyDescent="0.25">
      <c r="AD2741"/>
    </row>
    <row r="2742" spans="30:30" x14ac:dyDescent="0.25">
      <c r="AD2742"/>
    </row>
    <row r="2743" spans="30:30" x14ac:dyDescent="0.25">
      <c r="AD2743"/>
    </row>
    <row r="2744" spans="30:30" x14ac:dyDescent="0.25">
      <c r="AD2744"/>
    </row>
    <row r="2745" spans="30:30" x14ac:dyDescent="0.25">
      <c r="AD2745"/>
    </row>
    <row r="2746" spans="30:30" x14ac:dyDescent="0.25">
      <c r="AD2746"/>
    </row>
    <row r="2747" spans="30:30" x14ac:dyDescent="0.25">
      <c r="AD2747"/>
    </row>
    <row r="2748" spans="30:30" x14ac:dyDescent="0.25">
      <c r="AD2748"/>
    </row>
    <row r="2749" spans="30:30" x14ac:dyDescent="0.25">
      <c r="AD2749"/>
    </row>
    <row r="2750" spans="30:30" x14ac:dyDescent="0.25">
      <c r="AD2750"/>
    </row>
    <row r="2751" spans="30:30" x14ac:dyDescent="0.25">
      <c r="AD2751"/>
    </row>
    <row r="2752" spans="30:30" x14ac:dyDescent="0.25">
      <c r="AD2752"/>
    </row>
    <row r="2753" spans="30:30" x14ac:dyDescent="0.25">
      <c r="AD2753"/>
    </row>
    <row r="2754" spans="30:30" x14ac:dyDescent="0.25">
      <c r="AD2754"/>
    </row>
    <row r="2755" spans="30:30" x14ac:dyDescent="0.25">
      <c r="AD2755"/>
    </row>
    <row r="2756" spans="30:30" x14ac:dyDescent="0.25">
      <c r="AD2756"/>
    </row>
    <row r="2757" spans="30:30" x14ac:dyDescent="0.25">
      <c r="AD2757"/>
    </row>
    <row r="2758" spans="30:30" x14ac:dyDescent="0.25">
      <c r="AD2758"/>
    </row>
    <row r="2759" spans="30:30" x14ac:dyDescent="0.25">
      <c r="AD2759"/>
    </row>
    <row r="2760" spans="30:30" x14ac:dyDescent="0.25">
      <c r="AD2760"/>
    </row>
    <row r="2761" spans="30:30" x14ac:dyDescent="0.25">
      <c r="AD2761"/>
    </row>
    <row r="2762" spans="30:30" x14ac:dyDescent="0.25">
      <c r="AD2762"/>
    </row>
    <row r="2763" spans="30:30" x14ac:dyDescent="0.25">
      <c r="AD2763"/>
    </row>
    <row r="2764" spans="30:30" x14ac:dyDescent="0.25">
      <c r="AD2764"/>
    </row>
    <row r="2765" spans="30:30" x14ac:dyDescent="0.25">
      <c r="AD2765"/>
    </row>
    <row r="2766" spans="30:30" x14ac:dyDescent="0.25">
      <c r="AD2766"/>
    </row>
    <row r="2767" spans="30:30" x14ac:dyDescent="0.25">
      <c r="AD2767"/>
    </row>
    <row r="2768" spans="30:30" x14ac:dyDescent="0.25">
      <c r="AD2768"/>
    </row>
    <row r="2769" spans="30:30" x14ac:dyDescent="0.25">
      <c r="AD2769"/>
    </row>
    <row r="2770" spans="30:30" x14ac:dyDescent="0.25">
      <c r="AD2770"/>
    </row>
    <row r="2771" spans="30:30" x14ac:dyDescent="0.25">
      <c r="AD2771"/>
    </row>
    <row r="2772" spans="30:30" x14ac:dyDescent="0.25">
      <c r="AD2772"/>
    </row>
    <row r="2773" spans="30:30" x14ac:dyDescent="0.25">
      <c r="AD2773"/>
    </row>
    <row r="2774" spans="30:30" x14ac:dyDescent="0.25">
      <c r="AD2774"/>
    </row>
    <row r="2775" spans="30:30" x14ac:dyDescent="0.25">
      <c r="AD2775"/>
    </row>
    <row r="2776" spans="30:30" x14ac:dyDescent="0.25">
      <c r="AD2776"/>
    </row>
    <row r="2777" spans="30:30" x14ac:dyDescent="0.25">
      <c r="AD2777"/>
    </row>
    <row r="2778" spans="30:30" x14ac:dyDescent="0.25">
      <c r="AD2778"/>
    </row>
    <row r="2779" spans="30:30" x14ac:dyDescent="0.25">
      <c r="AD2779"/>
    </row>
    <row r="2780" spans="30:30" x14ac:dyDescent="0.25">
      <c r="AD2780"/>
    </row>
    <row r="2781" spans="30:30" x14ac:dyDescent="0.25">
      <c r="AD2781"/>
    </row>
    <row r="2782" spans="30:30" x14ac:dyDescent="0.25">
      <c r="AD2782"/>
    </row>
    <row r="2783" spans="30:30" x14ac:dyDescent="0.25">
      <c r="AD2783"/>
    </row>
    <row r="2784" spans="30:30" x14ac:dyDescent="0.25">
      <c r="AD2784"/>
    </row>
    <row r="2785" spans="30:30" x14ac:dyDescent="0.25">
      <c r="AD2785"/>
    </row>
    <row r="2786" spans="30:30" x14ac:dyDescent="0.25">
      <c r="AD2786"/>
    </row>
    <row r="2787" spans="30:30" x14ac:dyDescent="0.25">
      <c r="AD2787"/>
    </row>
    <row r="2788" spans="30:30" x14ac:dyDescent="0.25">
      <c r="AD2788"/>
    </row>
    <row r="2789" spans="30:30" x14ac:dyDescent="0.25">
      <c r="AD2789"/>
    </row>
    <row r="2790" spans="30:30" x14ac:dyDescent="0.25">
      <c r="AD2790"/>
    </row>
    <row r="2791" spans="30:30" x14ac:dyDescent="0.25">
      <c r="AD2791"/>
    </row>
    <row r="2792" spans="30:30" x14ac:dyDescent="0.25">
      <c r="AD2792"/>
    </row>
    <row r="2793" spans="30:30" x14ac:dyDescent="0.25">
      <c r="AD2793"/>
    </row>
    <row r="2794" spans="30:30" x14ac:dyDescent="0.25">
      <c r="AD2794"/>
    </row>
    <row r="2795" spans="30:30" x14ac:dyDescent="0.25">
      <c r="AD2795"/>
    </row>
    <row r="2796" spans="30:30" x14ac:dyDescent="0.25">
      <c r="AD2796"/>
    </row>
    <row r="2797" spans="30:30" x14ac:dyDescent="0.25">
      <c r="AD2797"/>
    </row>
    <row r="2798" spans="30:30" x14ac:dyDescent="0.25">
      <c r="AD2798"/>
    </row>
    <row r="2799" spans="30:30" x14ac:dyDescent="0.25">
      <c r="AD2799"/>
    </row>
    <row r="2800" spans="30:30" x14ac:dyDescent="0.25">
      <c r="AD2800"/>
    </row>
    <row r="2801" spans="30:30" x14ac:dyDescent="0.25">
      <c r="AD2801"/>
    </row>
    <row r="2802" spans="30:30" x14ac:dyDescent="0.25">
      <c r="AD2802"/>
    </row>
    <row r="2803" spans="30:30" x14ac:dyDescent="0.25">
      <c r="AD2803"/>
    </row>
    <row r="2804" spans="30:30" x14ac:dyDescent="0.25">
      <c r="AD2804"/>
    </row>
    <row r="2805" spans="30:30" x14ac:dyDescent="0.25">
      <c r="AD2805"/>
    </row>
    <row r="2806" spans="30:30" x14ac:dyDescent="0.25">
      <c r="AD2806"/>
    </row>
    <row r="2807" spans="30:30" x14ac:dyDescent="0.25">
      <c r="AD2807"/>
    </row>
    <row r="2808" spans="30:30" x14ac:dyDescent="0.25">
      <c r="AD2808"/>
    </row>
    <row r="2809" spans="30:30" x14ac:dyDescent="0.25">
      <c r="AD2809"/>
    </row>
    <row r="2810" spans="30:30" x14ac:dyDescent="0.25">
      <c r="AD2810"/>
    </row>
    <row r="2811" spans="30:30" x14ac:dyDescent="0.25">
      <c r="AD2811"/>
    </row>
    <row r="2812" spans="30:30" x14ac:dyDescent="0.25">
      <c r="AD2812"/>
    </row>
    <row r="2813" spans="30:30" x14ac:dyDescent="0.25">
      <c r="AD2813"/>
    </row>
    <row r="2814" spans="30:30" x14ac:dyDescent="0.25">
      <c r="AD2814"/>
    </row>
    <row r="2815" spans="30:30" x14ac:dyDescent="0.25">
      <c r="AD2815"/>
    </row>
    <row r="2816" spans="30:30" x14ac:dyDescent="0.25">
      <c r="AD2816"/>
    </row>
    <row r="2817" spans="30:30" x14ac:dyDescent="0.25">
      <c r="AD2817"/>
    </row>
    <row r="2818" spans="30:30" x14ac:dyDescent="0.25">
      <c r="AD2818"/>
    </row>
    <row r="2819" spans="30:30" x14ac:dyDescent="0.25">
      <c r="AD2819"/>
    </row>
    <row r="2820" spans="30:30" x14ac:dyDescent="0.25">
      <c r="AD2820"/>
    </row>
    <row r="2821" spans="30:30" x14ac:dyDescent="0.25">
      <c r="AD2821"/>
    </row>
    <row r="2822" spans="30:30" x14ac:dyDescent="0.25">
      <c r="AD2822"/>
    </row>
    <row r="2823" spans="30:30" x14ac:dyDescent="0.25">
      <c r="AD2823"/>
    </row>
    <row r="2824" spans="30:30" x14ac:dyDescent="0.25">
      <c r="AD2824"/>
    </row>
    <row r="2825" spans="30:30" x14ac:dyDescent="0.25">
      <c r="AD2825"/>
    </row>
    <row r="2826" spans="30:30" x14ac:dyDescent="0.25">
      <c r="AD2826"/>
    </row>
    <row r="2827" spans="30:30" x14ac:dyDescent="0.25">
      <c r="AD2827"/>
    </row>
    <row r="2828" spans="30:30" x14ac:dyDescent="0.25">
      <c r="AD2828"/>
    </row>
    <row r="2829" spans="30:30" x14ac:dyDescent="0.25">
      <c r="AD2829"/>
    </row>
    <row r="2830" spans="30:30" x14ac:dyDescent="0.25">
      <c r="AD2830"/>
    </row>
    <row r="2831" spans="30:30" x14ac:dyDescent="0.25">
      <c r="AD2831"/>
    </row>
    <row r="2832" spans="30:30" x14ac:dyDescent="0.25">
      <c r="AD2832"/>
    </row>
    <row r="2833" spans="30:30" x14ac:dyDescent="0.25">
      <c r="AD2833"/>
    </row>
    <row r="2834" spans="30:30" x14ac:dyDescent="0.25">
      <c r="AD2834"/>
    </row>
    <row r="2835" spans="30:30" x14ac:dyDescent="0.25">
      <c r="AD2835"/>
    </row>
    <row r="2836" spans="30:30" x14ac:dyDescent="0.25">
      <c r="AD2836"/>
    </row>
    <row r="2837" spans="30:30" x14ac:dyDescent="0.25">
      <c r="AD2837"/>
    </row>
    <row r="2838" spans="30:30" x14ac:dyDescent="0.25">
      <c r="AD2838"/>
    </row>
    <row r="2839" spans="30:30" x14ac:dyDescent="0.25">
      <c r="AD2839"/>
    </row>
    <row r="2840" spans="30:30" x14ac:dyDescent="0.25">
      <c r="AD2840"/>
    </row>
    <row r="2841" spans="30:30" x14ac:dyDescent="0.25">
      <c r="AD2841"/>
    </row>
    <row r="2842" spans="30:30" x14ac:dyDescent="0.25">
      <c r="AD2842"/>
    </row>
    <row r="2843" spans="30:30" x14ac:dyDescent="0.25">
      <c r="AD2843"/>
    </row>
    <row r="2844" spans="30:30" x14ac:dyDescent="0.25">
      <c r="AD2844"/>
    </row>
    <row r="2845" spans="30:30" x14ac:dyDescent="0.25">
      <c r="AD2845"/>
    </row>
    <row r="2846" spans="30:30" x14ac:dyDescent="0.25">
      <c r="AD2846"/>
    </row>
    <row r="2847" spans="30:30" x14ac:dyDescent="0.25">
      <c r="AD2847"/>
    </row>
    <row r="2848" spans="30:30" x14ac:dyDescent="0.25">
      <c r="AD2848"/>
    </row>
    <row r="2849" spans="30:30" x14ac:dyDescent="0.25">
      <c r="AD2849"/>
    </row>
    <row r="2850" spans="30:30" x14ac:dyDescent="0.25">
      <c r="AD2850"/>
    </row>
    <row r="2851" spans="30:30" x14ac:dyDescent="0.25">
      <c r="AD2851"/>
    </row>
    <row r="2852" spans="30:30" x14ac:dyDescent="0.25">
      <c r="AD2852"/>
    </row>
    <row r="2853" spans="30:30" x14ac:dyDescent="0.25">
      <c r="AD2853"/>
    </row>
    <row r="2854" spans="30:30" x14ac:dyDescent="0.25">
      <c r="AD2854"/>
    </row>
    <row r="2855" spans="30:30" x14ac:dyDescent="0.25">
      <c r="AD2855"/>
    </row>
    <row r="2856" spans="30:30" x14ac:dyDescent="0.25">
      <c r="AD2856"/>
    </row>
    <row r="2857" spans="30:30" x14ac:dyDescent="0.25">
      <c r="AD2857"/>
    </row>
    <row r="2858" spans="30:30" x14ac:dyDescent="0.25">
      <c r="AD2858"/>
    </row>
    <row r="2859" spans="30:30" x14ac:dyDescent="0.25">
      <c r="AD2859"/>
    </row>
    <row r="2860" spans="30:30" x14ac:dyDescent="0.25">
      <c r="AD2860"/>
    </row>
    <row r="2861" spans="30:30" x14ac:dyDescent="0.25">
      <c r="AD2861"/>
    </row>
    <row r="2862" spans="30:30" x14ac:dyDescent="0.25">
      <c r="AD2862"/>
    </row>
    <row r="2863" spans="30:30" x14ac:dyDescent="0.25">
      <c r="AD2863"/>
    </row>
    <row r="2864" spans="30:30" x14ac:dyDescent="0.25">
      <c r="AD2864"/>
    </row>
    <row r="2865" spans="30:30" x14ac:dyDescent="0.25">
      <c r="AD2865"/>
    </row>
    <row r="2866" spans="30:30" x14ac:dyDescent="0.25">
      <c r="AD2866"/>
    </row>
    <row r="2867" spans="30:30" x14ac:dyDescent="0.25">
      <c r="AD2867"/>
    </row>
    <row r="2868" spans="30:30" x14ac:dyDescent="0.25">
      <c r="AD2868"/>
    </row>
    <row r="2869" spans="30:30" x14ac:dyDescent="0.25">
      <c r="AD2869"/>
    </row>
    <row r="2870" spans="30:30" x14ac:dyDescent="0.25">
      <c r="AD2870"/>
    </row>
    <row r="2871" spans="30:30" x14ac:dyDescent="0.25">
      <c r="AD2871"/>
    </row>
    <row r="2872" spans="30:30" x14ac:dyDescent="0.25">
      <c r="AD2872"/>
    </row>
    <row r="2873" spans="30:30" x14ac:dyDescent="0.25">
      <c r="AD2873"/>
    </row>
    <row r="2874" spans="30:30" x14ac:dyDescent="0.25">
      <c r="AD2874"/>
    </row>
    <row r="2875" spans="30:30" x14ac:dyDescent="0.25">
      <c r="AD2875"/>
    </row>
    <row r="2876" spans="30:30" x14ac:dyDescent="0.25">
      <c r="AD2876"/>
    </row>
    <row r="2877" spans="30:30" x14ac:dyDescent="0.25">
      <c r="AD2877"/>
    </row>
    <row r="2878" spans="30:30" x14ac:dyDescent="0.25">
      <c r="AD2878"/>
    </row>
    <row r="2879" spans="30:30" x14ac:dyDescent="0.25">
      <c r="AD2879"/>
    </row>
    <row r="2880" spans="30:30" x14ac:dyDescent="0.25">
      <c r="AD2880"/>
    </row>
    <row r="2881" spans="30:30" x14ac:dyDescent="0.25">
      <c r="AD2881"/>
    </row>
    <row r="2882" spans="30:30" x14ac:dyDescent="0.25">
      <c r="AD2882"/>
    </row>
    <row r="2883" spans="30:30" x14ac:dyDescent="0.25">
      <c r="AD2883"/>
    </row>
    <row r="2884" spans="30:30" x14ac:dyDescent="0.25">
      <c r="AD2884"/>
    </row>
    <row r="2885" spans="30:30" x14ac:dyDescent="0.25">
      <c r="AD2885"/>
    </row>
    <row r="2886" spans="30:30" x14ac:dyDescent="0.25">
      <c r="AD2886"/>
    </row>
    <row r="2887" spans="30:30" x14ac:dyDescent="0.25">
      <c r="AD2887"/>
    </row>
    <row r="2888" spans="30:30" x14ac:dyDescent="0.25">
      <c r="AD2888"/>
    </row>
    <row r="2889" spans="30:30" x14ac:dyDescent="0.25">
      <c r="AD2889"/>
    </row>
    <row r="2890" spans="30:30" x14ac:dyDescent="0.25">
      <c r="AD2890"/>
    </row>
    <row r="2891" spans="30:30" x14ac:dyDescent="0.25">
      <c r="AD2891"/>
    </row>
    <row r="2892" spans="30:30" x14ac:dyDescent="0.25">
      <c r="AD2892"/>
    </row>
    <row r="2893" spans="30:30" x14ac:dyDescent="0.25">
      <c r="AD2893"/>
    </row>
    <row r="2894" spans="30:30" x14ac:dyDescent="0.25">
      <c r="AD2894"/>
    </row>
    <row r="2895" spans="30:30" x14ac:dyDescent="0.25">
      <c r="AD2895"/>
    </row>
    <row r="2896" spans="30:30" x14ac:dyDescent="0.25">
      <c r="AD2896"/>
    </row>
    <row r="2897" spans="30:30" x14ac:dyDescent="0.25">
      <c r="AD2897"/>
    </row>
    <row r="2898" spans="30:30" x14ac:dyDescent="0.25">
      <c r="AD2898"/>
    </row>
    <row r="2899" spans="30:30" x14ac:dyDescent="0.25">
      <c r="AD2899"/>
    </row>
    <row r="2900" spans="30:30" x14ac:dyDescent="0.25">
      <c r="AD2900"/>
    </row>
    <row r="2901" spans="30:30" x14ac:dyDescent="0.25">
      <c r="AD2901"/>
    </row>
    <row r="2902" spans="30:30" x14ac:dyDescent="0.25">
      <c r="AD2902"/>
    </row>
    <row r="2903" spans="30:30" x14ac:dyDescent="0.25">
      <c r="AD2903"/>
    </row>
    <row r="2904" spans="30:30" x14ac:dyDescent="0.25">
      <c r="AD2904"/>
    </row>
    <row r="2905" spans="30:30" x14ac:dyDescent="0.25">
      <c r="AD2905"/>
    </row>
    <row r="2906" spans="30:30" x14ac:dyDescent="0.25">
      <c r="AD2906"/>
    </row>
    <row r="2907" spans="30:30" x14ac:dyDescent="0.25">
      <c r="AD2907"/>
    </row>
    <row r="2908" spans="30:30" x14ac:dyDescent="0.25">
      <c r="AD2908"/>
    </row>
    <row r="2909" spans="30:30" x14ac:dyDescent="0.25">
      <c r="AD2909"/>
    </row>
    <row r="2910" spans="30:30" x14ac:dyDescent="0.25">
      <c r="AD2910"/>
    </row>
    <row r="2911" spans="30:30" x14ac:dyDescent="0.25">
      <c r="AD2911"/>
    </row>
    <row r="2912" spans="30:30" x14ac:dyDescent="0.25">
      <c r="AD2912"/>
    </row>
    <row r="2913" spans="30:30" x14ac:dyDescent="0.25">
      <c r="AD2913"/>
    </row>
    <row r="2914" spans="30:30" x14ac:dyDescent="0.25">
      <c r="AD2914"/>
    </row>
    <row r="2915" spans="30:30" x14ac:dyDescent="0.25">
      <c r="AD2915"/>
    </row>
    <row r="2916" spans="30:30" x14ac:dyDescent="0.25">
      <c r="AD2916"/>
    </row>
    <row r="2917" spans="30:30" x14ac:dyDescent="0.25">
      <c r="AD2917"/>
    </row>
    <row r="2918" spans="30:30" x14ac:dyDescent="0.25">
      <c r="AD2918"/>
    </row>
    <row r="2919" spans="30:30" x14ac:dyDescent="0.25">
      <c r="AD2919"/>
    </row>
    <row r="2920" spans="30:30" x14ac:dyDescent="0.25">
      <c r="AD2920"/>
    </row>
    <row r="2921" spans="30:30" x14ac:dyDescent="0.25">
      <c r="AD2921"/>
    </row>
    <row r="2922" spans="30:30" x14ac:dyDescent="0.25">
      <c r="AD2922"/>
    </row>
    <row r="2923" spans="30:30" x14ac:dyDescent="0.25">
      <c r="AD2923"/>
    </row>
    <row r="2924" spans="30:30" x14ac:dyDescent="0.25">
      <c r="AD2924"/>
    </row>
    <row r="2925" spans="30:30" x14ac:dyDescent="0.25">
      <c r="AD2925"/>
    </row>
    <row r="2926" spans="30:30" x14ac:dyDescent="0.25">
      <c r="AD2926"/>
    </row>
    <row r="2927" spans="30:30" x14ac:dyDescent="0.25">
      <c r="AD2927"/>
    </row>
    <row r="2928" spans="30:30" x14ac:dyDescent="0.25">
      <c r="AD2928"/>
    </row>
    <row r="2929" spans="30:30" x14ac:dyDescent="0.25">
      <c r="AD2929"/>
    </row>
    <row r="2930" spans="30:30" x14ac:dyDescent="0.25">
      <c r="AD2930"/>
    </row>
    <row r="2931" spans="30:30" x14ac:dyDescent="0.25">
      <c r="AD2931"/>
    </row>
    <row r="2932" spans="30:30" x14ac:dyDescent="0.25">
      <c r="AD2932"/>
    </row>
    <row r="2933" spans="30:30" x14ac:dyDescent="0.25">
      <c r="AD2933"/>
    </row>
    <row r="2934" spans="30:30" x14ac:dyDescent="0.25">
      <c r="AD2934"/>
    </row>
    <row r="2935" spans="30:30" x14ac:dyDescent="0.25">
      <c r="AD2935"/>
    </row>
    <row r="2936" spans="30:30" x14ac:dyDescent="0.25">
      <c r="AD2936"/>
    </row>
    <row r="2937" spans="30:30" x14ac:dyDescent="0.25">
      <c r="AD2937"/>
    </row>
    <row r="2938" spans="30:30" x14ac:dyDescent="0.25">
      <c r="AD2938"/>
    </row>
    <row r="2939" spans="30:30" x14ac:dyDescent="0.25">
      <c r="AD2939"/>
    </row>
    <row r="2940" spans="30:30" x14ac:dyDescent="0.25">
      <c r="AD2940"/>
    </row>
    <row r="2941" spans="30:30" x14ac:dyDescent="0.25">
      <c r="AD2941"/>
    </row>
    <row r="2942" spans="30:30" x14ac:dyDescent="0.25">
      <c r="AD2942"/>
    </row>
    <row r="2943" spans="30:30" x14ac:dyDescent="0.25">
      <c r="AD2943"/>
    </row>
    <row r="2944" spans="30:30" x14ac:dyDescent="0.25">
      <c r="AD2944"/>
    </row>
    <row r="2945" spans="30:30" x14ac:dyDescent="0.25">
      <c r="AD2945"/>
    </row>
    <row r="2946" spans="30:30" x14ac:dyDescent="0.25">
      <c r="AD2946"/>
    </row>
    <row r="2947" spans="30:30" x14ac:dyDescent="0.25">
      <c r="AD2947"/>
    </row>
    <row r="2948" spans="30:30" x14ac:dyDescent="0.25">
      <c r="AD2948"/>
    </row>
    <row r="2949" spans="30:30" x14ac:dyDescent="0.25">
      <c r="AD2949"/>
    </row>
    <row r="2950" spans="30:30" x14ac:dyDescent="0.25">
      <c r="AD2950"/>
    </row>
    <row r="2951" spans="30:30" x14ac:dyDescent="0.25">
      <c r="AD2951"/>
    </row>
    <row r="2952" spans="30:30" x14ac:dyDescent="0.25">
      <c r="AD2952"/>
    </row>
    <row r="2953" spans="30:30" x14ac:dyDescent="0.25">
      <c r="AD2953"/>
    </row>
    <row r="2954" spans="30:30" x14ac:dyDescent="0.25">
      <c r="AD2954"/>
    </row>
    <row r="2955" spans="30:30" x14ac:dyDescent="0.25">
      <c r="AD2955"/>
    </row>
    <row r="2956" spans="30:30" x14ac:dyDescent="0.25">
      <c r="AD2956"/>
    </row>
    <row r="2957" spans="30:30" x14ac:dyDescent="0.25">
      <c r="AD2957"/>
    </row>
    <row r="2958" spans="30:30" x14ac:dyDescent="0.25">
      <c r="AD2958"/>
    </row>
    <row r="2959" spans="30:30" x14ac:dyDescent="0.25">
      <c r="AD2959"/>
    </row>
    <row r="2960" spans="30:30" x14ac:dyDescent="0.25">
      <c r="AD2960"/>
    </row>
    <row r="2961" spans="30:30" x14ac:dyDescent="0.25">
      <c r="AD2961"/>
    </row>
    <row r="2962" spans="30:30" x14ac:dyDescent="0.25">
      <c r="AD2962"/>
    </row>
    <row r="2963" spans="30:30" x14ac:dyDescent="0.25">
      <c r="AD2963"/>
    </row>
    <row r="2964" spans="30:30" x14ac:dyDescent="0.25">
      <c r="AD2964"/>
    </row>
    <row r="2965" spans="30:30" x14ac:dyDescent="0.25">
      <c r="AD2965"/>
    </row>
    <row r="2966" spans="30:30" x14ac:dyDescent="0.25">
      <c r="AD2966"/>
    </row>
    <row r="2967" spans="30:30" x14ac:dyDescent="0.25">
      <c r="AD2967"/>
    </row>
    <row r="2968" spans="30:30" x14ac:dyDescent="0.25">
      <c r="AD2968"/>
    </row>
    <row r="2969" spans="30:30" x14ac:dyDescent="0.25">
      <c r="AD2969"/>
    </row>
    <row r="2970" spans="30:30" x14ac:dyDescent="0.25">
      <c r="AD2970"/>
    </row>
    <row r="2971" spans="30:30" x14ac:dyDescent="0.25">
      <c r="AD2971"/>
    </row>
    <row r="2972" spans="30:30" x14ac:dyDescent="0.25">
      <c r="AD2972"/>
    </row>
    <row r="2973" spans="30:30" x14ac:dyDescent="0.25">
      <c r="AD2973"/>
    </row>
    <row r="2974" spans="30:30" x14ac:dyDescent="0.25">
      <c r="AD2974"/>
    </row>
    <row r="2975" spans="30:30" x14ac:dyDescent="0.25">
      <c r="AD2975"/>
    </row>
    <row r="2976" spans="30:30" x14ac:dyDescent="0.25">
      <c r="AD2976"/>
    </row>
    <row r="2977" spans="30:30" x14ac:dyDescent="0.25">
      <c r="AD2977"/>
    </row>
    <row r="2978" spans="30:30" x14ac:dyDescent="0.25">
      <c r="AD2978"/>
    </row>
    <row r="2979" spans="30:30" x14ac:dyDescent="0.25">
      <c r="AD2979"/>
    </row>
    <row r="2980" spans="30:30" x14ac:dyDescent="0.25">
      <c r="AD2980"/>
    </row>
    <row r="2981" spans="30:30" x14ac:dyDescent="0.25">
      <c r="AD2981"/>
    </row>
    <row r="2982" spans="30:30" x14ac:dyDescent="0.25">
      <c r="AD2982"/>
    </row>
    <row r="2983" spans="30:30" x14ac:dyDescent="0.25">
      <c r="AD2983"/>
    </row>
    <row r="2984" spans="30:30" x14ac:dyDescent="0.25">
      <c r="AD2984"/>
    </row>
    <row r="2985" spans="30:30" x14ac:dyDescent="0.25">
      <c r="AD2985"/>
    </row>
    <row r="2986" spans="30:30" x14ac:dyDescent="0.25">
      <c r="AD2986"/>
    </row>
    <row r="2987" spans="30:30" x14ac:dyDescent="0.25">
      <c r="AD2987"/>
    </row>
    <row r="2988" spans="30:30" x14ac:dyDescent="0.25">
      <c r="AD2988"/>
    </row>
    <row r="2989" spans="30:30" x14ac:dyDescent="0.25">
      <c r="AD2989"/>
    </row>
    <row r="2990" spans="30:30" x14ac:dyDescent="0.25">
      <c r="AD2990"/>
    </row>
    <row r="2991" spans="30:30" x14ac:dyDescent="0.25">
      <c r="AD2991"/>
    </row>
    <row r="2992" spans="30:30" x14ac:dyDescent="0.25">
      <c r="AD2992"/>
    </row>
    <row r="2993" spans="30:30" x14ac:dyDescent="0.25">
      <c r="AD2993"/>
    </row>
    <row r="2994" spans="30:30" x14ac:dyDescent="0.25">
      <c r="AD2994"/>
    </row>
    <row r="2995" spans="30:30" x14ac:dyDescent="0.25">
      <c r="AD2995"/>
    </row>
    <row r="2996" spans="30:30" x14ac:dyDescent="0.25">
      <c r="AD2996"/>
    </row>
    <row r="2997" spans="30:30" x14ac:dyDescent="0.25">
      <c r="AD2997"/>
    </row>
    <row r="2998" spans="30:30" x14ac:dyDescent="0.25">
      <c r="AD2998"/>
    </row>
    <row r="2999" spans="30:30" x14ac:dyDescent="0.25">
      <c r="AD2999"/>
    </row>
    <row r="3000" spans="30:30" x14ac:dyDescent="0.25">
      <c r="AD3000"/>
    </row>
    <row r="3001" spans="30:30" x14ac:dyDescent="0.25">
      <c r="AD3001"/>
    </row>
    <row r="3002" spans="30:30" x14ac:dyDescent="0.25">
      <c r="AD3002"/>
    </row>
    <row r="3003" spans="30:30" x14ac:dyDescent="0.25">
      <c r="AD3003"/>
    </row>
    <row r="3004" spans="30:30" x14ac:dyDescent="0.25">
      <c r="AD3004"/>
    </row>
    <row r="3005" spans="30:30" x14ac:dyDescent="0.25">
      <c r="AD3005"/>
    </row>
    <row r="3006" spans="30:30" x14ac:dyDescent="0.25">
      <c r="AD3006"/>
    </row>
    <row r="3007" spans="30:30" x14ac:dyDescent="0.25">
      <c r="AD3007"/>
    </row>
    <row r="3008" spans="30:30" x14ac:dyDescent="0.25">
      <c r="AD3008"/>
    </row>
    <row r="3009" spans="30:30" x14ac:dyDescent="0.25">
      <c r="AD3009"/>
    </row>
    <row r="3010" spans="30:30" x14ac:dyDescent="0.25">
      <c r="AD3010"/>
    </row>
    <row r="3011" spans="30:30" x14ac:dyDescent="0.25">
      <c r="AD3011"/>
    </row>
    <row r="3012" spans="30:30" x14ac:dyDescent="0.25">
      <c r="AD3012"/>
    </row>
    <row r="3013" spans="30:30" x14ac:dyDescent="0.25">
      <c r="AD3013"/>
    </row>
    <row r="3014" spans="30:30" x14ac:dyDescent="0.25">
      <c r="AD3014"/>
    </row>
    <row r="3015" spans="30:30" x14ac:dyDescent="0.25">
      <c r="AD3015"/>
    </row>
    <row r="3016" spans="30:30" x14ac:dyDescent="0.25">
      <c r="AD3016"/>
    </row>
    <row r="3017" spans="30:30" x14ac:dyDescent="0.25">
      <c r="AD3017"/>
    </row>
    <row r="3018" spans="30:30" x14ac:dyDescent="0.25">
      <c r="AD3018"/>
    </row>
    <row r="3019" spans="30:30" x14ac:dyDescent="0.25">
      <c r="AD3019"/>
    </row>
    <row r="3020" spans="30:30" x14ac:dyDescent="0.25">
      <c r="AD3020"/>
    </row>
    <row r="3021" spans="30:30" x14ac:dyDescent="0.25">
      <c r="AD3021"/>
    </row>
    <row r="3022" spans="30:30" x14ac:dyDescent="0.25">
      <c r="AD3022"/>
    </row>
    <row r="3023" spans="30:30" x14ac:dyDescent="0.25">
      <c r="AD3023"/>
    </row>
    <row r="3024" spans="30:30" x14ac:dyDescent="0.25">
      <c r="AD3024"/>
    </row>
    <row r="3025" spans="30:30" x14ac:dyDescent="0.25">
      <c r="AD3025"/>
    </row>
    <row r="3026" spans="30:30" x14ac:dyDescent="0.25">
      <c r="AD3026"/>
    </row>
    <row r="3027" spans="30:30" x14ac:dyDescent="0.25">
      <c r="AD3027"/>
    </row>
    <row r="3028" spans="30:30" x14ac:dyDescent="0.25">
      <c r="AD3028"/>
    </row>
    <row r="3029" spans="30:30" x14ac:dyDescent="0.25">
      <c r="AD3029"/>
    </row>
    <row r="3030" spans="30:30" x14ac:dyDescent="0.25">
      <c r="AD3030"/>
    </row>
    <row r="3031" spans="30:30" x14ac:dyDescent="0.25">
      <c r="AD3031"/>
    </row>
    <row r="3032" spans="30:30" x14ac:dyDescent="0.25">
      <c r="AD3032"/>
    </row>
    <row r="3033" spans="30:30" x14ac:dyDescent="0.25">
      <c r="AD3033"/>
    </row>
    <row r="3034" spans="30:30" x14ac:dyDescent="0.25">
      <c r="AD3034"/>
    </row>
    <row r="3035" spans="30:30" x14ac:dyDescent="0.25">
      <c r="AD3035"/>
    </row>
    <row r="3036" spans="30:30" x14ac:dyDescent="0.25">
      <c r="AD3036"/>
    </row>
    <row r="3037" spans="30:30" x14ac:dyDescent="0.25">
      <c r="AD3037"/>
    </row>
    <row r="3038" spans="30:30" x14ac:dyDescent="0.25">
      <c r="AD3038"/>
    </row>
    <row r="3039" spans="30:30" x14ac:dyDescent="0.25">
      <c r="AD3039"/>
    </row>
    <row r="3040" spans="30:30" x14ac:dyDescent="0.25">
      <c r="AD3040"/>
    </row>
    <row r="3041" spans="30:30" x14ac:dyDescent="0.25">
      <c r="AD3041"/>
    </row>
    <row r="3042" spans="30:30" x14ac:dyDescent="0.25">
      <c r="AD3042"/>
    </row>
    <row r="3043" spans="30:30" x14ac:dyDescent="0.25">
      <c r="AD3043"/>
    </row>
    <row r="3044" spans="30:30" x14ac:dyDescent="0.25">
      <c r="AD3044"/>
    </row>
    <row r="3045" spans="30:30" x14ac:dyDescent="0.25">
      <c r="AD3045"/>
    </row>
    <row r="3046" spans="30:30" x14ac:dyDescent="0.25">
      <c r="AD3046"/>
    </row>
    <row r="3047" spans="30:30" x14ac:dyDescent="0.25">
      <c r="AD3047"/>
    </row>
    <row r="3048" spans="30:30" x14ac:dyDescent="0.25">
      <c r="AD3048"/>
    </row>
    <row r="3049" spans="30:30" x14ac:dyDescent="0.25">
      <c r="AD3049"/>
    </row>
    <row r="3050" spans="30:30" x14ac:dyDescent="0.25">
      <c r="AD3050"/>
    </row>
    <row r="3051" spans="30:30" x14ac:dyDescent="0.25">
      <c r="AD3051"/>
    </row>
    <row r="3052" spans="30:30" x14ac:dyDescent="0.25">
      <c r="AD3052"/>
    </row>
    <row r="3053" spans="30:30" x14ac:dyDescent="0.25">
      <c r="AD3053"/>
    </row>
    <row r="3054" spans="30:30" x14ac:dyDescent="0.25">
      <c r="AD3054"/>
    </row>
    <row r="3055" spans="30:30" x14ac:dyDescent="0.25">
      <c r="AD3055"/>
    </row>
    <row r="3056" spans="30:30" x14ac:dyDescent="0.25">
      <c r="AD3056"/>
    </row>
    <row r="3057" spans="30:30" x14ac:dyDescent="0.25">
      <c r="AD3057"/>
    </row>
    <row r="3058" spans="30:30" x14ac:dyDescent="0.25">
      <c r="AD3058"/>
    </row>
    <row r="3059" spans="30:30" x14ac:dyDescent="0.25">
      <c r="AD3059"/>
    </row>
    <row r="3060" spans="30:30" x14ac:dyDescent="0.25">
      <c r="AD3060"/>
    </row>
    <row r="3061" spans="30:30" x14ac:dyDescent="0.25">
      <c r="AD3061"/>
    </row>
    <row r="3062" spans="30:30" x14ac:dyDescent="0.25">
      <c r="AD3062"/>
    </row>
    <row r="3063" spans="30:30" x14ac:dyDescent="0.25">
      <c r="AD3063"/>
    </row>
    <row r="3064" spans="30:30" x14ac:dyDescent="0.25">
      <c r="AD3064"/>
    </row>
    <row r="3065" spans="30:30" x14ac:dyDescent="0.25">
      <c r="AD3065"/>
    </row>
    <row r="3066" spans="30:30" x14ac:dyDescent="0.25">
      <c r="AD3066"/>
    </row>
    <row r="3067" spans="30:30" x14ac:dyDescent="0.25">
      <c r="AD3067"/>
    </row>
    <row r="3068" spans="30:30" x14ac:dyDescent="0.25">
      <c r="AD3068"/>
    </row>
    <row r="3069" spans="30:30" x14ac:dyDescent="0.25">
      <c r="AD3069"/>
    </row>
    <row r="3070" spans="30:30" x14ac:dyDescent="0.25">
      <c r="AD3070"/>
    </row>
    <row r="3071" spans="30:30" x14ac:dyDescent="0.25">
      <c r="AD3071"/>
    </row>
    <row r="3072" spans="30:30" x14ac:dyDescent="0.25">
      <c r="AD3072"/>
    </row>
    <row r="3073" spans="30:30" x14ac:dyDescent="0.25">
      <c r="AD3073"/>
    </row>
    <row r="3074" spans="30:30" x14ac:dyDescent="0.25">
      <c r="AD3074"/>
    </row>
    <row r="3075" spans="30:30" x14ac:dyDescent="0.25">
      <c r="AD3075"/>
    </row>
    <row r="3076" spans="30:30" x14ac:dyDescent="0.25">
      <c r="AD3076"/>
    </row>
    <row r="3077" spans="30:30" x14ac:dyDescent="0.25">
      <c r="AD3077"/>
    </row>
    <row r="3078" spans="30:30" x14ac:dyDescent="0.25">
      <c r="AD3078"/>
    </row>
    <row r="3079" spans="30:30" x14ac:dyDescent="0.25">
      <c r="AD3079"/>
    </row>
    <row r="3080" spans="30:30" x14ac:dyDescent="0.25">
      <c r="AD3080"/>
    </row>
    <row r="3081" spans="30:30" x14ac:dyDescent="0.25">
      <c r="AD3081"/>
    </row>
    <row r="3082" spans="30:30" x14ac:dyDescent="0.25">
      <c r="AD3082"/>
    </row>
    <row r="3083" spans="30:30" x14ac:dyDescent="0.25">
      <c r="AD3083"/>
    </row>
    <row r="3084" spans="30:30" x14ac:dyDescent="0.25">
      <c r="AD3084"/>
    </row>
    <row r="3085" spans="30:30" x14ac:dyDescent="0.25">
      <c r="AD3085"/>
    </row>
    <row r="3086" spans="30:30" x14ac:dyDescent="0.25">
      <c r="AD3086"/>
    </row>
    <row r="3087" spans="30:30" x14ac:dyDescent="0.25">
      <c r="AD3087"/>
    </row>
    <row r="3088" spans="30:30" x14ac:dyDescent="0.25">
      <c r="AD3088"/>
    </row>
    <row r="3089" spans="30:30" x14ac:dyDescent="0.25">
      <c r="AD3089"/>
    </row>
    <row r="3090" spans="30:30" x14ac:dyDescent="0.25">
      <c r="AD3090"/>
    </row>
    <row r="3091" spans="30:30" x14ac:dyDescent="0.25">
      <c r="AD3091"/>
    </row>
    <row r="3092" spans="30:30" x14ac:dyDescent="0.25">
      <c r="AD3092"/>
    </row>
    <row r="3093" spans="30:30" x14ac:dyDescent="0.25">
      <c r="AD3093"/>
    </row>
    <row r="3094" spans="30:30" x14ac:dyDescent="0.25">
      <c r="AD3094"/>
    </row>
    <row r="3095" spans="30:30" x14ac:dyDescent="0.25">
      <c r="AD3095"/>
    </row>
    <row r="3096" spans="30:30" x14ac:dyDescent="0.25">
      <c r="AD3096"/>
    </row>
    <row r="3097" spans="30:30" x14ac:dyDescent="0.25">
      <c r="AD3097"/>
    </row>
    <row r="3098" spans="30:30" x14ac:dyDescent="0.25">
      <c r="AD3098"/>
    </row>
    <row r="3099" spans="30:30" x14ac:dyDescent="0.25">
      <c r="AD3099"/>
    </row>
    <row r="3100" spans="30:30" x14ac:dyDescent="0.25">
      <c r="AD3100"/>
    </row>
    <row r="3101" spans="30:30" x14ac:dyDescent="0.25">
      <c r="AD3101"/>
    </row>
    <row r="3102" spans="30:30" x14ac:dyDescent="0.25">
      <c r="AD3102"/>
    </row>
    <row r="3103" spans="30:30" x14ac:dyDescent="0.25">
      <c r="AD3103"/>
    </row>
    <row r="3104" spans="30:30" x14ac:dyDescent="0.25">
      <c r="AD3104"/>
    </row>
    <row r="3105" spans="30:30" x14ac:dyDescent="0.25">
      <c r="AD3105"/>
    </row>
    <row r="3106" spans="30:30" x14ac:dyDescent="0.25">
      <c r="AD3106"/>
    </row>
    <row r="3107" spans="30:30" x14ac:dyDescent="0.25">
      <c r="AD3107"/>
    </row>
    <row r="3108" spans="30:30" x14ac:dyDescent="0.25">
      <c r="AD3108"/>
    </row>
    <row r="3109" spans="30:30" x14ac:dyDescent="0.25">
      <c r="AD3109"/>
    </row>
    <row r="3110" spans="30:30" x14ac:dyDescent="0.25">
      <c r="AD3110"/>
    </row>
    <row r="3111" spans="30:30" x14ac:dyDescent="0.25">
      <c r="AD3111"/>
    </row>
    <row r="3112" spans="30:30" x14ac:dyDescent="0.25">
      <c r="AD3112"/>
    </row>
    <row r="3113" spans="30:30" x14ac:dyDescent="0.25">
      <c r="AD3113"/>
    </row>
    <row r="3114" spans="30:30" x14ac:dyDescent="0.25">
      <c r="AD3114"/>
    </row>
    <row r="3115" spans="30:30" x14ac:dyDescent="0.25">
      <c r="AD3115"/>
    </row>
    <row r="3116" spans="30:30" x14ac:dyDescent="0.25">
      <c r="AD3116"/>
    </row>
    <row r="3117" spans="30:30" x14ac:dyDescent="0.25">
      <c r="AD3117"/>
    </row>
    <row r="3118" spans="30:30" x14ac:dyDescent="0.25">
      <c r="AD3118"/>
    </row>
    <row r="3119" spans="30:30" x14ac:dyDescent="0.25">
      <c r="AD3119"/>
    </row>
    <row r="3120" spans="30:30" x14ac:dyDescent="0.25">
      <c r="AD3120"/>
    </row>
    <row r="3121" spans="30:30" x14ac:dyDescent="0.25">
      <c r="AD3121"/>
    </row>
    <row r="3122" spans="30:30" x14ac:dyDescent="0.25">
      <c r="AD3122"/>
    </row>
    <row r="3123" spans="30:30" x14ac:dyDescent="0.25">
      <c r="AD3123"/>
    </row>
    <row r="3124" spans="30:30" x14ac:dyDescent="0.25">
      <c r="AD3124"/>
    </row>
    <row r="3125" spans="30:30" x14ac:dyDescent="0.25">
      <c r="AD3125"/>
    </row>
    <row r="3126" spans="30:30" x14ac:dyDescent="0.25">
      <c r="AD3126"/>
    </row>
    <row r="3127" spans="30:30" x14ac:dyDescent="0.25">
      <c r="AD3127"/>
    </row>
    <row r="3128" spans="30:30" x14ac:dyDescent="0.25">
      <c r="AD3128"/>
    </row>
    <row r="3129" spans="30:30" x14ac:dyDescent="0.25">
      <c r="AD3129"/>
    </row>
    <row r="3130" spans="30:30" x14ac:dyDescent="0.25">
      <c r="AD3130"/>
    </row>
    <row r="3131" spans="30:30" x14ac:dyDescent="0.25">
      <c r="AD3131"/>
    </row>
    <row r="3132" spans="30:30" x14ac:dyDescent="0.25">
      <c r="AD3132"/>
    </row>
    <row r="3133" spans="30:30" x14ac:dyDescent="0.25">
      <c r="AD3133"/>
    </row>
    <row r="3134" spans="30:30" x14ac:dyDescent="0.25">
      <c r="AD3134"/>
    </row>
    <row r="3135" spans="30:30" x14ac:dyDescent="0.25">
      <c r="AD3135"/>
    </row>
    <row r="3136" spans="30:30" x14ac:dyDescent="0.25">
      <c r="AD3136"/>
    </row>
    <row r="3137" spans="30:30" x14ac:dyDescent="0.25">
      <c r="AD3137"/>
    </row>
    <row r="3138" spans="30:30" x14ac:dyDescent="0.25">
      <c r="AD3138"/>
    </row>
    <row r="3139" spans="30:30" x14ac:dyDescent="0.25">
      <c r="AD3139"/>
    </row>
    <row r="3140" spans="30:30" x14ac:dyDescent="0.25">
      <c r="AD3140"/>
    </row>
    <row r="3141" spans="30:30" x14ac:dyDescent="0.25">
      <c r="AD3141"/>
    </row>
    <row r="3142" spans="30:30" x14ac:dyDescent="0.25">
      <c r="AD3142"/>
    </row>
    <row r="3143" spans="30:30" x14ac:dyDescent="0.25">
      <c r="AD3143"/>
    </row>
    <row r="3144" spans="30:30" x14ac:dyDescent="0.25">
      <c r="AD3144"/>
    </row>
    <row r="3145" spans="30:30" x14ac:dyDescent="0.25">
      <c r="AD3145"/>
    </row>
    <row r="3146" spans="30:30" x14ac:dyDescent="0.25">
      <c r="AD3146"/>
    </row>
    <row r="3147" spans="30:30" x14ac:dyDescent="0.25">
      <c r="AD3147"/>
    </row>
    <row r="3148" spans="30:30" x14ac:dyDescent="0.25">
      <c r="AD3148"/>
    </row>
    <row r="3149" spans="30:30" x14ac:dyDescent="0.25">
      <c r="AD3149"/>
    </row>
    <row r="3150" spans="30:30" x14ac:dyDescent="0.25">
      <c r="AD3150"/>
    </row>
    <row r="3151" spans="30:30" x14ac:dyDescent="0.25">
      <c r="AD3151"/>
    </row>
    <row r="3152" spans="30:30" x14ac:dyDescent="0.25">
      <c r="AD3152"/>
    </row>
    <row r="3153" spans="30:30" x14ac:dyDescent="0.25">
      <c r="AD3153"/>
    </row>
    <row r="3154" spans="30:30" x14ac:dyDescent="0.25">
      <c r="AD3154"/>
    </row>
    <row r="3155" spans="30:30" x14ac:dyDescent="0.25">
      <c r="AD3155"/>
    </row>
    <row r="3156" spans="30:30" x14ac:dyDescent="0.25">
      <c r="AD3156"/>
    </row>
    <row r="3157" spans="30:30" x14ac:dyDescent="0.25">
      <c r="AD3157"/>
    </row>
    <row r="3158" spans="30:30" x14ac:dyDescent="0.25">
      <c r="AD3158"/>
    </row>
    <row r="3159" spans="30:30" x14ac:dyDescent="0.25">
      <c r="AD3159"/>
    </row>
    <row r="3160" spans="30:30" x14ac:dyDescent="0.25">
      <c r="AD3160"/>
    </row>
    <row r="3161" spans="30:30" x14ac:dyDescent="0.25">
      <c r="AD3161"/>
    </row>
    <row r="3162" spans="30:30" x14ac:dyDescent="0.25">
      <c r="AD3162"/>
    </row>
    <row r="3163" spans="30:30" x14ac:dyDescent="0.25">
      <c r="AD3163"/>
    </row>
    <row r="3164" spans="30:30" x14ac:dyDescent="0.25">
      <c r="AD3164"/>
    </row>
    <row r="3165" spans="30:30" x14ac:dyDescent="0.25">
      <c r="AD3165"/>
    </row>
    <row r="3166" spans="30:30" x14ac:dyDescent="0.25">
      <c r="AD3166"/>
    </row>
    <row r="3167" spans="30:30" x14ac:dyDescent="0.25">
      <c r="AD3167"/>
    </row>
    <row r="3168" spans="30:30" x14ac:dyDescent="0.25">
      <c r="AD3168"/>
    </row>
    <row r="3169" spans="30:30" x14ac:dyDescent="0.25">
      <c r="AD3169"/>
    </row>
    <row r="3170" spans="30:30" x14ac:dyDescent="0.25">
      <c r="AD3170"/>
    </row>
    <row r="3171" spans="30:30" x14ac:dyDescent="0.25">
      <c r="AD3171"/>
    </row>
    <row r="3172" spans="30:30" x14ac:dyDescent="0.25">
      <c r="AD3172"/>
    </row>
    <row r="3173" spans="30:30" x14ac:dyDescent="0.25">
      <c r="AD3173"/>
    </row>
    <row r="3174" spans="30:30" x14ac:dyDescent="0.25">
      <c r="AD3174"/>
    </row>
    <row r="3175" spans="30:30" x14ac:dyDescent="0.25">
      <c r="AD3175"/>
    </row>
    <row r="3176" spans="30:30" x14ac:dyDescent="0.25">
      <c r="AD3176"/>
    </row>
    <row r="3177" spans="30:30" x14ac:dyDescent="0.25">
      <c r="AD3177"/>
    </row>
    <row r="3178" spans="30:30" x14ac:dyDescent="0.25">
      <c r="AD3178"/>
    </row>
    <row r="3179" spans="30:30" x14ac:dyDescent="0.25">
      <c r="AD3179"/>
    </row>
    <row r="3180" spans="30:30" x14ac:dyDescent="0.25">
      <c r="AD3180"/>
    </row>
    <row r="3181" spans="30:30" x14ac:dyDescent="0.25">
      <c r="AD3181"/>
    </row>
    <row r="3182" spans="30:30" x14ac:dyDescent="0.25">
      <c r="AD3182"/>
    </row>
    <row r="3183" spans="30:30" x14ac:dyDescent="0.25">
      <c r="AD3183"/>
    </row>
    <row r="3184" spans="30:30" x14ac:dyDescent="0.25">
      <c r="AD3184"/>
    </row>
    <row r="3185" spans="30:30" x14ac:dyDescent="0.25">
      <c r="AD3185"/>
    </row>
    <row r="3186" spans="30:30" x14ac:dyDescent="0.25">
      <c r="AD3186"/>
    </row>
    <row r="3187" spans="30:30" x14ac:dyDescent="0.25">
      <c r="AD3187"/>
    </row>
    <row r="3188" spans="30:30" x14ac:dyDescent="0.25">
      <c r="AD3188"/>
    </row>
    <row r="3189" spans="30:30" x14ac:dyDescent="0.25">
      <c r="AD3189"/>
    </row>
    <row r="3190" spans="30:30" x14ac:dyDescent="0.25">
      <c r="AD3190"/>
    </row>
    <row r="3191" spans="30:30" x14ac:dyDescent="0.25">
      <c r="AD3191"/>
    </row>
    <row r="3192" spans="30:30" x14ac:dyDescent="0.25">
      <c r="AD3192"/>
    </row>
    <row r="3193" spans="30:30" x14ac:dyDescent="0.25">
      <c r="AD3193"/>
    </row>
    <row r="3194" spans="30:30" x14ac:dyDescent="0.25">
      <c r="AD3194"/>
    </row>
    <row r="3195" spans="30:30" x14ac:dyDescent="0.25">
      <c r="AD3195"/>
    </row>
    <row r="3196" spans="30:30" x14ac:dyDescent="0.25">
      <c r="AD3196"/>
    </row>
    <row r="3197" spans="30:30" x14ac:dyDescent="0.25">
      <c r="AD3197"/>
    </row>
    <row r="3198" spans="30:30" x14ac:dyDescent="0.25">
      <c r="AD3198"/>
    </row>
    <row r="3199" spans="30:30" x14ac:dyDescent="0.25">
      <c r="AD3199"/>
    </row>
    <row r="3200" spans="30:30" x14ac:dyDescent="0.25">
      <c r="AD3200"/>
    </row>
    <row r="3201" spans="30:30" x14ac:dyDescent="0.25">
      <c r="AD3201"/>
    </row>
    <row r="3202" spans="30:30" x14ac:dyDescent="0.25">
      <c r="AD3202"/>
    </row>
    <row r="3203" spans="30:30" x14ac:dyDescent="0.25">
      <c r="AD3203"/>
    </row>
    <row r="3204" spans="30:30" x14ac:dyDescent="0.25">
      <c r="AD3204"/>
    </row>
    <row r="3205" spans="30:30" x14ac:dyDescent="0.25">
      <c r="AD3205"/>
    </row>
    <row r="3206" spans="30:30" x14ac:dyDescent="0.25">
      <c r="AD3206"/>
    </row>
    <row r="3207" spans="30:30" x14ac:dyDescent="0.25">
      <c r="AD3207"/>
    </row>
    <row r="3208" spans="30:30" x14ac:dyDescent="0.25">
      <c r="AD3208"/>
    </row>
    <row r="3209" spans="30:30" x14ac:dyDescent="0.25">
      <c r="AD3209"/>
    </row>
    <row r="3210" spans="30:30" x14ac:dyDescent="0.25">
      <c r="AD3210"/>
    </row>
    <row r="3211" spans="30:30" x14ac:dyDescent="0.25">
      <c r="AD3211"/>
    </row>
    <row r="3212" spans="30:30" x14ac:dyDescent="0.25">
      <c r="AD3212"/>
    </row>
    <row r="3213" spans="30:30" x14ac:dyDescent="0.25">
      <c r="AD3213"/>
    </row>
    <row r="3214" spans="30:30" x14ac:dyDescent="0.25">
      <c r="AD3214"/>
    </row>
    <row r="3215" spans="30:30" x14ac:dyDescent="0.25">
      <c r="AD3215"/>
    </row>
    <row r="3216" spans="30:30" x14ac:dyDescent="0.25">
      <c r="AD3216"/>
    </row>
    <row r="3217" spans="30:30" x14ac:dyDescent="0.25">
      <c r="AD3217"/>
    </row>
    <row r="3218" spans="30:30" x14ac:dyDescent="0.25">
      <c r="AD3218"/>
    </row>
    <row r="3219" spans="30:30" x14ac:dyDescent="0.25">
      <c r="AD3219"/>
    </row>
    <row r="3220" spans="30:30" x14ac:dyDescent="0.25">
      <c r="AD3220"/>
    </row>
    <row r="3221" spans="30:30" x14ac:dyDescent="0.25">
      <c r="AD3221"/>
    </row>
    <row r="3222" spans="30:30" x14ac:dyDescent="0.25">
      <c r="AD3222"/>
    </row>
    <row r="3223" spans="30:30" x14ac:dyDescent="0.25">
      <c r="AD3223"/>
    </row>
    <row r="3224" spans="30:30" x14ac:dyDescent="0.25">
      <c r="AD3224"/>
    </row>
    <row r="3225" spans="30:30" x14ac:dyDescent="0.25">
      <c r="AD3225"/>
    </row>
    <row r="3226" spans="30:30" x14ac:dyDescent="0.25">
      <c r="AD3226"/>
    </row>
    <row r="3227" spans="30:30" x14ac:dyDescent="0.25">
      <c r="AD3227"/>
    </row>
    <row r="3228" spans="30:30" x14ac:dyDescent="0.25">
      <c r="AD3228"/>
    </row>
    <row r="3229" spans="30:30" x14ac:dyDescent="0.25">
      <c r="AD3229"/>
    </row>
    <row r="3230" spans="30:30" x14ac:dyDescent="0.25">
      <c r="AD3230"/>
    </row>
    <row r="3231" spans="30:30" x14ac:dyDescent="0.25">
      <c r="AD3231"/>
    </row>
    <row r="3232" spans="30:30" x14ac:dyDescent="0.25">
      <c r="AD3232"/>
    </row>
    <row r="3233" spans="30:30" x14ac:dyDescent="0.25">
      <c r="AD3233"/>
    </row>
    <row r="3234" spans="30:30" x14ac:dyDescent="0.25">
      <c r="AD3234"/>
    </row>
    <row r="3235" spans="30:30" x14ac:dyDescent="0.25">
      <c r="AD3235"/>
    </row>
    <row r="3236" spans="30:30" x14ac:dyDescent="0.25">
      <c r="AD3236"/>
    </row>
    <row r="3237" spans="30:30" x14ac:dyDescent="0.25">
      <c r="AD3237"/>
    </row>
    <row r="3238" spans="30:30" x14ac:dyDescent="0.25">
      <c r="AD3238"/>
    </row>
    <row r="3239" spans="30:30" x14ac:dyDescent="0.25">
      <c r="AD3239"/>
    </row>
    <row r="3240" spans="30:30" x14ac:dyDescent="0.25">
      <c r="AD3240"/>
    </row>
    <row r="3241" spans="30:30" x14ac:dyDescent="0.25">
      <c r="AD3241"/>
    </row>
    <row r="3242" spans="30:30" x14ac:dyDescent="0.25">
      <c r="AD3242"/>
    </row>
    <row r="3243" spans="30:30" x14ac:dyDescent="0.25">
      <c r="AD3243"/>
    </row>
    <row r="3244" spans="30:30" x14ac:dyDescent="0.25">
      <c r="AD3244"/>
    </row>
    <row r="3245" spans="30:30" x14ac:dyDescent="0.25">
      <c r="AD3245"/>
    </row>
    <row r="3246" spans="30:30" x14ac:dyDescent="0.25">
      <c r="AD3246"/>
    </row>
    <row r="3247" spans="30:30" x14ac:dyDescent="0.25">
      <c r="AD3247"/>
    </row>
    <row r="3248" spans="30:30" x14ac:dyDescent="0.25">
      <c r="AD3248"/>
    </row>
    <row r="3249" spans="30:30" x14ac:dyDescent="0.25">
      <c r="AD3249"/>
    </row>
    <row r="3250" spans="30:30" x14ac:dyDescent="0.25">
      <c r="AD3250"/>
    </row>
    <row r="3251" spans="30:30" x14ac:dyDescent="0.25">
      <c r="AD3251"/>
    </row>
    <row r="3252" spans="30:30" x14ac:dyDescent="0.25">
      <c r="AD3252"/>
    </row>
    <row r="3253" spans="30:30" x14ac:dyDescent="0.25">
      <c r="AD3253"/>
    </row>
    <row r="3254" spans="30:30" x14ac:dyDescent="0.25">
      <c r="AD3254"/>
    </row>
    <row r="3255" spans="30:30" x14ac:dyDescent="0.25">
      <c r="AD3255"/>
    </row>
    <row r="3256" spans="30:30" x14ac:dyDescent="0.25">
      <c r="AD3256"/>
    </row>
    <row r="3257" spans="30:30" x14ac:dyDescent="0.25">
      <c r="AD3257"/>
    </row>
    <row r="3258" spans="30:30" x14ac:dyDescent="0.25">
      <c r="AD3258"/>
    </row>
    <row r="3259" spans="30:30" x14ac:dyDescent="0.25">
      <c r="AD3259"/>
    </row>
    <row r="3260" spans="30:30" x14ac:dyDescent="0.25">
      <c r="AD3260"/>
    </row>
    <row r="3261" spans="30:30" x14ac:dyDescent="0.25">
      <c r="AD3261"/>
    </row>
    <row r="3262" spans="30:30" x14ac:dyDescent="0.25">
      <c r="AD3262"/>
    </row>
    <row r="3263" spans="30:30" x14ac:dyDescent="0.25">
      <c r="AD3263"/>
    </row>
    <row r="3264" spans="30:30" x14ac:dyDescent="0.25">
      <c r="AD3264"/>
    </row>
    <row r="3265" spans="30:30" x14ac:dyDescent="0.25">
      <c r="AD3265"/>
    </row>
    <row r="3266" spans="30:30" x14ac:dyDescent="0.25">
      <c r="AD3266"/>
    </row>
    <row r="3267" spans="30:30" x14ac:dyDescent="0.25">
      <c r="AD3267"/>
    </row>
    <row r="3268" spans="30:30" x14ac:dyDescent="0.25">
      <c r="AD3268"/>
    </row>
    <row r="3269" spans="30:30" x14ac:dyDescent="0.25">
      <c r="AD3269"/>
    </row>
    <row r="3270" spans="30:30" x14ac:dyDescent="0.25">
      <c r="AD3270"/>
    </row>
    <row r="3271" spans="30:30" x14ac:dyDescent="0.25">
      <c r="AD3271"/>
    </row>
    <row r="3272" spans="30:30" x14ac:dyDescent="0.25">
      <c r="AD3272"/>
    </row>
    <row r="3273" spans="30:30" x14ac:dyDescent="0.25">
      <c r="AD3273"/>
    </row>
    <row r="3274" spans="30:30" x14ac:dyDescent="0.25">
      <c r="AD3274"/>
    </row>
    <row r="3275" spans="30:30" x14ac:dyDescent="0.25">
      <c r="AD3275"/>
    </row>
    <row r="3276" spans="30:30" x14ac:dyDescent="0.25">
      <c r="AD3276"/>
    </row>
    <row r="3277" spans="30:30" x14ac:dyDescent="0.25">
      <c r="AD3277"/>
    </row>
    <row r="3278" spans="30:30" x14ac:dyDescent="0.25">
      <c r="AD3278"/>
    </row>
    <row r="3279" spans="30:30" x14ac:dyDescent="0.25">
      <c r="AD3279"/>
    </row>
    <row r="3280" spans="30:30" x14ac:dyDescent="0.25">
      <c r="AD3280"/>
    </row>
    <row r="3281" spans="30:30" x14ac:dyDescent="0.25">
      <c r="AD3281"/>
    </row>
    <row r="3282" spans="30:30" x14ac:dyDescent="0.25">
      <c r="AD3282"/>
    </row>
    <row r="3283" spans="30:30" x14ac:dyDescent="0.25">
      <c r="AD3283"/>
    </row>
    <row r="3284" spans="30:30" x14ac:dyDescent="0.25">
      <c r="AD3284"/>
    </row>
    <row r="3285" spans="30:30" x14ac:dyDescent="0.25">
      <c r="AD3285"/>
    </row>
    <row r="3286" spans="30:30" x14ac:dyDescent="0.25">
      <c r="AD3286"/>
    </row>
    <row r="3287" spans="30:30" x14ac:dyDescent="0.25">
      <c r="AD3287"/>
    </row>
    <row r="3288" spans="30:30" x14ac:dyDescent="0.25">
      <c r="AD3288"/>
    </row>
    <row r="3289" spans="30:30" x14ac:dyDescent="0.25">
      <c r="AD3289"/>
    </row>
    <row r="3290" spans="30:30" x14ac:dyDescent="0.25">
      <c r="AD3290"/>
    </row>
    <row r="3291" spans="30:30" x14ac:dyDescent="0.25">
      <c r="AD3291"/>
    </row>
    <row r="3292" spans="30:30" x14ac:dyDescent="0.25">
      <c r="AD3292"/>
    </row>
    <row r="3293" spans="30:30" x14ac:dyDescent="0.25">
      <c r="AD3293"/>
    </row>
    <row r="3294" spans="30:30" x14ac:dyDescent="0.25">
      <c r="AD3294"/>
    </row>
    <row r="3295" spans="30:30" x14ac:dyDescent="0.25">
      <c r="AD3295"/>
    </row>
    <row r="3296" spans="30:30" x14ac:dyDescent="0.25">
      <c r="AD3296"/>
    </row>
    <row r="3297" spans="30:30" x14ac:dyDescent="0.25">
      <c r="AD3297"/>
    </row>
    <row r="3298" spans="30:30" x14ac:dyDescent="0.25">
      <c r="AD3298"/>
    </row>
    <row r="3299" spans="30:30" x14ac:dyDescent="0.25">
      <c r="AD3299"/>
    </row>
    <row r="3300" spans="30:30" x14ac:dyDescent="0.25">
      <c r="AD3300"/>
    </row>
    <row r="3301" spans="30:30" x14ac:dyDescent="0.25">
      <c r="AD3301"/>
    </row>
    <row r="3302" spans="30:30" x14ac:dyDescent="0.25">
      <c r="AD3302"/>
    </row>
    <row r="3303" spans="30:30" x14ac:dyDescent="0.25">
      <c r="AD3303"/>
    </row>
    <row r="3304" spans="30:30" x14ac:dyDescent="0.25">
      <c r="AD3304"/>
    </row>
    <row r="3305" spans="30:30" x14ac:dyDescent="0.25">
      <c r="AD3305"/>
    </row>
    <row r="3306" spans="30:30" x14ac:dyDescent="0.25">
      <c r="AD3306"/>
    </row>
    <row r="3307" spans="30:30" x14ac:dyDescent="0.25">
      <c r="AD3307"/>
    </row>
    <row r="3308" spans="30:30" x14ac:dyDescent="0.25">
      <c r="AD3308"/>
    </row>
    <row r="3309" spans="30:30" x14ac:dyDescent="0.25">
      <c r="AD3309"/>
    </row>
    <row r="3310" spans="30:30" x14ac:dyDescent="0.25">
      <c r="AD3310"/>
    </row>
    <row r="3311" spans="30:30" x14ac:dyDescent="0.25">
      <c r="AD3311"/>
    </row>
    <row r="3312" spans="30:30" x14ac:dyDescent="0.25">
      <c r="AD3312"/>
    </row>
    <row r="3313" spans="30:30" x14ac:dyDescent="0.25">
      <c r="AD3313"/>
    </row>
    <row r="3314" spans="30:30" x14ac:dyDescent="0.25">
      <c r="AD3314"/>
    </row>
    <row r="3315" spans="30:30" x14ac:dyDescent="0.25">
      <c r="AD3315"/>
    </row>
    <row r="3316" spans="30:30" x14ac:dyDescent="0.25">
      <c r="AD3316"/>
    </row>
    <row r="3317" spans="30:30" x14ac:dyDescent="0.25">
      <c r="AD3317"/>
    </row>
    <row r="3318" spans="30:30" x14ac:dyDescent="0.25">
      <c r="AD3318"/>
    </row>
    <row r="3319" spans="30:30" x14ac:dyDescent="0.25">
      <c r="AD3319"/>
    </row>
    <row r="3320" spans="30:30" x14ac:dyDescent="0.25">
      <c r="AD3320"/>
    </row>
    <row r="3321" spans="30:30" x14ac:dyDescent="0.25">
      <c r="AD3321"/>
    </row>
    <row r="3322" spans="30:30" x14ac:dyDescent="0.25">
      <c r="AD3322"/>
    </row>
    <row r="3323" spans="30:30" x14ac:dyDescent="0.25">
      <c r="AD3323"/>
    </row>
    <row r="3324" spans="30:30" x14ac:dyDescent="0.25">
      <c r="AD3324"/>
    </row>
    <row r="3325" spans="30:30" x14ac:dyDescent="0.25">
      <c r="AD3325"/>
    </row>
    <row r="3326" spans="30:30" x14ac:dyDescent="0.25">
      <c r="AD3326"/>
    </row>
    <row r="3327" spans="30:30" x14ac:dyDescent="0.25">
      <c r="AD3327"/>
    </row>
    <row r="3328" spans="30:30" x14ac:dyDescent="0.25">
      <c r="AD3328"/>
    </row>
    <row r="3329" spans="30:30" x14ac:dyDescent="0.25">
      <c r="AD3329"/>
    </row>
    <row r="3330" spans="30:30" x14ac:dyDescent="0.25">
      <c r="AD3330"/>
    </row>
    <row r="3331" spans="30:30" x14ac:dyDescent="0.25">
      <c r="AD3331"/>
    </row>
    <row r="3332" spans="30:30" x14ac:dyDescent="0.25">
      <c r="AD3332"/>
    </row>
    <row r="3333" spans="30:30" x14ac:dyDescent="0.25">
      <c r="AD3333"/>
    </row>
    <row r="3334" spans="30:30" x14ac:dyDescent="0.25">
      <c r="AD3334"/>
    </row>
    <row r="3335" spans="30:30" x14ac:dyDescent="0.25">
      <c r="AD3335"/>
    </row>
    <row r="3336" spans="30:30" x14ac:dyDescent="0.25">
      <c r="AD3336"/>
    </row>
    <row r="3337" spans="30:30" x14ac:dyDescent="0.25">
      <c r="AD3337"/>
    </row>
    <row r="3338" spans="30:30" x14ac:dyDescent="0.25">
      <c r="AD3338"/>
    </row>
    <row r="3339" spans="30:30" x14ac:dyDescent="0.25">
      <c r="AD3339"/>
    </row>
    <row r="3340" spans="30:30" x14ac:dyDescent="0.25">
      <c r="AD3340"/>
    </row>
    <row r="3341" spans="30:30" x14ac:dyDescent="0.25">
      <c r="AD3341"/>
    </row>
    <row r="3342" spans="30:30" x14ac:dyDescent="0.25">
      <c r="AD3342"/>
    </row>
    <row r="3343" spans="30:30" x14ac:dyDescent="0.25">
      <c r="AD3343"/>
    </row>
    <row r="3344" spans="30:30" x14ac:dyDescent="0.25">
      <c r="AD3344"/>
    </row>
    <row r="3345" spans="30:30" x14ac:dyDescent="0.25">
      <c r="AD3345"/>
    </row>
    <row r="3346" spans="30:30" x14ac:dyDescent="0.25">
      <c r="AD3346"/>
    </row>
    <row r="3347" spans="30:30" x14ac:dyDescent="0.25">
      <c r="AD3347"/>
    </row>
    <row r="3348" spans="30:30" x14ac:dyDescent="0.25">
      <c r="AD3348"/>
    </row>
    <row r="3349" spans="30:30" x14ac:dyDescent="0.25">
      <c r="AD3349"/>
    </row>
    <row r="3350" spans="30:30" x14ac:dyDescent="0.25">
      <c r="AD3350"/>
    </row>
    <row r="3351" spans="30:30" x14ac:dyDescent="0.25">
      <c r="AD3351"/>
    </row>
    <row r="3352" spans="30:30" x14ac:dyDescent="0.25">
      <c r="AD3352"/>
    </row>
    <row r="3353" spans="30:30" x14ac:dyDescent="0.25">
      <c r="AD3353"/>
    </row>
    <row r="3354" spans="30:30" x14ac:dyDescent="0.25">
      <c r="AD3354"/>
    </row>
    <row r="3355" spans="30:30" x14ac:dyDescent="0.25">
      <c r="AD3355"/>
    </row>
    <row r="3356" spans="30:30" x14ac:dyDescent="0.25">
      <c r="AD3356"/>
    </row>
    <row r="3357" spans="30:30" x14ac:dyDescent="0.25">
      <c r="AD3357"/>
    </row>
    <row r="3358" spans="30:30" x14ac:dyDescent="0.25">
      <c r="AD3358"/>
    </row>
    <row r="3359" spans="30:30" x14ac:dyDescent="0.25">
      <c r="AD3359"/>
    </row>
    <row r="3360" spans="30:30" x14ac:dyDescent="0.25">
      <c r="AD3360"/>
    </row>
    <row r="3361" spans="30:30" x14ac:dyDescent="0.25">
      <c r="AD3361"/>
    </row>
    <row r="3362" spans="30:30" x14ac:dyDescent="0.25">
      <c r="AD3362"/>
    </row>
    <row r="3363" spans="30:30" x14ac:dyDescent="0.25">
      <c r="AD3363"/>
    </row>
    <row r="3364" spans="30:30" x14ac:dyDescent="0.25">
      <c r="AD3364"/>
    </row>
    <row r="3365" spans="30:30" x14ac:dyDescent="0.25">
      <c r="AD3365"/>
    </row>
    <row r="3366" spans="30:30" x14ac:dyDescent="0.25">
      <c r="AD3366"/>
    </row>
    <row r="3367" spans="30:30" x14ac:dyDescent="0.25">
      <c r="AD3367"/>
    </row>
    <row r="3368" spans="30:30" x14ac:dyDescent="0.25">
      <c r="AD3368"/>
    </row>
    <row r="3369" spans="30:30" x14ac:dyDescent="0.25">
      <c r="AD3369"/>
    </row>
    <row r="3370" spans="30:30" x14ac:dyDescent="0.25">
      <c r="AD3370"/>
    </row>
    <row r="3371" spans="30:30" x14ac:dyDescent="0.25">
      <c r="AD3371"/>
    </row>
    <row r="3372" spans="30:30" x14ac:dyDescent="0.25">
      <c r="AD3372"/>
    </row>
    <row r="3373" spans="30:30" x14ac:dyDescent="0.25">
      <c r="AD3373"/>
    </row>
    <row r="3374" spans="30:30" x14ac:dyDescent="0.25">
      <c r="AD3374"/>
    </row>
    <row r="3375" spans="30:30" x14ac:dyDescent="0.25">
      <c r="AD3375"/>
    </row>
    <row r="3376" spans="30:30" x14ac:dyDescent="0.25">
      <c r="AD3376"/>
    </row>
    <row r="3377" spans="30:30" x14ac:dyDescent="0.25">
      <c r="AD3377"/>
    </row>
    <row r="3378" spans="30:30" x14ac:dyDescent="0.25">
      <c r="AD3378"/>
    </row>
    <row r="3379" spans="30:30" x14ac:dyDescent="0.25">
      <c r="AD3379"/>
    </row>
    <row r="3380" spans="30:30" x14ac:dyDescent="0.25">
      <c r="AD3380"/>
    </row>
    <row r="3381" spans="30:30" x14ac:dyDescent="0.25">
      <c r="AD3381"/>
    </row>
    <row r="3382" spans="30:30" x14ac:dyDescent="0.25">
      <c r="AD3382"/>
    </row>
    <row r="3383" spans="30:30" x14ac:dyDescent="0.25">
      <c r="AD3383"/>
    </row>
    <row r="3384" spans="30:30" x14ac:dyDescent="0.25">
      <c r="AD3384"/>
    </row>
    <row r="3385" spans="30:30" x14ac:dyDescent="0.25">
      <c r="AD3385"/>
    </row>
    <row r="3386" spans="30:30" x14ac:dyDescent="0.25">
      <c r="AD3386"/>
    </row>
    <row r="3387" spans="30:30" x14ac:dyDescent="0.25">
      <c r="AD3387"/>
    </row>
    <row r="3388" spans="30:30" x14ac:dyDescent="0.25">
      <c r="AD3388"/>
    </row>
    <row r="3389" spans="30:30" x14ac:dyDescent="0.25">
      <c r="AD3389"/>
    </row>
    <row r="3390" spans="30:30" x14ac:dyDescent="0.25">
      <c r="AD3390"/>
    </row>
    <row r="3391" spans="30:30" x14ac:dyDescent="0.25">
      <c r="AD3391"/>
    </row>
    <row r="3392" spans="30:30" x14ac:dyDescent="0.25">
      <c r="AD3392"/>
    </row>
    <row r="3393" spans="30:30" x14ac:dyDescent="0.25">
      <c r="AD3393"/>
    </row>
    <row r="3394" spans="30:30" x14ac:dyDescent="0.25">
      <c r="AD3394"/>
    </row>
    <row r="3395" spans="30:30" x14ac:dyDescent="0.25">
      <c r="AD3395"/>
    </row>
    <row r="3396" spans="30:30" x14ac:dyDescent="0.25">
      <c r="AD3396"/>
    </row>
    <row r="3397" spans="30:30" x14ac:dyDescent="0.25">
      <c r="AD3397"/>
    </row>
    <row r="3398" spans="30:30" x14ac:dyDescent="0.25">
      <c r="AD3398"/>
    </row>
    <row r="3399" spans="30:30" x14ac:dyDescent="0.25">
      <c r="AD3399"/>
    </row>
    <row r="3400" spans="30:30" x14ac:dyDescent="0.25">
      <c r="AD3400"/>
    </row>
    <row r="3401" spans="30:30" x14ac:dyDescent="0.25">
      <c r="AD3401"/>
    </row>
    <row r="3402" spans="30:30" x14ac:dyDescent="0.25">
      <c r="AD3402"/>
    </row>
    <row r="3403" spans="30:30" x14ac:dyDescent="0.25">
      <c r="AD3403"/>
    </row>
    <row r="3404" spans="30:30" x14ac:dyDescent="0.25">
      <c r="AD3404"/>
    </row>
    <row r="3405" spans="30:30" x14ac:dyDescent="0.25">
      <c r="AD3405"/>
    </row>
    <row r="3406" spans="30:30" x14ac:dyDescent="0.25">
      <c r="AD3406"/>
    </row>
    <row r="3407" spans="30:30" x14ac:dyDescent="0.25">
      <c r="AD3407"/>
    </row>
    <row r="3408" spans="30:30" x14ac:dyDescent="0.25">
      <c r="AD3408"/>
    </row>
    <row r="3409" spans="30:30" x14ac:dyDescent="0.25">
      <c r="AD3409"/>
    </row>
    <row r="3410" spans="30:30" x14ac:dyDescent="0.25">
      <c r="AD3410"/>
    </row>
    <row r="3411" spans="30:30" x14ac:dyDescent="0.25">
      <c r="AD3411"/>
    </row>
    <row r="3412" spans="30:30" x14ac:dyDescent="0.25">
      <c r="AD3412"/>
    </row>
    <row r="3413" spans="30:30" x14ac:dyDescent="0.25">
      <c r="AD3413"/>
    </row>
    <row r="3414" spans="30:30" x14ac:dyDescent="0.25">
      <c r="AD3414"/>
    </row>
    <row r="3415" spans="30:30" x14ac:dyDescent="0.25">
      <c r="AD3415"/>
    </row>
    <row r="3416" spans="30:30" x14ac:dyDescent="0.25">
      <c r="AD3416"/>
    </row>
    <row r="3417" spans="30:30" x14ac:dyDescent="0.25">
      <c r="AD3417"/>
    </row>
    <row r="3418" spans="30:30" x14ac:dyDescent="0.25">
      <c r="AD3418"/>
    </row>
    <row r="3419" spans="30:30" x14ac:dyDescent="0.25">
      <c r="AD3419"/>
    </row>
    <row r="3420" spans="30:30" x14ac:dyDescent="0.25">
      <c r="AD3420"/>
    </row>
    <row r="3421" spans="30:30" x14ac:dyDescent="0.25">
      <c r="AD3421"/>
    </row>
    <row r="3422" spans="30:30" x14ac:dyDescent="0.25">
      <c r="AD3422"/>
    </row>
    <row r="3423" spans="30:30" x14ac:dyDescent="0.25">
      <c r="AD3423"/>
    </row>
    <row r="3424" spans="30:30" x14ac:dyDescent="0.25">
      <c r="AD3424"/>
    </row>
    <row r="3425" spans="30:30" x14ac:dyDescent="0.25">
      <c r="AD3425"/>
    </row>
    <row r="3426" spans="30:30" x14ac:dyDescent="0.25">
      <c r="AD3426"/>
    </row>
    <row r="3427" spans="30:30" x14ac:dyDescent="0.25">
      <c r="AD3427"/>
    </row>
    <row r="3428" spans="30:30" x14ac:dyDescent="0.25">
      <c r="AD3428"/>
    </row>
    <row r="3429" spans="30:30" x14ac:dyDescent="0.25">
      <c r="AD3429"/>
    </row>
    <row r="3430" spans="30:30" x14ac:dyDescent="0.25">
      <c r="AD3430"/>
    </row>
    <row r="3431" spans="30:30" x14ac:dyDescent="0.25">
      <c r="AD3431"/>
    </row>
    <row r="3432" spans="30:30" x14ac:dyDescent="0.25">
      <c r="AD3432"/>
    </row>
    <row r="3433" spans="30:30" x14ac:dyDescent="0.25">
      <c r="AD3433"/>
    </row>
    <row r="3434" spans="30:30" x14ac:dyDescent="0.25">
      <c r="AD3434"/>
    </row>
    <row r="3435" spans="30:30" x14ac:dyDescent="0.25">
      <c r="AD3435"/>
    </row>
    <row r="3436" spans="30:30" x14ac:dyDescent="0.25">
      <c r="AD3436"/>
    </row>
    <row r="3437" spans="30:30" x14ac:dyDescent="0.25">
      <c r="AD3437"/>
    </row>
    <row r="3438" spans="30:30" x14ac:dyDescent="0.25">
      <c r="AD3438"/>
    </row>
    <row r="3439" spans="30:30" x14ac:dyDescent="0.25">
      <c r="AD3439"/>
    </row>
    <row r="3440" spans="30:30" x14ac:dyDescent="0.25">
      <c r="AD3440"/>
    </row>
    <row r="3441" spans="30:30" x14ac:dyDescent="0.25">
      <c r="AD3441"/>
    </row>
    <row r="3442" spans="30:30" x14ac:dyDescent="0.25">
      <c r="AD3442"/>
    </row>
    <row r="3443" spans="30:30" x14ac:dyDescent="0.25">
      <c r="AD3443"/>
    </row>
    <row r="3444" spans="30:30" x14ac:dyDescent="0.25">
      <c r="AD3444"/>
    </row>
    <row r="3445" spans="30:30" x14ac:dyDescent="0.25">
      <c r="AD3445"/>
    </row>
    <row r="3446" spans="30:30" x14ac:dyDescent="0.25">
      <c r="AD3446"/>
    </row>
    <row r="3447" spans="30:30" x14ac:dyDescent="0.25">
      <c r="AD3447"/>
    </row>
    <row r="3448" spans="30:30" x14ac:dyDescent="0.25">
      <c r="AD3448"/>
    </row>
    <row r="3449" spans="30:30" x14ac:dyDescent="0.25">
      <c r="AD3449"/>
    </row>
    <row r="3450" spans="30:30" x14ac:dyDescent="0.25">
      <c r="AD3450"/>
    </row>
    <row r="3451" spans="30:30" x14ac:dyDescent="0.25">
      <c r="AD3451"/>
    </row>
    <row r="3452" spans="30:30" x14ac:dyDescent="0.25">
      <c r="AD3452"/>
    </row>
    <row r="3453" spans="30:30" x14ac:dyDescent="0.25">
      <c r="AD3453"/>
    </row>
    <row r="3454" spans="30:30" x14ac:dyDescent="0.25">
      <c r="AD3454"/>
    </row>
    <row r="3455" spans="30:30" x14ac:dyDescent="0.25">
      <c r="AD3455"/>
    </row>
    <row r="3456" spans="30:30" x14ac:dyDescent="0.25">
      <c r="AD3456"/>
    </row>
    <row r="3457" spans="30:30" x14ac:dyDescent="0.25">
      <c r="AD3457"/>
    </row>
    <row r="3458" spans="30:30" x14ac:dyDescent="0.25">
      <c r="AD3458"/>
    </row>
    <row r="3459" spans="30:30" x14ac:dyDescent="0.25">
      <c r="AD3459"/>
    </row>
    <row r="3460" spans="30:30" x14ac:dyDescent="0.25">
      <c r="AD3460"/>
    </row>
    <row r="3461" spans="30:30" x14ac:dyDescent="0.25">
      <c r="AD3461"/>
    </row>
    <row r="3462" spans="30:30" x14ac:dyDescent="0.25">
      <c r="AD3462"/>
    </row>
    <row r="3463" spans="30:30" x14ac:dyDescent="0.25">
      <c r="AD3463"/>
    </row>
    <row r="3464" spans="30:30" x14ac:dyDescent="0.25">
      <c r="AD3464"/>
    </row>
    <row r="3465" spans="30:30" x14ac:dyDescent="0.25">
      <c r="AD3465"/>
    </row>
    <row r="3466" spans="30:30" x14ac:dyDescent="0.25">
      <c r="AD3466"/>
    </row>
    <row r="3467" spans="30:30" x14ac:dyDescent="0.25">
      <c r="AD3467"/>
    </row>
    <row r="3468" spans="30:30" x14ac:dyDescent="0.25">
      <c r="AD3468"/>
    </row>
    <row r="3469" spans="30:30" x14ac:dyDescent="0.25">
      <c r="AD3469"/>
    </row>
    <row r="3470" spans="30:30" x14ac:dyDescent="0.25">
      <c r="AD3470"/>
    </row>
    <row r="3471" spans="30:30" x14ac:dyDescent="0.25">
      <c r="AD3471"/>
    </row>
    <row r="3472" spans="30:30" x14ac:dyDescent="0.25">
      <c r="AD3472"/>
    </row>
    <row r="3473" spans="30:30" x14ac:dyDescent="0.25">
      <c r="AD3473"/>
    </row>
    <row r="3474" spans="30:30" x14ac:dyDescent="0.25">
      <c r="AD3474"/>
    </row>
    <row r="3475" spans="30:30" x14ac:dyDescent="0.25">
      <c r="AD3475"/>
    </row>
    <row r="3476" spans="30:30" x14ac:dyDescent="0.25">
      <c r="AD3476"/>
    </row>
    <row r="3477" spans="30:30" x14ac:dyDescent="0.25">
      <c r="AD3477"/>
    </row>
    <row r="3478" spans="30:30" x14ac:dyDescent="0.25">
      <c r="AD3478"/>
    </row>
    <row r="3479" spans="30:30" x14ac:dyDescent="0.25">
      <c r="AD3479"/>
    </row>
    <row r="3480" spans="30:30" x14ac:dyDescent="0.25">
      <c r="AD3480"/>
    </row>
    <row r="3481" spans="30:30" x14ac:dyDescent="0.25">
      <c r="AD3481"/>
    </row>
    <row r="3482" spans="30:30" x14ac:dyDescent="0.25">
      <c r="AD3482"/>
    </row>
    <row r="3483" spans="30:30" x14ac:dyDescent="0.25">
      <c r="AD3483"/>
    </row>
    <row r="3484" spans="30:30" x14ac:dyDescent="0.25">
      <c r="AD3484"/>
    </row>
    <row r="3485" spans="30:30" x14ac:dyDescent="0.25">
      <c r="AD3485"/>
    </row>
    <row r="3486" spans="30:30" x14ac:dyDescent="0.25">
      <c r="AD3486"/>
    </row>
    <row r="3487" spans="30:30" x14ac:dyDescent="0.25">
      <c r="AD3487"/>
    </row>
    <row r="3488" spans="30:30" x14ac:dyDescent="0.25">
      <c r="AD3488"/>
    </row>
    <row r="3489" spans="30:30" x14ac:dyDescent="0.25">
      <c r="AD3489"/>
    </row>
    <row r="3490" spans="30:30" x14ac:dyDescent="0.25">
      <c r="AD3490"/>
    </row>
    <row r="3491" spans="30:30" x14ac:dyDescent="0.25">
      <c r="AD3491"/>
    </row>
    <row r="3492" spans="30:30" x14ac:dyDescent="0.25">
      <c r="AD3492"/>
    </row>
    <row r="3493" spans="30:30" x14ac:dyDescent="0.25">
      <c r="AD3493"/>
    </row>
    <row r="3494" spans="30:30" x14ac:dyDescent="0.25">
      <c r="AD3494"/>
    </row>
    <row r="3495" spans="30:30" x14ac:dyDescent="0.25">
      <c r="AD3495"/>
    </row>
    <row r="3496" spans="30:30" x14ac:dyDescent="0.25">
      <c r="AD3496"/>
    </row>
    <row r="3497" spans="30:30" x14ac:dyDescent="0.25">
      <c r="AD3497"/>
    </row>
    <row r="3498" spans="30:30" x14ac:dyDescent="0.25">
      <c r="AD3498"/>
    </row>
    <row r="3499" spans="30:30" x14ac:dyDescent="0.25">
      <c r="AD3499"/>
    </row>
    <row r="3500" spans="30:30" x14ac:dyDescent="0.25">
      <c r="AD3500"/>
    </row>
    <row r="3501" spans="30:30" x14ac:dyDescent="0.25">
      <c r="AD3501"/>
    </row>
    <row r="3502" spans="30:30" x14ac:dyDescent="0.25">
      <c r="AD3502"/>
    </row>
    <row r="3503" spans="30:30" x14ac:dyDescent="0.25">
      <c r="AD3503"/>
    </row>
    <row r="3504" spans="30:30" x14ac:dyDescent="0.25">
      <c r="AD3504"/>
    </row>
    <row r="3505" spans="30:30" x14ac:dyDescent="0.25">
      <c r="AD3505"/>
    </row>
    <row r="3506" spans="30:30" x14ac:dyDescent="0.25">
      <c r="AD3506"/>
    </row>
    <row r="3507" spans="30:30" x14ac:dyDescent="0.25">
      <c r="AD3507"/>
    </row>
    <row r="3508" spans="30:30" x14ac:dyDescent="0.25">
      <c r="AD3508"/>
    </row>
    <row r="3509" spans="30:30" x14ac:dyDescent="0.25">
      <c r="AD3509"/>
    </row>
    <row r="3510" spans="30:30" x14ac:dyDescent="0.25">
      <c r="AD3510"/>
    </row>
    <row r="3511" spans="30:30" x14ac:dyDescent="0.25">
      <c r="AD3511"/>
    </row>
    <row r="3512" spans="30:30" x14ac:dyDescent="0.25">
      <c r="AD3512"/>
    </row>
    <row r="3513" spans="30:30" x14ac:dyDescent="0.25">
      <c r="AD3513"/>
    </row>
    <row r="3514" spans="30:30" x14ac:dyDescent="0.25">
      <c r="AD3514"/>
    </row>
    <row r="3515" spans="30:30" x14ac:dyDescent="0.25">
      <c r="AD3515"/>
    </row>
    <row r="3516" spans="30:30" x14ac:dyDescent="0.25">
      <c r="AD3516"/>
    </row>
    <row r="3517" spans="30:30" x14ac:dyDescent="0.25">
      <c r="AD3517"/>
    </row>
    <row r="3518" spans="30:30" x14ac:dyDescent="0.25">
      <c r="AD3518"/>
    </row>
    <row r="3519" spans="30:30" x14ac:dyDescent="0.25">
      <c r="AD3519"/>
    </row>
    <row r="3520" spans="30:30" x14ac:dyDescent="0.25">
      <c r="AD3520"/>
    </row>
    <row r="3521" spans="30:30" x14ac:dyDescent="0.25">
      <c r="AD3521"/>
    </row>
    <row r="3522" spans="30:30" x14ac:dyDescent="0.25">
      <c r="AD3522"/>
    </row>
    <row r="3523" spans="30:30" x14ac:dyDescent="0.25">
      <c r="AD3523"/>
    </row>
    <row r="3524" spans="30:30" x14ac:dyDescent="0.25">
      <c r="AD3524"/>
    </row>
    <row r="3525" spans="30:30" x14ac:dyDescent="0.25">
      <c r="AD3525"/>
    </row>
    <row r="3526" spans="30:30" x14ac:dyDescent="0.25">
      <c r="AD3526"/>
    </row>
    <row r="3527" spans="30:30" x14ac:dyDescent="0.25">
      <c r="AD3527"/>
    </row>
    <row r="3528" spans="30:30" x14ac:dyDescent="0.25">
      <c r="AD3528"/>
    </row>
    <row r="3529" spans="30:30" x14ac:dyDescent="0.25">
      <c r="AD3529"/>
    </row>
    <row r="3530" spans="30:30" x14ac:dyDescent="0.25">
      <c r="AD3530"/>
    </row>
    <row r="3531" spans="30:30" x14ac:dyDescent="0.25">
      <c r="AD3531"/>
    </row>
    <row r="3532" spans="30:30" x14ac:dyDescent="0.25">
      <c r="AD3532"/>
    </row>
    <row r="3533" spans="30:30" x14ac:dyDescent="0.25">
      <c r="AD3533"/>
    </row>
    <row r="3534" spans="30:30" x14ac:dyDescent="0.25">
      <c r="AD3534"/>
    </row>
    <row r="3535" spans="30:30" x14ac:dyDescent="0.25">
      <c r="AD3535"/>
    </row>
    <row r="3536" spans="30:30" x14ac:dyDescent="0.25">
      <c r="AD3536"/>
    </row>
    <row r="3537" spans="30:30" x14ac:dyDescent="0.25">
      <c r="AD3537"/>
    </row>
    <row r="3538" spans="30:30" x14ac:dyDescent="0.25">
      <c r="AD3538"/>
    </row>
    <row r="3539" spans="30:30" x14ac:dyDescent="0.25">
      <c r="AD3539"/>
    </row>
    <row r="3540" spans="30:30" x14ac:dyDescent="0.25">
      <c r="AD3540"/>
    </row>
    <row r="3541" spans="30:30" x14ac:dyDescent="0.25">
      <c r="AD3541"/>
    </row>
    <row r="3542" spans="30:30" x14ac:dyDescent="0.25">
      <c r="AD3542"/>
    </row>
    <row r="3543" spans="30:30" x14ac:dyDescent="0.25">
      <c r="AD3543"/>
    </row>
    <row r="3544" spans="30:30" x14ac:dyDescent="0.25">
      <c r="AD3544"/>
    </row>
    <row r="3545" spans="30:30" x14ac:dyDescent="0.25">
      <c r="AD3545"/>
    </row>
    <row r="3546" spans="30:30" x14ac:dyDescent="0.25">
      <c r="AD3546"/>
    </row>
    <row r="3547" spans="30:30" x14ac:dyDescent="0.25">
      <c r="AD3547"/>
    </row>
    <row r="3548" spans="30:30" x14ac:dyDescent="0.25">
      <c r="AD3548"/>
    </row>
    <row r="3549" spans="30:30" x14ac:dyDescent="0.25">
      <c r="AD3549"/>
    </row>
    <row r="3550" spans="30:30" x14ac:dyDescent="0.25">
      <c r="AD3550"/>
    </row>
    <row r="3551" spans="30:30" x14ac:dyDescent="0.25">
      <c r="AD3551"/>
    </row>
    <row r="3552" spans="30:30" x14ac:dyDescent="0.25">
      <c r="AD3552"/>
    </row>
    <row r="3553" spans="30:30" x14ac:dyDescent="0.25">
      <c r="AD3553"/>
    </row>
    <row r="3554" spans="30:30" x14ac:dyDescent="0.25">
      <c r="AD3554"/>
    </row>
    <row r="3555" spans="30:30" x14ac:dyDescent="0.25">
      <c r="AD3555"/>
    </row>
    <row r="3556" spans="30:30" x14ac:dyDescent="0.25">
      <c r="AD3556"/>
    </row>
    <row r="3557" spans="30:30" x14ac:dyDescent="0.25">
      <c r="AD3557"/>
    </row>
    <row r="3558" spans="30:30" x14ac:dyDescent="0.25">
      <c r="AD3558"/>
    </row>
    <row r="3559" spans="30:30" x14ac:dyDescent="0.25">
      <c r="AD3559"/>
    </row>
    <row r="3560" spans="30:30" x14ac:dyDescent="0.25">
      <c r="AD3560"/>
    </row>
    <row r="3561" spans="30:30" x14ac:dyDescent="0.25">
      <c r="AD3561"/>
    </row>
    <row r="3562" spans="30:30" x14ac:dyDescent="0.25">
      <c r="AD3562"/>
    </row>
    <row r="3563" spans="30:30" x14ac:dyDescent="0.25">
      <c r="AD3563"/>
    </row>
    <row r="3564" spans="30:30" x14ac:dyDescent="0.25">
      <c r="AD3564"/>
    </row>
    <row r="3565" spans="30:30" x14ac:dyDescent="0.25">
      <c r="AD3565"/>
    </row>
    <row r="3566" spans="30:30" x14ac:dyDescent="0.25">
      <c r="AD3566"/>
    </row>
    <row r="3567" spans="30:30" x14ac:dyDescent="0.25">
      <c r="AD3567"/>
    </row>
    <row r="3568" spans="30:30" x14ac:dyDescent="0.25">
      <c r="AD3568"/>
    </row>
    <row r="3569" spans="30:30" x14ac:dyDescent="0.25">
      <c r="AD3569"/>
    </row>
    <row r="3570" spans="30:30" x14ac:dyDescent="0.25">
      <c r="AD3570"/>
    </row>
    <row r="3571" spans="30:30" x14ac:dyDescent="0.25">
      <c r="AD3571"/>
    </row>
    <row r="3572" spans="30:30" x14ac:dyDescent="0.25">
      <c r="AD3572"/>
    </row>
    <row r="3573" spans="30:30" x14ac:dyDescent="0.25">
      <c r="AD3573"/>
    </row>
    <row r="3574" spans="30:30" x14ac:dyDescent="0.25">
      <c r="AD3574"/>
    </row>
    <row r="3575" spans="30:30" x14ac:dyDescent="0.25">
      <c r="AD3575"/>
    </row>
    <row r="3576" spans="30:30" x14ac:dyDescent="0.25">
      <c r="AD3576"/>
    </row>
    <row r="3577" spans="30:30" x14ac:dyDescent="0.25">
      <c r="AD3577"/>
    </row>
    <row r="3578" spans="30:30" x14ac:dyDescent="0.25">
      <c r="AD3578"/>
    </row>
    <row r="3579" spans="30:30" x14ac:dyDescent="0.25">
      <c r="AD3579"/>
    </row>
    <row r="3580" spans="30:30" x14ac:dyDescent="0.25">
      <c r="AD3580"/>
    </row>
    <row r="3581" spans="30:30" x14ac:dyDescent="0.25">
      <c r="AD3581"/>
    </row>
    <row r="3582" spans="30:30" x14ac:dyDescent="0.25">
      <c r="AD3582"/>
    </row>
    <row r="3583" spans="30:30" x14ac:dyDescent="0.25">
      <c r="AD3583"/>
    </row>
    <row r="3584" spans="30:30" x14ac:dyDescent="0.25">
      <c r="AD3584"/>
    </row>
    <row r="3585" spans="30:30" x14ac:dyDescent="0.25">
      <c r="AD3585"/>
    </row>
    <row r="3586" spans="30:30" x14ac:dyDescent="0.25">
      <c r="AD3586"/>
    </row>
    <row r="3587" spans="30:30" x14ac:dyDescent="0.25">
      <c r="AD3587"/>
    </row>
    <row r="3588" spans="30:30" x14ac:dyDescent="0.25">
      <c r="AD3588"/>
    </row>
    <row r="3589" spans="30:30" x14ac:dyDescent="0.25">
      <c r="AD3589"/>
    </row>
    <row r="3590" spans="30:30" x14ac:dyDescent="0.25">
      <c r="AD3590"/>
    </row>
    <row r="3591" spans="30:30" x14ac:dyDescent="0.25">
      <c r="AD3591"/>
    </row>
    <row r="3592" spans="30:30" x14ac:dyDescent="0.25">
      <c r="AD3592"/>
    </row>
    <row r="3593" spans="30:30" x14ac:dyDescent="0.25">
      <c r="AD3593"/>
    </row>
    <row r="3594" spans="30:30" x14ac:dyDescent="0.25">
      <c r="AD3594"/>
    </row>
    <row r="3595" spans="30:30" x14ac:dyDescent="0.25">
      <c r="AD3595"/>
    </row>
    <row r="3596" spans="30:30" x14ac:dyDescent="0.25">
      <c r="AD3596"/>
    </row>
    <row r="3597" spans="30:30" x14ac:dyDescent="0.25">
      <c r="AD3597"/>
    </row>
    <row r="3598" spans="30:30" x14ac:dyDescent="0.25">
      <c r="AD3598"/>
    </row>
    <row r="3599" spans="30:30" x14ac:dyDescent="0.25">
      <c r="AD3599"/>
    </row>
    <row r="3600" spans="30:30" x14ac:dyDescent="0.25">
      <c r="AD3600"/>
    </row>
    <row r="3601" spans="30:30" x14ac:dyDescent="0.25">
      <c r="AD3601"/>
    </row>
    <row r="3602" spans="30:30" x14ac:dyDescent="0.25">
      <c r="AD3602"/>
    </row>
    <row r="3603" spans="30:30" x14ac:dyDescent="0.25">
      <c r="AD3603"/>
    </row>
    <row r="3604" spans="30:30" x14ac:dyDescent="0.25">
      <c r="AD3604"/>
    </row>
    <row r="3605" spans="30:30" x14ac:dyDescent="0.25">
      <c r="AD3605"/>
    </row>
    <row r="3606" spans="30:30" x14ac:dyDescent="0.25">
      <c r="AD3606"/>
    </row>
    <row r="3607" spans="30:30" x14ac:dyDescent="0.25">
      <c r="AD3607"/>
    </row>
    <row r="3608" spans="30:30" x14ac:dyDescent="0.25">
      <c r="AD3608"/>
    </row>
    <row r="3609" spans="30:30" x14ac:dyDescent="0.25">
      <c r="AD3609"/>
    </row>
    <row r="3610" spans="30:30" x14ac:dyDescent="0.25">
      <c r="AD3610"/>
    </row>
    <row r="3611" spans="30:30" x14ac:dyDescent="0.25">
      <c r="AD3611"/>
    </row>
    <row r="3612" spans="30:30" x14ac:dyDescent="0.25">
      <c r="AD3612"/>
    </row>
    <row r="3613" spans="30:30" x14ac:dyDescent="0.25">
      <c r="AD3613"/>
    </row>
    <row r="3614" spans="30:30" x14ac:dyDescent="0.25">
      <c r="AD3614"/>
    </row>
    <row r="3615" spans="30:30" x14ac:dyDescent="0.25">
      <c r="AD3615"/>
    </row>
    <row r="3616" spans="30:30" x14ac:dyDescent="0.25">
      <c r="AD3616"/>
    </row>
    <row r="3617" spans="30:30" x14ac:dyDescent="0.25">
      <c r="AD3617"/>
    </row>
    <row r="3618" spans="30:30" x14ac:dyDescent="0.25">
      <c r="AD3618"/>
    </row>
    <row r="3619" spans="30:30" x14ac:dyDescent="0.25">
      <c r="AD3619"/>
    </row>
    <row r="3620" spans="30:30" x14ac:dyDescent="0.25">
      <c r="AD3620"/>
    </row>
    <row r="3621" spans="30:30" x14ac:dyDescent="0.25">
      <c r="AD3621"/>
    </row>
    <row r="3622" spans="30:30" x14ac:dyDescent="0.25">
      <c r="AD3622"/>
    </row>
    <row r="3623" spans="30:30" x14ac:dyDescent="0.25">
      <c r="AD3623"/>
    </row>
    <row r="3624" spans="30:30" x14ac:dyDescent="0.25">
      <c r="AD3624"/>
    </row>
    <row r="3625" spans="30:30" x14ac:dyDescent="0.25">
      <c r="AD3625"/>
    </row>
    <row r="3626" spans="30:30" x14ac:dyDescent="0.25">
      <c r="AD3626"/>
    </row>
    <row r="3627" spans="30:30" x14ac:dyDescent="0.25">
      <c r="AD3627"/>
    </row>
    <row r="3628" spans="30:30" x14ac:dyDescent="0.25">
      <c r="AD3628"/>
    </row>
    <row r="3629" spans="30:30" x14ac:dyDescent="0.25">
      <c r="AD3629"/>
    </row>
    <row r="3630" spans="30:30" x14ac:dyDescent="0.25">
      <c r="AD3630"/>
    </row>
    <row r="3631" spans="30:30" x14ac:dyDescent="0.25">
      <c r="AD3631"/>
    </row>
    <row r="3632" spans="30:30" x14ac:dyDescent="0.25">
      <c r="AD3632"/>
    </row>
    <row r="3633" spans="30:30" x14ac:dyDescent="0.25">
      <c r="AD3633"/>
    </row>
    <row r="3634" spans="30:30" x14ac:dyDescent="0.25">
      <c r="AD3634"/>
    </row>
    <row r="3635" spans="30:30" x14ac:dyDescent="0.25">
      <c r="AD3635"/>
    </row>
    <row r="3636" spans="30:30" x14ac:dyDescent="0.25">
      <c r="AD3636"/>
    </row>
    <row r="3637" spans="30:30" x14ac:dyDescent="0.25">
      <c r="AD3637"/>
    </row>
    <row r="3638" spans="30:30" x14ac:dyDescent="0.25">
      <c r="AD3638"/>
    </row>
    <row r="3639" spans="30:30" x14ac:dyDescent="0.25">
      <c r="AD3639"/>
    </row>
    <row r="3640" spans="30:30" x14ac:dyDescent="0.25">
      <c r="AD3640"/>
    </row>
    <row r="3641" spans="30:30" x14ac:dyDescent="0.25">
      <c r="AD3641"/>
    </row>
    <row r="3642" spans="30:30" x14ac:dyDescent="0.25">
      <c r="AD3642"/>
    </row>
    <row r="3643" spans="30:30" x14ac:dyDescent="0.25">
      <c r="AD3643"/>
    </row>
    <row r="3644" spans="30:30" x14ac:dyDescent="0.25">
      <c r="AD3644"/>
    </row>
    <row r="3645" spans="30:30" x14ac:dyDescent="0.25">
      <c r="AD3645"/>
    </row>
    <row r="3646" spans="30:30" x14ac:dyDescent="0.25">
      <c r="AD3646"/>
    </row>
    <row r="3647" spans="30:30" x14ac:dyDescent="0.25">
      <c r="AD3647"/>
    </row>
    <row r="3648" spans="30:30" x14ac:dyDescent="0.25">
      <c r="AD3648"/>
    </row>
    <row r="3649" spans="30:30" x14ac:dyDescent="0.25">
      <c r="AD3649"/>
    </row>
    <row r="3650" spans="30:30" x14ac:dyDescent="0.25">
      <c r="AD3650"/>
    </row>
    <row r="3651" spans="30:30" x14ac:dyDescent="0.25">
      <c r="AD3651"/>
    </row>
    <row r="3652" spans="30:30" x14ac:dyDescent="0.25">
      <c r="AD3652"/>
    </row>
    <row r="3653" spans="30:30" x14ac:dyDescent="0.25">
      <c r="AD3653"/>
    </row>
    <row r="3654" spans="30:30" x14ac:dyDescent="0.25">
      <c r="AD3654"/>
    </row>
    <row r="3655" spans="30:30" x14ac:dyDescent="0.25">
      <c r="AD3655"/>
    </row>
    <row r="3656" spans="30:30" x14ac:dyDescent="0.25">
      <c r="AD3656"/>
    </row>
    <row r="3657" spans="30:30" x14ac:dyDescent="0.25">
      <c r="AD3657"/>
    </row>
    <row r="3658" spans="30:30" x14ac:dyDescent="0.25">
      <c r="AD3658"/>
    </row>
    <row r="3659" spans="30:30" x14ac:dyDescent="0.25">
      <c r="AD3659"/>
    </row>
    <row r="3660" spans="30:30" x14ac:dyDescent="0.25">
      <c r="AD3660"/>
    </row>
    <row r="3661" spans="30:30" x14ac:dyDescent="0.25">
      <c r="AD3661"/>
    </row>
    <row r="3662" spans="30:30" x14ac:dyDescent="0.25">
      <c r="AD3662"/>
    </row>
    <row r="3663" spans="30:30" x14ac:dyDescent="0.25">
      <c r="AD3663"/>
    </row>
    <row r="3664" spans="30:30" x14ac:dyDescent="0.25">
      <c r="AD3664"/>
    </row>
    <row r="3665" spans="30:30" x14ac:dyDescent="0.25">
      <c r="AD3665"/>
    </row>
    <row r="3666" spans="30:30" x14ac:dyDescent="0.25">
      <c r="AD3666"/>
    </row>
    <row r="3667" spans="30:30" x14ac:dyDescent="0.25">
      <c r="AD3667"/>
    </row>
    <row r="3668" spans="30:30" x14ac:dyDescent="0.25">
      <c r="AD3668"/>
    </row>
    <row r="3669" spans="30:30" x14ac:dyDescent="0.25">
      <c r="AD3669"/>
    </row>
    <row r="3670" spans="30:30" x14ac:dyDescent="0.25">
      <c r="AD3670"/>
    </row>
    <row r="3671" spans="30:30" x14ac:dyDescent="0.25">
      <c r="AD3671"/>
    </row>
    <row r="3672" spans="30:30" x14ac:dyDescent="0.25">
      <c r="AD3672"/>
    </row>
    <row r="3673" spans="30:30" x14ac:dyDescent="0.25">
      <c r="AD3673"/>
    </row>
    <row r="3674" spans="30:30" x14ac:dyDescent="0.25">
      <c r="AD3674"/>
    </row>
    <row r="3675" spans="30:30" x14ac:dyDescent="0.25">
      <c r="AD3675"/>
    </row>
    <row r="3676" spans="30:30" x14ac:dyDescent="0.25">
      <c r="AD3676"/>
    </row>
    <row r="3677" spans="30:30" x14ac:dyDescent="0.25">
      <c r="AD3677"/>
    </row>
    <row r="3678" spans="30:30" x14ac:dyDescent="0.25">
      <c r="AD3678"/>
    </row>
    <row r="3679" spans="30:30" x14ac:dyDescent="0.25">
      <c r="AD3679"/>
    </row>
    <row r="3680" spans="30:30" x14ac:dyDescent="0.25">
      <c r="AD3680"/>
    </row>
    <row r="3681" spans="30:30" x14ac:dyDescent="0.25">
      <c r="AD3681"/>
    </row>
    <row r="3682" spans="30:30" x14ac:dyDescent="0.25">
      <c r="AD3682"/>
    </row>
    <row r="3683" spans="30:30" x14ac:dyDescent="0.25">
      <c r="AD3683"/>
    </row>
    <row r="3684" spans="30:30" x14ac:dyDescent="0.25">
      <c r="AD3684"/>
    </row>
    <row r="3685" spans="30:30" x14ac:dyDescent="0.25">
      <c r="AD3685"/>
    </row>
    <row r="3686" spans="30:30" x14ac:dyDescent="0.25">
      <c r="AD3686"/>
    </row>
    <row r="3687" spans="30:30" x14ac:dyDescent="0.25">
      <c r="AD3687"/>
    </row>
    <row r="3688" spans="30:30" x14ac:dyDescent="0.25">
      <c r="AD3688"/>
    </row>
    <row r="3689" spans="30:30" x14ac:dyDescent="0.25">
      <c r="AD3689"/>
    </row>
    <row r="3690" spans="30:30" x14ac:dyDescent="0.25">
      <c r="AD3690"/>
    </row>
    <row r="3691" spans="30:30" x14ac:dyDescent="0.25">
      <c r="AD3691"/>
    </row>
    <row r="3692" spans="30:30" x14ac:dyDescent="0.25">
      <c r="AD3692"/>
    </row>
    <row r="3693" spans="30:30" x14ac:dyDescent="0.25">
      <c r="AD3693"/>
    </row>
    <row r="3694" spans="30:30" x14ac:dyDescent="0.25">
      <c r="AD3694"/>
    </row>
    <row r="3695" spans="30:30" x14ac:dyDescent="0.25">
      <c r="AD3695"/>
    </row>
    <row r="3696" spans="30:30" x14ac:dyDescent="0.25">
      <c r="AD3696"/>
    </row>
    <row r="3697" spans="30:30" x14ac:dyDescent="0.25">
      <c r="AD3697"/>
    </row>
    <row r="3698" spans="30:30" x14ac:dyDescent="0.25">
      <c r="AD3698"/>
    </row>
    <row r="3699" spans="30:30" x14ac:dyDescent="0.25">
      <c r="AD3699"/>
    </row>
    <row r="3700" spans="30:30" x14ac:dyDescent="0.25">
      <c r="AD3700"/>
    </row>
    <row r="3701" spans="30:30" x14ac:dyDescent="0.25">
      <c r="AD3701"/>
    </row>
    <row r="3702" spans="30:30" x14ac:dyDescent="0.25">
      <c r="AD3702"/>
    </row>
    <row r="3703" spans="30:30" x14ac:dyDescent="0.25">
      <c r="AD3703"/>
    </row>
    <row r="3704" spans="30:30" x14ac:dyDescent="0.25">
      <c r="AD3704"/>
    </row>
    <row r="3705" spans="30:30" x14ac:dyDescent="0.25">
      <c r="AD3705"/>
    </row>
    <row r="3706" spans="30:30" x14ac:dyDescent="0.25">
      <c r="AD3706"/>
    </row>
    <row r="3707" spans="30:30" x14ac:dyDescent="0.25">
      <c r="AD3707"/>
    </row>
    <row r="3708" spans="30:30" x14ac:dyDescent="0.25">
      <c r="AD3708"/>
    </row>
    <row r="3709" spans="30:30" x14ac:dyDescent="0.25">
      <c r="AD3709"/>
    </row>
    <row r="3710" spans="30:30" x14ac:dyDescent="0.25">
      <c r="AD3710"/>
    </row>
    <row r="3711" spans="30:30" x14ac:dyDescent="0.25">
      <c r="AD3711"/>
    </row>
    <row r="3712" spans="30:30" x14ac:dyDescent="0.25">
      <c r="AD3712"/>
    </row>
    <row r="3713" spans="30:30" x14ac:dyDescent="0.25">
      <c r="AD3713"/>
    </row>
    <row r="3714" spans="30:30" x14ac:dyDescent="0.25">
      <c r="AD3714"/>
    </row>
    <row r="3715" spans="30:30" x14ac:dyDescent="0.25">
      <c r="AD3715"/>
    </row>
    <row r="3716" spans="30:30" x14ac:dyDescent="0.25">
      <c r="AD3716"/>
    </row>
    <row r="3717" spans="30:30" x14ac:dyDescent="0.25">
      <c r="AD3717"/>
    </row>
    <row r="3718" spans="30:30" x14ac:dyDescent="0.25">
      <c r="AD3718"/>
    </row>
    <row r="3719" spans="30:30" x14ac:dyDescent="0.25">
      <c r="AD3719"/>
    </row>
    <row r="3720" spans="30:30" x14ac:dyDescent="0.25">
      <c r="AD3720"/>
    </row>
    <row r="3721" spans="30:30" x14ac:dyDescent="0.25">
      <c r="AD3721"/>
    </row>
    <row r="3722" spans="30:30" x14ac:dyDescent="0.25">
      <c r="AD3722"/>
    </row>
    <row r="3723" spans="30:30" x14ac:dyDescent="0.25">
      <c r="AD3723"/>
    </row>
    <row r="3724" spans="30:30" x14ac:dyDescent="0.25">
      <c r="AD3724"/>
    </row>
    <row r="3725" spans="30:30" x14ac:dyDescent="0.25">
      <c r="AD3725"/>
    </row>
    <row r="3726" spans="30:30" x14ac:dyDescent="0.25">
      <c r="AD3726"/>
    </row>
    <row r="3727" spans="30:30" x14ac:dyDescent="0.25">
      <c r="AD3727"/>
    </row>
    <row r="3728" spans="30:30" x14ac:dyDescent="0.25">
      <c r="AD3728"/>
    </row>
    <row r="3729" spans="30:30" x14ac:dyDescent="0.25">
      <c r="AD3729"/>
    </row>
    <row r="3730" spans="30:30" x14ac:dyDescent="0.25">
      <c r="AD3730"/>
    </row>
    <row r="3731" spans="30:30" x14ac:dyDescent="0.25">
      <c r="AD3731"/>
    </row>
    <row r="3732" spans="30:30" x14ac:dyDescent="0.25">
      <c r="AD3732"/>
    </row>
    <row r="3733" spans="30:30" x14ac:dyDescent="0.25">
      <c r="AD3733"/>
    </row>
    <row r="3734" spans="30:30" x14ac:dyDescent="0.25">
      <c r="AD3734"/>
    </row>
    <row r="3735" spans="30:30" x14ac:dyDescent="0.25">
      <c r="AD3735"/>
    </row>
    <row r="3736" spans="30:30" x14ac:dyDescent="0.25">
      <c r="AD3736"/>
    </row>
    <row r="3737" spans="30:30" x14ac:dyDescent="0.25">
      <c r="AD3737"/>
    </row>
    <row r="3738" spans="30:30" x14ac:dyDescent="0.25">
      <c r="AD3738"/>
    </row>
    <row r="3739" spans="30:30" x14ac:dyDescent="0.25">
      <c r="AD3739"/>
    </row>
    <row r="3740" spans="30:30" x14ac:dyDescent="0.25">
      <c r="AD3740"/>
    </row>
    <row r="3741" spans="30:30" x14ac:dyDescent="0.25">
      <c r="AD3741"/>
    </row>
    <row r="3742" spans="30:30" x14ac:dyDescent="0.25">
      <c r="AD3742"/>
    </row>
    <row r="3743" spans="30:30" x14ac:dyDescent="0.25">
      <c r="AD3743"/>
    </row>
    <row r="3744" spans="30:30" x14ac:dyDescent="0.25">
      <c r="AD3744"/>
    </row>
    <row r="3745" spans="30:30" x14ac:dyDescent="0.25">
      <c r="AD3745"/>
    </row>
    <row r="3746" spans="30:30" x14ac:dyDescent="0.25">
      <c r="AD3746"/>
    </row>
    <row r="3747" spans="30:30" x14ac:dyDescent="0.25">
      <c r="AD3747"/>
    </row>
    <row r="3748" spans="30:30" x14ac:dyDescent="0.25">
      <c r="AD3748"/>
    </row>
    <row r="3749" spans="30:30" x14ac:dyDescent="0.25">
      <c r="AD3749"/>
    </row>
    <row r="3750" spans="30:30" x14ac:dyDescent="0.25">
      <c r="AD3750"/>
    </row>
    <row r="3751" spans="30:30" x14ac:dyDescent="0.25">
      <c r="AD3751"/>
    </row>
    <row r="3752" spans="30:30" x14ac:dyDescent="0.25">
      <c r="AD3752"/>
    </row>
    <row r="3753" spans="30:30" x14ac:dyDescent="0.25">
      <c r="AD3753"/>
    </row>
    <row r="3754" spans="30:30" x14ac:dyDescent="0.25">
      <c r="AD3754"/>
    </row>
    <row r="3755" spans="30:30" x14ac:dyDescent="0.25">
      <c r="AD3755"/>
    </row>
    <row r="3756" spans="30:30" x14ac:dyDescent="0.25">
      <c r="AD3756"/>
    </row>
    <row r="3757" spans="30:30" x14ac:dyDescent="0.25">
      <c r="AD3757"/>
    </row>
    <row r="3758" spans="30:30" x14ac:dyDescent="0.25">
      <c r="AD3758"/>
    </row>
    <row r="3759" spans="30:30" x14ac:dyDescent="0.25">
      <c r="AD3759"/>
    </row>
    <row r="3760" spans="30:30" x14ac:dyDescent="0.25">
      <c r="AD3760"/>
    </row>
    <row r="3761" spans="30:30" x14ac:dyDescent="0.25">
      <c r="AD3761"/>
    </row>
    <row r="3762" spans="30:30" x14ac:dyDescent="0.25">
      <c r="AD3762"/>
    </row>
    <row r="3763" spans="30:30" x14ac:dyDescent="0.25">
      <c r="AD3763"/>
    </row>
    <row r="3764" spans="30:30" x14ac:dyDescent="0.25">
      <c r="AD3764"/>
    </row>
    <row r="3765" spans="30:30" x14ac:dyDescent="0.25">
      <c r="AD3765"/>
    </row>
    <row r="3766" spans="30:30" x14ac:dyDescent="0.25">
      <c r="AD3766"/>
    </row>
    <row r="3767" spans="30:30" x14ac:dyDescent="0.25">
      <c r="AD3767"/>
    </row>
    <row r="3768" spans="30:30" x14ac:dyDescent="0.25">
      <c r="AD3768"/>
    </row>
    <row r="3769" spans="30:30" x14ac:dyDescent="0.25">
      <c r="AD3769"/>
    </row>
    <row r="3770" spans="30:30" x14ac:dyDescent="0.25">
      <c r="AD3770"/>
    </row>
    <row r="3771" spans="30:30" x14ac:dyDescent="0.25">
      <c r="AD3771"/>
    </row>
    <row r="3772" spans="30:30" x14ac:dyDescent="0.25">
      <c r="AD3772"/>
    </row>
    <row r="3773" spans="30:30" x14ac:dyDescent="0.25">
      <c r="AD3773"/>
    </row>
    <row r="3774" spans="30:30" x14ac:dyDescent="0.25">
      <c r="AD3774"/>
    </row>
    <row r="3775" spans="30:30" x14ac:dyDescent="0.25">
      <c r="AD3775"/>
    </row>
    <row r="3776" spans="30:30" x14ac:dyDescent="0.25">
      <c r="AD3776"/>
    </row>
    <row r="3777" spans="30:30" x14ac:dyDescent="0.25">
      <c r="AD3777"/>
    </row>
    <row r="3778" spans="30:30" x14ac:dyDescent="0.25">
      <c r="AD3778"/>
    </row>
    <row r="3779" spans="30:30" x14ac:dyDescent="0.25">
      <c r="AD3779"/>
    </row>
    <row r="3780" spans="30:30" x14ac:dyDescent="0.25">
      <c r="AD3780"/>
    </row>
    <row r="3781" spans="30:30" x14ac:dyDescent="0.25">
      <c r="AD3781"/>
    </row>
    <row r="3782" spans="30:30" x14ac:dyDescent="0.25">
      <c r="AD3782"/>
    </row>
    <row r="3783" spans="30:30" x14ac:dyDescent="0.25">
      <c r="AD3783"/>
    </row>
    <row r="3784" spans="30:30" x14ac:dyDescent="0.25">
      <c r="AD3784"/>
    </row>
    <row r="3785" spans="30:30" x14ac:dyDescent="0.25">
      <c r="AD3785"/>
    </row>
    <row r="3786" spans="30:30" x14ac:dyDescent="0.25">
      <c r="AD3786"/>
    </row>
    <row r="3787" spans="30:30" x14ac:dyDescent="0.25">
      <c r="AD3787"/>
    </row>
    <row r="3788" spans="30:30" x14ac:dyDescent="0.25">
      <c r="AD3788"/>
    </row>
    <row r="3789" spans="30:30" x14ac:dyDescent="0.25">
      <c r="AD3789"/>
    </row>
    <row r="3790" spans="30:30" x14ac:dyDescent="0.25">
      <c r="AD3790"/>
    </row>
    <row r="3791" spans="30:30" x14ac:dyDescent="0.25">
      <c r="AD3791"/>
    </row>
    <row r="3792" spans="30:30" x14ac:dyDescent="0.25">
      <c r="AD3792"/>
    </row>
    <row r="3793" spans="30:30" x14ac:dyDescent="0.25">
      <c r="AD3793"/>
    </row>
    <row r="3794" spans="30:30" x14ac:dyDescent="0.25">
      <c r="AD3794"/>
    </row>
    <row r="3795" spans="30:30" x14ac:dyDescent="0.25">
      <c r="AD3795"/>
    </row>
    <row r="3796" spans="30:30" x14ac:dyDescent="0.25">
      <c r="AD3796"/>
    </row>
    <row r="3797" spans="30:30" x14ac:dyDescent="0.25">
      <c r="AD3797"/>
    </row>
    <row r="3798" spans="30:30" x14ac:dyDescent="0.25">
      <c r="AD3798"/>
    </row>
    <row r="3799" spans="30:30" x14ac:dyDescent="0.25">
      <c r="AD3799"/>
    </row>
    <row r="3800" spans="30:30" x14ac:dyDescent="0.25">
      <c r="AD3800"/>
    </row>
    <row r="3801" spans="30:30" x14ac:dyDescent="0.25">
      <c r="AD3801"/>
    </row>
    <row r="3802" spans="30:30" x14ac:dyDescent="0.25">
      <c r="AD3802"/>
    </row>
    <row r="3803" spans="30:30" x14ac:dyDescent="0.25">
      <c r="AD3803"/>
    </row>
    <row r="3804" spans="30:30" x14ac:dyDescent="0.25">
      <c r="AD3804"/>
    </row>
    <row r="3805" spans="30:30" x14ac:dyDescent="0.25">
      <c r="AD3805"/>
    </row>
    <row r="3806" spans="30:30" x14ac:dyDescent="0.25">
      <c r="AD3806"/>
    </row>
    <row r="3807" spans="30:30" x14ac:dyDescent="0.25">
      <c r="AD3807"/>
    </row>
    <row r="3808" spans="30:30" x14ac:dyDescent="0.25">
      <c r="AD3808"/>
    </row>
    <row r="3809" spans="30:30" x14ac:dyDescent="0.25">
      <c r="AD3809"/>
    </row>
    <row r="3810" spans="30:30" x14ac:dyDescent="0.25">
      <c r="AD3810"/>
    </row>
    <row r="3811" spans="30:30" x14ac:dyDescent="0.25">
      <c r="AD3811"/>
    </row>
    <row r="3812" spans="30:30" x14ac:dyDescent="0.25">
      <c r="AD3812"/>
    </row>
    <row r="3813" spans="30:30" x14ac:dyDescent="0.25">
      <c r="AD3813"/>
    </row>
    <row r="3814" spans="30:30" x14ac:dyDescent="0.25">
      <c r="AD3814"/>
    </row>
    <row r="3815" spans="30:30" x14ac:dyDescent="0.25">
      <c r="AD3815"/>
    </row>
    <row r="3816" spans="30:30" x14ac:dyDescent="0.25">
      <c r="AD3816"/>
    </row>
    <row r="3817" spans="30:30" x14ac:dyDescent="0.25">
      <c r="AD3817"/>
    </row>
    <row r="3818" spans="30:30" x14ac:dyDescent="0.25">
      <c r="AD3818"/>
    </row>
    <row r="3819" spans="30:30" x14ac:dyDescent="0.25">
      <c r="AD3819"/>
    </row>
    <row r="3820" spans="30:30" x14ac:dyDescent="0.25">
      <c r="AD3820"/>
    </row>
    <row r="3821" spans="30:30" x14ac:dyDescent="0.25">
      <c r="AD3821"/>
    </row>
    <row r="3822" spans="30:30" x14ac:dyDescent="0.25">
      <c r="AD3822"/>
    </row>
    <row r="3823" spans="30:30" x14ac:dyDescent="0.25">
      <c r="AD3823"/>
    </row>
    <row r="3824" spans="30:30" x14ac:dyDescent="0.25">
      <c r="AD3824"/>
    </row>
    <row r="3825" spans="30:30" x14ac:dyDescent="0.25">
      <c r="AD3825"/>
    </row>
    <row r="3826" spans="30:30" x14ac:dyDescent="0.25">
      <c r="AD3826"/>
    </row>
    <row r="3827" spans="30:30" x14ac:dyDescent="0.25">
      <c r="AD3827"/>
    </row>
    <row r="3828" spans="30:30" x14ac:dyDescent="0.25">
      <c r="AD3828"/>
    </row>
    <row r="3829" spans="30:30" x14ac:dyDescent="0.25">
      <c r="AD3829"/>
    </row>
    <row r="3830" spans="30:30" x14ac:dyDescent="0.25">
      <c r="AD3830"/>
    </row>
    <row r="3831" spans="30:30" x14ac:dyDescent="0.25">
      <c r="AD3831"/>
    </row>
    <row r="3832" spans="30:30" x14ac:dyDescent="0.25">
      <c r="AD3832"/>
    </row>
    <row r="3833" spans="30:30" x14ac:dyDescent="0.25">
      <c r="AD3833"/>
    </row>
    <row r="3834" spans="30:30" x14ac:dyDescent="0.25">
      <c r="AD3834"/>
    </row>
    <row r="3835" spans="30:30" x14ac:dyDescent="0.25">
      <c r="AD3835"/>
    </row>
    <row r="3836" spans="30:30" x14ac:dyDescent="0.25">
      <c r="AD3836"/>
    </row>
    <row r="3837" spans="30:30" x14ac:dyDescent="0.25">
      <c r="AD3837"/>
    </row>
    <row r="3838" spans="30:30" x14ac:dyDescent="0.25">
      <c r="AD3838"/>
    </row>
    <row r="3839" spans="30:30" x14ac:dyDescent="0.25">
      <c r="AD3839"/>
    </row>
    <row r="3840" spans="30:30" x14ac:dyDescent="0.25">
      <c r="AD3840"/>
    </row>
    <row r="3841" spans="30:30" x14ac:dyDescent="0.25">
      <c r="AD3841"/>
    </row>
    <row r="3842" spans="30:30" x14ac:dyDescent="0.25">
      <c r="AD3842"/>
    </row>
    <row r="3843" spans="30:30" x14ac:dyDescent="0.25">
      <c r="AD3843"/>
    </row>
    <row r="3844" spans="30:30" x14ac:dyDescent="0.25">
      <c r="AD3844"/>
    </row>
    <row r="3845" spans="30:30" x14ac:dyDescent="0.25">
      <c r="AD3845"/>
    </row>
    <row r="3846" spans="30:30" x14ac:dyDescent="0.25">
      <c r="AD3846"/>
    </row>
    <row r="3847" spans="30:30" x14ac:dyDescent="0.25">
      <c r="AD3847"/>
    </row>
    <row r="3848" spans="30:30" x14ac:dyDescent="0.25">
      <c r="AD3848"/>
    </row>
    <row r="3849" spans="30:30" x14ac:dyDescent="0.25">
      <c r="AD3849"/>
    </row>
    <row r="3850" spans="30:30" x14ac:dyDescent="0.25">
      <c r="AD3850"/>
    </row>
    <row r="3851" spans="30:30" x14ac:dyDescent="0.25">
      <c r="AD3851"/>
    </row>
    <row r="3852" spans="30:30" x14ac:dyDescent="0.25">
      <c r="AD3852"/>
    </row>
    <row r="3853" spans="30:30" x14ac:dyDescent="0.25">
      <c r="AD3853"/>
    </row>
    <row r="3854" spans="30:30" x14ac:dyDescent="0.25">
      <c r="AD3854"/>
    </row>
    <row r="3855" spans="30:30" x14ac:dyDescent="0.25">
      <c r="AD3855"/>
    </row>
    <row r="3856" spans="30:30" x14ac:dyDescent="0.25">
      <c r="AD3856"/>
    </row>
    <row r="3857" spans="30:30" x14ac:dyDescent="0.25">
      <c r="AD3857"/>
    </row>
    <row r="3858" spans="30:30" x14ac:dyDescent="0.25">
      <c r="AD3858"/>
    </row>
    <row r="3859" spans="30:30" x14ac:dyDescent="0.25">
      <c r="AD3859"/>
    </row>
    <row r="3860" spans="30:30" x14ac:dyDescent="0.25">
      <c r="AD3860"/>
    </row>
    <row r="3861" spans="30:30" x14ac:dyDescent="0.25">
      <c r="AD3861"/>
    </row>
    <row r="3862" spans="30:30" x14ac:dyDescent="0.25">
      <c r="AD3862"/>
    </row>
    <row r="3863" spans="30:30" x14ac:dyDescent="0.25">
      <c r="AD3863"/>
    </row>
    <row r="3864" spans="30:30" x14ac:dyDescent="0.25">
      <c r="AD3864"/>
    </row>
    <row r="3865" spans="30:30" x14ac:dyDescent="0.25">
      <c r="AD3865"/>
    </row>
    <row r="3866" spans="30:30" x14ac:dyDescent="0.25">
      <c r="AD3866"/>
    </row>
    <row r="3867" spans="30:30" x14ac:dyDescent="0.25">
      <c r="AD3867"/>
    </row>
    <row r="3868" spans="30:30" x14ac:dyDescent="0.25">
      <c r="AD3868"/>
    </row>
    <row r="3869" spans="30:30" x14ac:dyDescent="0.25">
      <c r="AD3869"/>
    </row>
    <row r="3870" spans="30:30" x14ac:dyDescent="0.25">
      <c r="AD3870"/>
    </row>
    <row r="3871" spans="30:30" x14ac:dyDescent="0.25">
      <c r="AD3871"/>
    </row>
    <row r="3872" spans="30:30" x14ac:dyDescent="0.25">
      <c r="AD3872"/>
    </row>
    <row r="3873" spans="30:30" x14ac:dyDescent="0.25">
      <c r="AD3873"/>
    </row>
    <row r="3874" spans="30:30" x14ac:dyDescent="0.25">
      <c r="AD3874"/>
    </row>
    <row r="3875" spans="30:30" x14ac:dyDescent="0.25">
      <c r="AD3875"/>
    </row>
    <row r="3876" spans="30:30" x14ac:dyDescent="0.25">
      <c r="AD3876"/>
    </row>
    <row r="3877" spans="30:30" x14ac:dyDescent="0.25">
      <c r="AD3877"/>
    </row>
    <row r="3878" spans="30:30" x14ac:dyDescent="0.25">
      <c r="AD3878"/>
    </row>
    <row r="3879" spans="30:30" x14ac:dyDescent="0.25">
      <c r="AD3879"/>
    </row>
    <row r="3880" spans="30:30" x14ac:dyDescent="0.25">
      <c r="AD3880"/>
    </row>
    <row r="3881" spans="30:30" x14ac:dyDescent="0.25">
      <c r="AD3881"/>
    </row>
    <row r="3882" spans="30:30" x14ac:dyDescent="0.25">
      <c r="AD3882"/>
    </row>
    <row r="3883" spans="30:30" x14ac:dyDescent="0.25">
      <c r="AD3883"/>
    </row>
    <row r="3884" spans="30:30" x14ac:dyDescent="0.25">
      <c r="AD3884"/>
    </row>
    <row r="3885" spans="30:30" x14ac:dyDescent="0.25">
      <c r="AD3885"/>
    </row>
    <row r="3886" spans="30:30" x14ac:dyDescent="0.25">
      <c r="AD3886"/>
    </row>
    <row r="3887" spans="30:30" x14ac:dyDescent="0.25">
      <c r="AD3887"/>
    </row>
    <row r="3888" spans="30:30" x14ac:dyDescent="0.25">
      <c r="AD3888"/>
    </row>
    <row r="3889" spans="30:30" x14ac:dyDescent="0.25">
      <c r="AD3889"/>
    </row>
    <row r="3890" spans="30:30" x14ac:dyDescent="0.25">
      <c r="AD3890"/>
    </row>
    <row r="3891" spans="30:30" x14ac:dyDescent="0.25">
      <c r="AD3891"/>
    </row>
    <row r="3892" spans="30:30" x14ac:dyDescent="0.25">
      <c r="AD3892"/>
    </row>
    <row r="3893" spans="30:30" x14ac:dyDescent="0.25">
      <c r="AD3893"/>
    </row>
    <row r="3894" spans="30:30" x14ac:dyDescent="0.25">
      <c r="AD3894"/>
    </row>
    <row r="3895" spans="30:30" x14ac:dyDescent="0.25">
      <c r="AD3895"/>
    </row>
    <row r="3896" spans="30:30" x14ac:dyDescent="0.25">
      <c r="AD3896"/>
    </row>
    <row r="3897" spans="30:30" x14ac:dyDescent="0.25">
      <c r="AD3897"/>
    </row>
    <row r="3898" spans="30:30" x14ac:dyDescent="0.25">
      <c r="AD3898"/>
    </row>
    <row r="3899" spans="30:30" x14ac:dyDescent="0.25">
      <c r="AD3899"/>
    </row>
    <row r="3900" spans="30:30" x14ac:dyDescent="0.25">
      <c r="AD3900"/>
    </row>
    <row r="3901" spans="30:30" x14ac:dyDescent="0.25">
      <c r="AD3901"/>
    </row>
    <row r="3902" spans="30:30" x14ac:dyDescent="0.25">
      <c r="AD3902"/>
    </row>
    <row r="3903" spans="30:30" x14ac:dyDescent="0.25">
      <c r="AD3903"/>
    </row>
    <row r="3904" spans="30:30" x14ac:dyDescent="0.25">
      <c r="AD3904"/>
    </row>
    <row r="3905" spans="30:30" x14ac:dyDescent="0.25">
      <c r="AD3905"/>
    </row>
    <row r="3906" spans="30:30" x14ac:dyDescent="0.25">
      <c r="AD3906"/>
    </row>
    <row r="3907" spans="30:30" x14ac:dyDescent="0.25">
      <c r="AD3907"/>
    </row>
    <row r="3908" spans="30:30" x14ac:dyDescent="0.25">
      <c r="AD3908"/>
    </row>
    <row r="3909" spans="30:30" x14ac:dyDescent="0.25">
      <c r="AD3909"/>
    </row>
    <row r="3910" spans="30:30" x14ac:dyDescent="0.25">
      <c r="AD3910"/>
    </row>
    <row r="3911" spans="30:30" x14ac:dyDescent="0.25">
      <c r="AD3911"/>
    </row>
    <row r="3912" spans="30:30" x14ac:dyDescent="0.25">
      <c r="AD3912"/>
    </row>
    <row r="3913" spans="30:30" x14ac:dyDescent="0.25">
      <c r="AD3913"/>
    </row>
    <row r="3914" spans="30:30" x14ac:dyDescent="0.25">
      <c r="AD3914"/>
    </row>
    <row r="3915" spans="30:30" x14ac:dyDescent="0.25">
      <c r="AD3915"/>
    </row>
    <row r="3916" spans="30:30" x14ac:dyDescent="0.25">
      <c r="AD3916"/>
    </row>
    <row r="3917" spans="30:30" x14ac:dyDescent="0.25">
      <c r="AD3917"/>
    </row>
    <row r="3918" spans="30:30" x14ac:dyDescent="0.25">
      <c r="AD3918"/>
    </row>
    <row r="3919" spans="30:30" x14ac:dyDescent="0.25">
      <c r="AD3919"/>
    </row>
    <row r="3920" spans="30:30" x14ac:dyDescent="0.25">
      <c r="AD3920"/>
    </row>
    <row r="3921" spans="30:30" x14ac:dyDescent="0.25">
      <c r="AD3921"/>
    </row>
    <row r="3922" spans="30:30" x14ac:dyDescent="0.25">
      <c r="AD3922"/>
    </row>
    <row r="3923" spans="30:30" x14ac:dyDescent="0.25">
      <c r="AD3923"/>
    </row>
    <row r="3924" spans="30:30" x14ac:dyDescent="0.25">
      <c r="AD3924"/>
    </row>
    <row r="3925" spans="30:30" x14ac:dyDescent="0.25">
      <c r="AD3925"/>
    </row>
    <row r="3926" spans="30:30" x14ac:dyDescent="0.25">
      <c r="AD3926"/>
    </row>
    <row r="3927" spans="30:30" x14ac:dyDescent="0.25">
      <c r="AD3927"/>
    </row>
    <row r="3928" spans="30:30" x14ac:dyDescent="0.25">
      <c r="AD3928"/>
    </row>
    <row r="3929" spans="30:30" x14ac:dyDescent="0.25">
      <c r="AD3929"/>
    </row>
    <row r="3930" spans="30:30" x14ac:dyDescent="0.25">
      <c r="AD3930"/>
    </row>
    <row r="3931" spans="30:30" x14ac:dyDescent="0.25">
      <c r="AD3931"/>
    </row>
    <row r="3932" spans="30:30" x14ac:dyDescent="0.25">
      <c r="AD3932"/>
    </row>
    <row r="3933" spans="30:30" x14ac:dyDescent="0.25">
      <c r="AD3933"/>
    </row>
    <row r="3934" spans="30:30" x14ac:dyDescent="0.25">
      <c r="AD3934"/>
    </row>
    <row r="3935" spans="30:30" x14ac:dyDescent="0.25">
      <c r="AD3935"/>
    </row>
    <row r="3936" spans="30:30" x14ac:dyDescent="0.25">
      <c r="AD3936"/>
    </row>
    <row r="3937" spans="30:30" x14ac:dyDescent="0.25">
      <c r="AD3937"/>
    </row>
    <row r="3938" spans="30:30" x14ac:dyDescent="0.25">
      <c r="AD3938"/>
    </row>
    <row r="3939" spans="30:30" x14ac:dyDescent="0.25">
      <c r="AD3939"/>
    </row>
    <row r="3940" spans="30:30" x14ac:dyDescent="0.25">
      <c r="AD3940"/>
    </row>
    <row r="3941" spans="30:30" x14ac:dyDescent="0.25">
      <c r="AD3941"/>
    </row>
    <row r="3942" spans="30:30" x14ac:dyDescent="0.25">
      <c r="AD3942"/>
    </row>
    <row r="3943" spans="30:30" x14ac:dyDescent="0.25">
      <c r="AD3943"/>
    </row>
    <row r="3944" spans="30:30" x14ac:dyDescent="0.25">
      <c r="AD3944"/>
    </row>
    <row r="3945" spans="30:30" x14ac:dyDescent="0.25">
      <c r="AD3945"/>
    </row>
    <row r="3946" spans="30:30" x14ac:dyDescent="0.25">
      <c r="AD3946"/>
    </row>
    <row r="3947" spans="30:30" x14ac:dyDescent="0.25">
      <c r="AD3947"/>
    </row>
    <row r="3948" spans="30:30" x14ac:dyDescent="0.25">
      <c r="AD3948"/>
    </row>
    <row r="3949" spans="30:30" x14ac:dyDescent="0.25">
      <c r="AD3949"/>
    </row>
    <row r="3950" spans="30:30" x14ac:dyDescent="0.25">
      <c r="AD3950"/>
    </row>
    <row r="3951" spans="30:30" x14ac:dyDescent="0.25">
      <c r="AD3951"/>
    </row>
    <row r="3952" spans="30:30" x14ac:dyDescent="0.25">
      <c r="AD3952"/>
    </row>
    <row r="3953" spans="30:30" x14ac:dyDescent="0.25">
      <c r="AD3953"/>
    </row>
    <row r="3954" spans="30:30" x14ac:dyDescent="0.25">
      <c r="AD3954"/>
    </row>
    <row r="3955" spans="30:30" x14ac:dyDescent="0.25">
      <c r="AD3955"/>
    </row>
    <row r="3956" spans="30:30" x14ac:dyDescent="0.25">
      <c r="AD3956"/>
    </row>
    <row r="3957" spans="30:30" x14ac:dyDescent="0.25">
      <c r="AD3957"/>
    </row>
    <row r="3958" spans="30:30" x14ac:dyDescent="0.25">
      <c r="AD3958"/>
    </row>
    <row r="3959" spans="30:30" x14ac:dyDescent="0.25">
      <c r="AD3959"/>
    </row>
    <row r="3960" spans="30:30" x14ac:dyDescent="0.25">
      <c r="AD3960"/>
    </row>
    <row r="3961" spans="30:30" x14ac:dyDescent="0.25">
      <c r="AD3961"/>
    </row>
    <row r="3962" spans="30:30" x14ac:dyDescent="0.25">
      <c r="AD3962"/>
    </row>
    <row r="3963" spans="30:30" x14ac:dyDescent="0.25">
      <c r="AD3963"/>
    </row>
    <row r="3964" spans="30:30" x14ac:dyDescent="0.25">
      <c r="AD3964"/>
    </row>
    <row r="3965" spans="30:30" x14ac:dyDescent="0.25">
      <c r="AD3965"/>
    </row>
    <row r="3966" spans="30:30" x14ac:dyDescent="0.25">
      <c r="AD3966"/>
    </row>
    <row r="3967" spans="30:30" x14ac:dyDescent="0.25">
      <c r="AD3967"/>
    </row>
    <row r="3968" spans="30:30" x14ac:dyDescent="0.25">
      <c r="AD3968"/>
    </row>
    <row r="3969" spans="30:30" x14ac:dyDescent="0.25">
      <c r="AD3969"/>
    </row>
    <row r="3970" spans="30:30" x14ac:dyDescent="0.25">
      <c r="AD3970"/>
    </row>
    <row r="3971" spans="30:30" x14ac:dyDescent="0.25">
      <c r="AD3971"/>
    </row>
    <row r="3972" spans="30:30" x14ac:dyDescent="0.25">
      <c r="AD3972"/>
    </row>
    <row r="3973" spans="30:30" x14ac:dyDescent="0.25">
      <c r="AD3973"/>
    </row>
    <row r="3974" spans="30:30" x14ac:dyDescent="0.25">
      <c r="AD3974"/>
    </row>
    <row r="3975" spans="30:30" x14ac:dyDescent="0.25">
      <c r="AD3975"/>
    </row>
    <row r="3976" spans="30:30" x14ac:dyDescent="0.25">
      <c r="AD3976"/>
    </row>
    <row r="3977" spans="30:30" x14ac:dyDescent="0.25">
      <c r="AD3977"/>
    </row>
    <row r="3978" spans="30:30" x14ac:dyDescent="0.25">
      <c r="AD3978"/>
    </row>
    <row r="3979" spans="30:30" x14ac:dyDescent="0.25">
      <c r="AD3979"/>
    </row>
    <row r="3980" spans="30:30" x14ac:dyDescent="0.25">
      <c r="AD3980"/>
    </row>
    <row r="3981" spans="30:30" x14ac:dyDescent="0.25">
      <c r="AD3981"/>
    </row>
    <row r="3982" spans="30:30" x14ac:dyDescent="0.25">
      <c r="AD3982"/>
    </row>
    <row r="3983" spans="30:30" x14ac:dyDescent="0.25">
      <c r="AD3983"/>
    </row>
    <row r="3984" spans="30:30" x14ac:dyDescent="0.25">
      <c r="AD3984"/>
    </row>
    <row r="3985" spans="30:30" x14ac:dyDescent="0.25">
      <c r="AD3985"/>
    </row>
    <row r="3986" spans="30:30" x14ac:dyDescent="0.25">
      <c r="AD3986"/>
    </row>
    <row r="3987" spans="30:30" x14ac:dyDescent="0.25">
      <c r="AD3987"/>
    </row>
    <row r="3988" spans="30:30" x14ac:dyDescent="0.25">
      <c r="AD3988"/>
    </row>
    <row r="3989" spans="30:30" x14ac:dyDescent="0.25">
      <c r="AD3989"/>
    </row>
    <row r="3990" spans="30:30" x14ac:dyDescent="0.25">
      <c r="AD3990"/>
    </row>
    <row r="3991" spans="30:30" x14ac:dyDescent="0.25">
      <c r="AD3991"/>
    </row>
    <row r="3992" spans="30:30" x14ac:dyDescent="0.25">
      <c r="AD3992"/>
    </row>
    <row r="3993" spans="30:30" x14ac:dyDescent="0.25">
      <c r="AD3993"/>
    </row>
    <row r="3994" spans="30:30" x14ac:dyDescent="0.25">
      <c r="AD3994"/>
    </row>
    <row r="3995" spans="30:30" x14ac:dyDescent="0.25">
      <c r="AD3995"/>
    </row>
    <row r="3996" spans="30:30" x14ac:dyDescent="0.25">
      <c r="AD3996"/>
    </row>
    <row r="3997" spans="30:30" x14ac:dyDescent="0.25">
      <c r="AD3997"/>
    </row>
    <row r="3998" spans="30:30" x14ac:dyDescent="0.25">
      <c r="AD3998"/>
    </row>
    <row r="3999" spans="30:30" x14ac:dyDescent="0.25">
      <c r="AD3999"/>
    </row>
    <row r="4000" spans="30:30" x14ac:dyDescent="0.25">
      <c r="AD4000"/>
    </row>
    <row r="4001" spans="30:30" x14ac:dyDescent="0.25">
      <c r="AD4001"/>
    </row>
    <row r="4002" spans="30:30" x14ac:dyDescent="0.25">
      <c r="AD4002"/>
    </row>
    <row r="4003" spans="30:30" x14ac:dyDescent="0.25">
      <c r="AD4003"/>
    </row>
    <row r="4004" spans="30:30" x14ac:dyDescent="0.25">
      <c r="AD4004"/>
    </row>
    <row r="4005" spans="30:30" x14ac:dyDescent="0.25">
      <c r="AD4005"/>
    </row>
    <row r="4006" spans="30:30" x14ac:dyDescent="0.25">
      <c r="AD4006"/>
    </row>
    <row r="4007" spans="30:30" x14ac:dyDescent="0.25">
      <c r="AD4007"/>
    </row>
    <row r="4008" spans="30:30" x14ac:dyDescent="0.25">
      <c r="AD4008"/>
    </row>
    <row r="4009" spans="30:30" x14ac:dyDescent="0.25">
      <c r="AD4009"/>
    </row>
    <row r="4010" spans="30:30" x14ac:dyDescent="0.25">
      <c r="AD4010"/>
    </row>
    <row r="4011" spans="30:30" x14ac:dyDescent="0.25">
      <c r="AD4011"/>
    </row>
    <row r="4012" spans="30:30" x14ac:dyDescent="0.25">
      <c r="AD4012"/>
    </row>
    <row r="4013" spans="30:30" x14ac:dyDescent="0.25">
      <c r="AD4013"/>
    </row>
    <row r="4014" spans="30:30" x14ac:dyDescent="0.25">
      <c r="AD4014"/>
    </row>
    <row r="4015" spans="30:30" x14ac:dyDescent="0.25">
      <c r="AD4015"/>
    </row>
    <row r="4016" spans="30:30" x14ac:dyDescent="0.25">
      <c r="AD4016"/>
    </row>
    <row r="4017" spans="30:30" x14ac:dyDescent="0.25">
      <c r="AD4017"/>
    </row>
    <row r="4018" spans="30:30" x14ac:dyDescent="0.25">
      <c r="AD4018"/>
    </row>
    <row r="4019" spans="30:30" x14ac:dyDescent="0.25">
      <c r="AD4019"/>
    </row>
    <row r="4020" spans="30:30" x14ac:dyDescent="0.25">
      <c r="AD4020"/>
    </row>
    <row r="4021" spans="30:30" x14ac:dyDescent="0.25">
      <c r="AD4021"/>
    </row>
    <row r="4022" spans="30:30" x14ac:dyDescent="0.25">
      <c r="AD4022"/>
    </row>
    <row r="4023" spans="30:30" x14ac:dyDescent="0.25">
      <c r="AD4023"/>
    </row>
    <row r="4024" spans="30:30" x14ac:dyDescent="0.25">
      <c r="AD4024"/>
    </row>
    <row r="4025" spans="30:30" x14ac:dyDescent="0.25">
      <c r="AD4025"/>
    </row>
    <row r="4026" spans="30:30" x14ac:dyDescent="0.25">
      <c r="AD4026"/>
    </row>
    <row r="4027" spans="30:30" x14ac:dyDescent="0.25">
      <c r="AD4027"/>
    </row>
    <row r="4028" spans="30:30" x14ac:dyDescent="0.25">
      <c r="AD4028"/>
    </row>
    <row r="4029" spans="30:30" x14ac:dyDescent="0.25">
      <c r="AD4029"/>
    </row>
    <row r="4030" spans="30:30" x14ac:dyDescent="0.25">
      <c r="AD4030"/>
    </row>
    <row r="4031" spans="30:30" x14ac:dyDescent="0.25">
      <c r="AD4031"/>
    </row>
    <row r="4032" spans="30:30" x14ac:dyDescent="0.25">
      <c r="AD4032"/>
    </row>
    <row r="4033" spans="30:30" x14ac:dyDescent="0.25">
      <c r="AD4033"/>
    </row>
    <row r="4034" spans="30:30" x14ac:dyDescent="0.25">
      <c r="AD4034"/>
    </row>
    <row r="4035" spans="30:30" x14ac:dyDescent="0.25">
      <c r="AD4035"/>
    </row>
    <row r="4036" spans="30:30" x14ac:dyDescent="0.25">
      <c r="AD4036"/>
    </row>
    <row r="4037" spans="30:30" x14ac:dyDescent="0.25">
      <c r="AD4037"/>
    </row>
    <row r="4038" spans="30:30" x14ac:dyDescent="0.25">
      <c r="AD4038"/>
    </row>
    <row r="4039" spans="30:30" x14ac:dyDescent="0.25">
      <c r="AD4039"/>
    </row>
    <row r="4040" spans="30:30" x14ac:dyDescent="0.25">
      <c r="AD4040"/>
    </row>
    <row r="4041" spans="30:30" x14ac:dyDescent="0.25">
      <c r="AD4041"/>
    </row>
    <row r="4042" spans="30:30" x14ac:dyDescent="0.25">
      <c r="AD4042"/>
    </row>
    <row r="4043" spans="30:30" x14ac:dyDescent="0.25">
      <c r="AD4043"/>
    </row>
    <row r="4044" spans="30:30" x14ac:dyDescent="0.25">
      <c r="AD4044"/>
    </row>
    <row r="4045" spans="30:30" x14ac:dyDescent="0.25">
      <c r="AD4045"/>
    </row>
    <row r="4046" spans="30:30" x14ac:dyDescent="0.25">
      <c r="AD4046"/>
    </row>
    <row r="4047" spans="30:30" x14ac:dyDescent="0.25">
      <c r="AD4047"/>
    </row>
    <row r="4048" spans="30:30" x14ac:dyDescent="0.25">
      <c r="AD4048"/>
    </row>
    <row r="4049" spans="30:30" x14ac:dyDescent="0.25">
      <c r="AD4049"/>
    </row>
    <row r="4050" spans="30:30" x14ac:dyDescent="0.25">
      <c r="AD4050"/>
    </row>
    <row r="4051" spans="30:30" x14ac:dyDescent="0.25">
      <c r="AD4051"/>
    </row>
    <row r="4052" spans="30:30" x14ac:dyDescent="0.25">
      <c r="AD4052"/>
    </row>
    <row r="4053" spans="30:30" x14ac:dyDescent="0.25">
      <c r="AD4053"/>
    </row>
    <row r="4054" spans="30:30" x14ac:dyDescent="0.25">
      <c r="AD4054"/>
    </row>
    <row r="4055" spans="30:30" x14ac:dyDescent="0.25">
      <c r="AD4055"/>
    </row>
    <row r="4056" spans="30:30" x14ac:dyDescent="0.25">
      <c r="AD4056"/>
    </row>
    <row r="4057" spans="30:30" x14ac:dyDescent="0.25">
      <c r="AD4057"/>
    </row>
    <row r="4058" spans="30:30" x14ac:dyDescent="0.25">
      <c r="AD4058"/>
    </row>
    <row r="4059" spans="30:30" x14ac:dyDescent="0.25">
      <c r="AD4059"/>
    </row>
    <row r="4060" spans="30:30" x14ac:dyDescent="0.25">
      <c r="AD4060"/>
    </row>
    <row r="4061" spans="30:30" x14ac:dyDescent="0.25">
      <c r="AD4061"/>
    </row>
    <row r="4062" spans="30:30" x14ac:dyDescent="0.25">
      <c r="AD4062"/>
    </row>
    <row r="4063" spans="30:30" x14ac:dyDescent="0.25">
      <c r="AD4063"/>
    </row>
    <row r="4064" spans="30:30" x14ac:dyDescent="0.25">
      <c r="AD4064"/>
    </row>
    <row r="4065" spans="30:30" x14ac:dyDescent="0.25">
      <c r="AD4065"/>
    </row>
    <row r="4066" spans="30:30" x14ac:dyDescent="0.25">
      <c r="AD4066"/>
    </row>
    <row r="4067" spans="30:30" x14ac:dyDescent="0.25">
      <c r="AD4067"/>
    </row>
    <row r="4068" spans="30:30" x14ac:dyDescent="0.25">
      <c r="AD4068"/>
    </row>
    <row r="4069" spans="30:30" x14ac:dyDescent="0.25">
      <c r="AD4069"/>
    </row>
    <row r="4070" spans="30:30" x14ac:dyDescent="0.25">
      <c r="AD4070"/>
    </row>
    <row r="4071" spans="30:30" x14ac:dyDescent="0.25">
      <c r="AD4071"/>
    </row>
    <row r="4072" spans="30:30" x14ac:dyDescent="0.25">
      <c r="AD4072"/>
    </row>
    <row r="4073" spans="30:30" x14ac:dyDescent="0.25">
      <c r="AD4073"/>
    </row>
    <row r="4074" spans="30:30" x14ac:dyDescent="0.25">
      <c r="AD4074"/>
    </row>
    <row r="4075" spans="30:30" x14ac:dyDescent="0.25">
      <c r="AD4075"/>
    </row>
    <row r="4076" spans="30:30" x14ac:dyDescent="0.25">
      <c r="AD4076"/>
    </row>
    <row r="4077" spans="30:30" x14ac:dyDescent="0.25">
      <c r="AD4077"/>
    </row>
    <row r="4078" spans="30:30" x14ac:dyDescent="0.25">
      <c r="AD4078"/>
    </row>
    <row r="4079" spans="30:30" x14ac:dyDescent="0.25">
      <c r="AD4079"/>
    </row>
    <row r="4080" spans="30:30" x14ac:dyDescent="0.25">
      <c r="AD4080"/>
    </row>
    <row r="4081" spans="30:30" x14ac:dyDescent="0.25">
      <c r="AD4081"/>
    </row>
    <row r="4082" spans="30:30" x14ac:dyDescent="0.25">
      <c r="AD4082"/>
    </row>
    <row r="4083" spans="30:30" x14ac:dyDescent="0.25">
      <c r="AD4083"/>
    </row>
    <row r="4084" spans="30:30" x14ac:dyDescent="0.25">
      <c r="AD4084"/>
    </row>
    <row r="4085" spans="30:30" x14ac:dyDescent="0.25">
      <c r="AD4085"/>
    </row>
    <row r="4086" spans="30:30" x14ac:dyDescent="0.25">
      <c r="AD4086"/>
    </row>
    <row r="4087" spans="30:30" x14ac:dyDescent="0.25">
      <c r="AD4087"/>
    </row>
    <row r="4088" spans="30:30" x14ac:dyDescent="0.25">
      <c r="AD4088"/>
    </row>
    <row r="4089" spans="30:30" x14ac:dyDescent="0.25">
      <c r="AD4089"/>
    </row>
    <row r="4090" spans="30:30" x14ac:dyDescent="0.25">
      <c r="AD4090"/>
    </row>
    <row r="4091" spans="30:30" x14ac:dyDescent="0.25">
      <c r="AD4091"/>
    </row>
    <row r="4092" spans="30:30" x14ac:dyDescent="0.25">
      <c r="AD4092"/>
    </row>
    <row r="4093" spans="30:30" x14ac:dyDescent="0.25">
      <c r="AD4093"/>
    </row>
    <row r="4094" spans="30:30" x14ac:dyDescent="0.25">
      <c r="AD4094"/>
    </row>
    <row r="4095" spans="30:30" x14ac:dyDescent="0.25">
      <c r="AD4095"/>
    </row>
    <row r="4096" spans="30:30" x14ac:dyDescent="0.25">
      <c r="AD4096"/>
    </row>
    <row r="4097" spans="30:30" x14ac:dyDescent="0.25">
      <c r="AD4097"/>
    </row>
    <row r="4098" spans="30:30" x14ac:dyDescent="0.25">
      <c r="AD4098"/>
    </row>
    <row r="4099" spans="30:30" x14ac:dyDescent="0.25">
      <c r="AD4099"/>
    </row>
    <row r="4100" spans="30:30" x14ac:dyDescent="0.25">
      <c r="AD4100"/>
    </row>
    <row r="4101" spans="30:30" x14ac:dyDescent="0.25">
      <c r="AD4101"/>
    </row>
    <row r="4102" spans="30:30" x14ac:dyDescent="0.25">
      <c r="AD4102"/>
    </row>
    <row r="4103" spans="30:30" x14ac:dyDescent="0.25">
      <c r="AD4103"/>
    </row>
    <row r="4104" spans="30:30" x14ac:dyDescent="0.25">
      <c r="AD4104"/>
    </row>
    <row r="4105" spans="30:30" x14ac:dyDescent="0.25">
      <c r="AD4105"/>
    </row>
    <row r="4106" spans="30:30" x14ac:dyDescent="0.25">
      <c r="AD4106"/>
    </row>
    <row r="4107" spans="30:30" x14ac:dyDescent="0.25">
      <c r="AD4107"/>
    </row>
    <row r="4108" spans="30:30" x14ac:dyDescent="0.25">
      <c r="AD4108"/>
    </row>
    <row r="4109" spans="30:30" x14ac:dyDescent="0.25">
      <c r="AD4109"/>
    </row>
    <row r="4110" spans="30:30" x14ac:dyDescent="0.25">
      <c r="AD4110"/>
    </row>
    <row r="4111" spans="30:30" x14ac:dyDescent="0.25">
      <c r="AD4111"/>
    </row>
    <row r="4112" spans="30:30" x14ac:dyDescent="0.25">
      <c r="AD4112"/>
    </row>
    <row r="4113" spans="30:30" x14ac:dyDescent="0.25">
      <c r="AD4113"/>
    </row>
    <row r="4114" spans="30:30" x14ac:dyDescent="0.25">
      <c r="AD4114"/>
    </row>
    <row r="4115" spans="30:30" x14ac:dyDescent="0.25">
      <c r="AD4115"/>
    </row>
    <row r="4116" spans="30:30" x14ac:dyDescent="0.25">
      <c r="AD4116"/>
    </row>
    <row r="4117" spans="30:30" x14ac:dyDescent="0.25">
      <c r="AD4117"/>
    </row>
    <row r="4118" spans="30:30" x14ac:dyDescent="0.25">
      <c r="AD4118"/>
    </row>
    <row r="4119" spans="30:30" x14ac:dyDescent="0.25">
      <c r="AD4119"/>
    </row>
    <row r="4120" spans="30:30" x14ac:dyDescent="0.25">
      <c r="AD4120"/>
    </row>
    <row r="4121" spans="30:30" x14ac:dyDescent="0.25">
      <c r="AD4121"/>
    </row>
    <row r="4122" spans="30:30" x14ac:dyDescent="0.25">
      <c r="AD4122"/>
    </row>
    <row r="4123" spans="30:30" x14ac:dyDescent="0.25">
      <c r="AD4123"/>
    </row>
    <row r="4124" spans="30:30" x14ac:dyDescent="0.25">
      <c r="AD4124"/>
    </row>
    <row r="4125" spans="30:30" x14ac:dyDescent="0.25">
      <c r="AD4125"/>
    </row>
    <row r="4126" spans="30:30" x14ac:dyDescent="0.25">
      <c r="AD4126"/>
    </row>
    <row r="4127" spans="30:30" x14ac:dyDescent="0.25">
      <c r="AD4127"/>
    </row>
    <row r="4128" spans="30:30" x14ac:dyDescent="0.25">
      <c r="AD4128"/>
    </row>
    <row r="4129" spans="30:30" x14ac:dyDescent="0.25">
      <c r="AD4129"/>
    </row>
    <row r="4130" spans="30:30" x14ac:dyDescent="0.25">
      <c r="AD4130"/>
    </row>
    <row r="4131" spans="30:30" x14ac:dyDescent="0.25">
      <c r="AD4131"/>
    </row>
    <row r="4132" spans="30:30" x14ac:dyDescent="0.25">
      <c r="AD4132"/>
    </row>
    <row r="4133" spans="30:30" x14ac:dyDescent="0.25">
      <c r="AD4133"/>
    </row>
    <row r="4134" spans="30:30" x14ac:dyDescent="0.25">
      <c r="AD4134"/>
    </row>
    <row r="4135" spans="30:30" x14ac:dyDescent="0.25">
      <c r="AD4135"/>
    </row>
    <row r="4136" spans="30:30" x14ac:dyDescent="0.25">
      <c r="AD4136"/>
    </row>
    <row r="4137" spans="30:30" x14ac:dyDescent="0.25">
      <c r="AD4137"/>
    </row>
    <row r="4138" spans="30:30" x14ac:dyDescent="0.25">
      <c r="AD4138"/>
    </row>
    <row r="4139" spans="30:30" x14ac:dyDescent="0.25">
      <c r="AD4139"/>
    </row>
    <row r="4140" spans="30:30" x14ac:dyDescent="0.25">
      <c r="AD4140"/>
    </row>
    <row r="4141" spans="30:30" x14ac:dyDescent="0.25">
      <c r="AD4141"/>
    </row>
    <row r="4142" spans="30:30" x14ac:dyDescent="0.25">
      <c r="AD4142"/>
    </row>
    <row r="4143" spans="30:30" x14ac:dyDescent="0.25">
      <c r="AD4143"/>
    </row>
    <row r="4144" spans="30:30" x14ac:dyDescent="0.25">
      <c r="AD4144"/>
    </row>
    <row r="4145" spans="30:30" x14ac:dyDescent="0.25">
      <c r="AD4145"/>
    </row>
    <row r="4146" spans="30:30" x14ac:dyDescent="0.25">
      <c r="AD4146"/>
    </row>
    <row r="4147" spans="30:30" x14ac:dyDescent="0.25">
      <c r="AD4147"/>
    </row>
    <row r="4148" spans="30:30" x14ac:dyDescent="0.25">
      <c r="AD4148"/>
    </row>
    <row r="4149" spans="30:30" x14ac:dyDescent="0.25">
      <c r="AD4149"/>
    </row>
    <row r="4150" spans="30:30" x14ac:dyDescent="0.25">
      <c r="AD4150"/>
    </row>
    <row r="4151" spans="30:30" x14ac:dyDescent="0.25">
      <c r="AD4151"/>
    </row>
    <row r="4152" spans="30:30" x14ac:dyDescent="0.25">
      <c r="AD4152"/>
    </row>
    <row r="4153" spans="30:30" x14ac:dyDescent="0.25">
      <c r="AD4153"/>
    </row>
    <row r="4154" spans="30:30" x14ac:dyDescent="0.25">
      <c r="AD4154"/>
    </row>
    <row r="4155" spans="30:30" x14ac:dyDescent="0.25">
      <c r="AD4155"/>
    </row>
    <row r="4156" spans="30:30" x14ac:dyDescent="0.25">
      <c r="AD4156"/>
    </row>
    <row r="4157" spans="30:30" x14ac:dyDescent="0.25">
      <c r="AD4157"/>
    </row>
    <row r="4158" spans="30:30" x14ac:dyDescent="0.25">
      <c r="AD4158"/>
    </row>
    <row r="4159" spans="30:30" x14ac:dyDescent="0.25">
      <c r="AD4159"/>
    </row>
    <row r="4160" spans="30:30" x14ac:dyDescent="0.25">
      <c r="AD4160"/>
    </row>
    <row r="4161" spans="30:30" x14ac:dyDescent="0.25">
      <c r="AD4161"/>
    </row>
    <row r="4162" spans="30:30" x14ac:dyDescent="0.25">
      <c r="AD4162"/>
    </row>
    <row r="4163" spans="30:30" x14ac:dyDescent="0.25">
      <c r="AD4163"/>
    </row>
    <row r="4164" spans="30:30" x14ac:dyDescent="0.25">
      <c r="AD4164"/>
    </row>
    <row r="4165" spans="30:30" x14ac:dyDescent="0.25">
      <c r="AD4165"/>
    </row>
    <row r="4166" spans="30:30" x14ac:dyDescent="0.25">
      <c r="AD4166"/>
    </row>
    <row r="4167" spans="30:30" x14ac:dyDescent="0.25">
      <c r="AD4167"/>
    </row>
    <row r="4168" spans="30:30" x14ac:dyDescent="0.25">
      <c r="AD4168"/>
    </row>
    <row r="4169" spans="30:30" x14ac:dyDescent="0.25">
      <c r="AD4169"/>
    </row>
    <row r="4170" spans="30:30" x14ac:dyDescent="0.25">
      <c r="AD4170"/>
    </row>
    <row r="4171" spans="30:30" x14ac:dyDescent="0.25">
      <c r="AD4171"/>
    </row>
    <row r="4172" spans="30:30" x14ac:dyDescent="0.25">
      <c r="AD4172"/>
    </row>
    <row r="4173" spans="30:30" x14ac:dyDescent="0.25">
      <c r="AD4173"/>
    </row>
    <row r="4174" spans="30:30" x14ac:dyDescent="0.25">
      <c r="AD4174"/>
    </row>
    <row r="4175" spans="30:30" x14ac:dyDescent="0.25">
      <c r="AD4175"/>
    </row>
    <row r="4176" spans="30:30" x14ac:dyDescent="0.25">
      <c r="AD4176"/>
    </row>
    <row r="4177" spans="30:30" x14ac:dyDescent="0.25">
      <c r="AD4177"/>
    </row>
    <row r="4178" spans="30:30" x14ac:dyDescent="0.25">
      <c r="AD4178"/>
    </row>
    <row r="4179" spans="30:30" x14ac:dyDescent="0.25">
      <c r="AD4179"/>
    </row>
    <row r="4180" spans="30:30" x14ac:dyDescent="0.25">
      <c r="AD4180"/>
    </row>
    <row r="4181" spans="30:30" x14ac:dyDescent="0.25">
      <c r="AD4181"/>
    </row>
    <row r="4182" spans="30:30" x14ac:dyDescent="0.25">
      <c r="AD4182"/>
    </row>
    <row r="4183" spans="30:30" x14ac:dyDescent="0.25">
      <c r="AD4183"/>
    </row>
    <row r="4184" spans="30:30" x14ac:dyDescent="0.25">
      <c r="AD4184"/>
    </row>
    <row r="4185" spans="30:30" x14ac:dyDescent="0.25">
      <c r="AD4185"/>
    </row>
    <row r="4186" spans="30:30" x14ac:dyDescent="0.25">
      <c r="AD4186"/>
    </row>
    <row r="4187" spans="30:30" x14ac:dyDescent="0.25">
      <c r="AD4187"/>
    </row>
    <row r="4188" spans="30:30" x14ac:dyDescent="0.25">
      <c r="AD4188"/>
    </row>
    <row r="4189" spans="30:30" x14ac:dyDescent="0.25">
      <c r="AD4189"/>
    </row>
    <row r="4190" spans="30:30" x14ac:dyDescent="0.25">
      <c r="AD4190"/>
    </row>
    <row r="4191" spans="30:30" x14ac:dyDescent="0.25">
      <c r="AD4191"/>
    </row>
    <row r="4192" spans="30:30" x14ac:dyDescent="0.25">
      <c r="AD4192"/>
    </row>
    <row r="4193" spans="30:30" x14ac:dyDescent="0.25">
      <c r="AD4193"/>
    </row>
    <row r="4194" spans="30:30" x14ac:dyDescent="0.25">
      <c r="AD4194"/>
    </row>
    <row r="4195" spans="30:30" x14ac:dyDescent="0.25">
      <c r="AD4195"/>
    </row>
    <row r="4196" spans="30:30" x14ac:dyDescent="0.25">
      <c r="AD4196"/>
    </row>
    <row r="4197" spans="30:30" x14ac:dyDescent="0.25">
      <c r="AD4197"/>
    </row>
    <row r="4198" spans="30:30" x14ac:dyDescent="0.25">
      <c r="AD4198"/>
    </row>
    <row r="4199" spans="30:30" x14ac:dyDescent="0.25">
      <c r="AD4199"/>
    </row>
    <row r="4200" spans="30:30" x14ac:dyDescent="0.25">
      <c r="AD4200"/>
    </row>
    <row r="4201" spans="30:30" x14ac:dyDescent="0.25">
      <c r="AD4201"/>
    </row>
    <row r="4202" spans="30:30" x14ac:dyDescent="0.25">
      <c r="AD4202"/>
    </row>
    <row r="4203" spans="30:30" x14ac:dyDescent="0.25">
      <c r="AD4203"/>
    </row>
    <row r="4204" spans="30:30" x14ac:dyDescent="0.25">
      <c r="AD4204"/>
    </row>
    <row r="4205" spans="30:30" x14ac:dyDescent="0.25">
      <c r="AD4205"/>
    </row>
    <row r="4206" spans="30:30" x14ac:dyDescent="0.25">
      <c r="AD4206"/>
    </row>
    <row r="4207" spans="30:30" x14ac:dyDescent="0.25">
      <c r="AD4207"/>
    </row>
    <row r="4208" spans="30:30" x14ac:dyDescent="0.25">
      <c r="AD4208"/>
    </row>
    <row r="4209" spans="30:30" x14ac:dyDescent="0.25">
      <c r="AD4209"/>
    </row>
    <row r="4210" spans="30:30" x14ac:dyDescent="0.25">
      <c r="AD4210"/>
    </row>
    <row r="4211" spans="30:30" x14ac:dyDescent="0.25">
      <c r="AD4211"/>
    </row>
    <row r="4212" spans="30:30" x14ac:dyDescent="0.25">
      <c r="AD4212"/>
    </row>
    <row r="4213" spans="30:30" x14ac:dyDescent="0.25">
      <c r="AD4213"/>
    </row>
    <row r="4214" spans="30:30" x14ac:dyDescent="0.25">
      <c r="AD4214"/>
    </row>
    <row r="4215" spans="30:30" x14ac:dyDescent="0.25">
      <c r="AD4215"/>
    </row>
    <row r="4216" spans="30:30" x14ac:dyDescent="0.25">
      <c r="AD4216"/>
    </row>
    <row r="4217" spans="30:30" x14ac:dyDescent="0.25">
      <c r="AD4217"/>
    </row>
    <row r="4218" spans="30:30" x14ac:dyDescent="0.25">
      <c r="AD4218"/>
    </row>
    <row r="4219" spans="30:30" x14ac:dyDescent="0.25">
      <c r="AD4219"/>
    </row>
    <row r="4220" spans="30:30" x14ac:dyDescent="0.25">
      <c r="AD4220"/>
    </row>
    <row r="4221" spans="30:30" x14ac:dyDescent="0.25">
      <c r="AD4221"/>
    </row>
    <row r="4222" spans="30:30" x14ac:dyDescent="0.25">
      <c r="AD4222"/>
    </row>
    <row r="4223" spans="30:30" x14ac:dyDescent="0.25">
      <c r="AD4223"/>
    </row>
    <row r="4224" spans="30:30" x14ac:dyDescent="0.25">
      <c r="AD4224"/>
    </row>
    <row r="4225" spans="30:30" x14ac:dyDescent="0.25">
      <c r="AD4225"/>
    </row>
    <row r="4226" spans="30:30" x14ac:dyDescent="0.25">
      <c r="AD4226"/>
    </row>
    <row r="4227" spans="30:30" x14ac:dyDescent="0.25">
      <c r="AD4227"/>
    </row>
    <row r="4228" spans="30:30" x14ac:dyDescent="0.25">
      <c r="AD4228"/>
    </row>
    <row r="4229" spans="30:30" x14ac:dyDescent="0.25">
      <c r="AD4229"/>
    </row>
    <row r="4230" spans="30:30" x14ac:dyDescent="0.25">
      <c r="AD4230"/>
    </row>
    <row r="4231" spans="30:30" x14ac:dyDescent="0.25">
      <c r="AD4231"/>
    </row>
    <row r="4232" spans="30:30" x14ac:dyDescent="0.25">
      <c r="AD4232"/>
    </row>
    <row r="4233" spans="30:30" x14ac:dyDescent="0.25">
      <c r="AD4233"/>
    </row>
    <row r="4234" spans="30:30" x14ac:dyDescent="0.25">
      <c r="AD4234"/>
    </row>
    <row r="4235" spans="30:30" x14ac:dyDescent="0.25">
      <c r="AD4235"/>
    </row>
    <row r="4236" spans="30:30" x14ac:dyDescent="0.25">
      <c r="AD4236"/>
    </row>
    <row r="4237" spans="30:30" x14ac:dyDescent="0.25">
      <c r="AD4237"/>
    </row>
    <row r="4238" spans="30:30" x14ac:dyDescent="0.25">
      <c r="AD4238"/>
    </row>
    <row r="4239" spans="30:30" x14ac:dyDescent="0.25">
      <c r="AD4239"/>
    </row>
    <row r="4240" spans="30:30" x14ac:dyDescent="0.25">
      <c r="AD4240"/>
    </row>
    <row r="4241" spans="30:30" x14ac:dyDescent="0.25">
      <c r="AD4241"/>
    </row>
    <row r="4242" spans="30:30" x14ac:dyDescent="0.25">
      <c r="AD4242"/>
    </row>
    <row r="4243" spans="30:30" x14ac:dyDescent="0.25">
      <c r="AD4243"/>
    </row>
    <row r="4244" spans="30:30" x14ac:dyDescent="0.25">
      <c r="AD4244"/>
    </row>
    <row r="4245" spans="30:30" x14ac:dyDescent="0.25">
      <c r="AD4245"/>
    </row>
    <row r="4246" spans="30:30" x14ac:dyDescent="0.25">
      <c r="AD4246"/>
    </row>
    <row r="4247" spans="30:30" x14ac:dyDescent="0.25">
      <c r="AD4247"/>
    </row>
    <row r="4248" spans="30:30" x14ac:dyDescent="0.25">
      <c r="AD4248"/>
    </row>
    <row r="4249" spans="30:30" x14ac:dyDescent="0.25">
      <c r="AD4249"/>
    </row>
    <row r="4250" spans="30:30" x14ac:dyDescent="0.25">
      <c r="AD4250"/>
    </row>
    <row r="4251" spans="30:30" x14ac:dyDescent="0.25">
      <c r="AD4251"/>
    </row>
    <row r="4252" spans="30:30" x14ac:dyDescent="0.25">
      <c r="AD4252"/>
    </row>
    <row r="4253" spans="30:30" x14ac:dyDescent="0.25">
      <c r="AD4253"/>
    </row>
    <row r="4254" spans="30:30" x14ac:dyDescent="0.25">
      <c r="AD4254"/>
    </row>
    <row r="4255" spans="30:30" x14ac:dyDescent="0.25">
      <c r="AD4255"/>
    </row>
    <row r="4256" spans="30:30" x14ac:dyDescent="0.25">
      <c r="AD4256"/>
    </row>
    <row r="4257" spans="30:30" x14ac:dyDescent="0.25">
      <c r="AD4257"/>
    </row>
    <row r="4258" spans="30:30" x14ac:dyDescent="0.25">
      <c r="AD4258"/>
    </row>
    <row r="4259" spans="30:30" x14ac:dyDescent="0.25">
      <c r="AD4259"/>
    </row>
    <row r="4260" spans="30:30" x14ac:dyDescent="0.25">
      <c r="AD4260"/>
    </row>
    <row r="4261" spans="30:30" x14ac:dyDescent="0.25">
      <c r="AD4261"/>
    </row>
    <row r="4262" spans="30:30" x14ac:dyDescent="0.25">
      <c r="AD4262"/>
    </row>
    <row r="4263" spans="30:30" x14ac:dyDescent="0.25">
      <c r="AD4263"/>
    </row>
    <row r="4264" spans="30:30" x14ac:dyDescent="0.25">
      <c r="AD4264"/>
    </row>
    <row r="4265" spans="30:30" x14ac:dyDescent="0.25">
      <c r="AD4265"/>
    </row>
    <row r="4266" spans="30:30" x14ac:dyDescent="0.25">
      <c r="AD4266"/>
    </row>
    <row r="4267" spans="30:30" x14ac:dyDescent="0.25">
      <c r="AD4267"/>
    </row>
    <row r="4268" spans="30:30" x14ac:dyDescent="0.25">
      <c r="AD4268"/>
    </row>
    <row r="4269" spans="30:30" x14ac:dyDescent="0.25">
      <c r="AD4269"/>
    </row>
    <row r="4270" spans="30:30" x14ac:dyDescent="0.25">
      <c r="AD4270"/>
    </row>
    <row r="4271" spans="30:30" x14ac:dyDescent="0.25">
      <c r="AD4271"/>
    </row>
    <row r="4272" spans="30:30" x14ac:dyDescent="0.25">
      <c r="AD4272"/>
    </row>
    <row r="4273" spans="30:30" x14ac:dyDescent="0.25">
      <c r="AD4273"/>
    </row>
    <row r="4274" spans="30:30" x14ac:dyDescent="0.25">
      <c r="AD4274"/>
    </row>
    <row r="4275" spans="30:30" x14ac:dyDescent="0.25">
      <c r="AD4275"/>
    </row>
    <row r="4276" spans="30:30" x14ac:dyDescent="0.25">
      <c r="AD4276"/>
    </row>
    <row r="4277" spans="30:30" x14ac:dyDescent="0.25">
      <c r="AD4277"/>
    </row>
    <row r="4278" spans="30:30" x14ac:dyDescent="0.25">
      <c r="AD4278"/>
    </row>
    <row r="4279" spans="30:30" x14ac:dyDescent="0.25">
      <c r="AD4279"/>
    </row>
    <row r="4280" spans="30:30" x14ac:dyDescent="0.25">
      <c r="AD4280"/>
    </row>
    <row r="4281" spans="30:30" x14ac:dyDescent="0.25">
      <c r="AD4281"/>
    </row>
    <row r="4282" spans="30:30" x14ac:dyDescent="0.25">
      <c r="AD4282"/>
    </row>
    <row r="4283" spans="30:30" x14ac:dyDescent="0.25">
      <c r="AD4283"/>
    </row>
    <row r="4284" spans="30:30" x14ac:dyDescent="0.25">
      <c r="AD4284"/>
    </row>
    <row r="4285" spans="30:30" x14ac:dyDescent="0.25">
      <c r="AD4285"/>
    </row>
    <row r="4286" spans="30:30" x14ac:dyDescent="0.25">
      <c r="AD4286"/>
    </row>
    <row r="4287" spans="30:30" x14ac:dyDescent="0.25">
      <c r="AD4287"/>
    </row>
    <row r="4288" spans="30:30" x14ac:dyDescent="0.25">
      <c r="AD4288"/>
    </row>
    <row r="4289" spans="30:30" x14ac:dyDescent="0.25">
      <c r="AD4289"/>
    </row>
    <row r="4290" spans="30:30" x14ac:dyDescent="0.25">
      <c r="AD4290"/>
    </row>
    <row r="4291" spans="30:30" x14ac:dyDescent="0.25">
      <c r="AD4291"/>
    </row>
    <row r="4292" spans="30:30" x14ac:dyDescent="0.25">
      <c r="AD4292"/>
    </row>
    <row r="4293" spans="30:30" x14ac:dyDescent="0.25">
      <c r="AD4293"/>
    </row>
    <row r="4294" spans="30:30" x14ac:dyDescent="0.25">
      <c r="AD4294"/>
    </row>
    <row r="4295" spans="30:30" x14ac:dyDescent="0.25">
      <c r="AD4295"/>
    </row>
    <row r="4296" spans="30:30" x14ac:dyDescent="0.25">
      <c r="AD4296"/>
    </row>
    <row r="4297" spans="30:30" x14ac:dyDescent="0.25">
      <c r="AD4297"/>
    </row>
    <row r="4298" spans="30:30" x14ac:dyDescent="0.25">
      <c r="AD4298"/>
    </row>
    <row r="4299" spans="30:30" x14ac:dyDescent="0.25">
      <c r="AD4299"/>
    </row>
    <row r="4300" spans="30:30" x14ac:dyDescent="0.25">
      <c r="AD4300"/>
    </row>
    <row r="4301" spans="30:30" x14ac:dyDescent="0.25">
      <c r="AD4301"/>
    </row>
    <row r="4302" spans="30:30" x14ac:dyDescent="0.25">
      <c r="AD4302"/>
    </row>
    <row r="4303" spans="30:30" x14ac:dyDescent="0.25">
      <c r="AD4303"/>
    </row>
    <row r="4304" spans="30:30" x14ac:dyDescent="0.25">
      <c r="AD4304"/>
    </row>
    <row r="4305" spans="30:30" x14ac:dyDescent="0.25">
      <c r="AD4305"/>
    </row>
    <row r="4306" spans="30:30" x14ac:dyDescent="0.25">
      <c r="AD4306"/>
    </row>
    <row r="4307" spans="30:30" x14ac:dyDescent="0.25">
      <c r="AD4307"/>
    </row>
    <row r="4308" spans="30:30" x14ac:dyDescent="0.25">
      <c r="AD4308"/>
    </row>
    <row r="4309" spans="30:30" x14ac:dyDescent="0.25">
      <c r="AD4309"/>
    </row>
    <row r="4310" spans="30:30" x14ac:dyDescent="0.25">
      <c r="AD4310"/>
    </row>
    <row r="4311" spans="30:30" x14ac:dyDescent="0.25">
      <c r="AD4311"/>
    </row>
    <row r="4312" spans="30:30" x14ac:dyDescent="0.25">
      <c r="AD4312"/>
    </row>
    <row r="4313" spans="30:30" x14ac:dyDescent="0.25">
      <c r="AD4313"/>
    </row>
    <row r="4314" spans="30:30" x14ac:dyDescent="0.25">
      <c r="AD4314"/>
    </row>
    <row r="4315" spans="30:30" x14ac:dyDescent="0.25">
      <c r="AD4315"/>
    </row>
    <row r="4316" spans="30:30" x14ac:dyDescent="0.25">
      <c r="AD4316"/>
    </row>
    <row r="4317" spans="30:30" x14ac:dyDescent="0.25">
      <c r="AD4317"/>
    </row>
    <row r="4318" spans="30:30" x14ac:dyDescent="0.25">
      <c r="AD4318"/>
    </row>
    <row r="4319" spans="30:30" x14ac:dyDescent="0.25">
      <c r="AD4319"/>
    </row>
    <row r="4320" spans="30:30" x14ac:dyDescent="0.25">
      <c r="AD4320"/>
    </row>
    <row r="4321" spans="30:30" x14ac:dyDescent="0.25">
      <c r="AD4321"/>
    </row>
    <row r="4322" spans="30:30" x14ac:dyDescent="0.25">
      <c r="AD4322"/>
    </row>
    <row r="4323" spans="30:30" x14ac:dyDescent="0.25">
      <c r="AD4323"/>
    </row>
    <row r="4324" spans="30:30" x14ac:dyDescent="0.25">
      <c r="AD4324"/>
    </row>
    <row r="4325" spans="30:30" x14ac:dyDescent="0.25">
      <c r="AD4325"/>
    </row>
    <row r="4326" spans="30:30" x14ac:dyDescent="0.25">
      <c r="AD4326"/>
    </row>
    <row r="4327" spans="30:30" x14ac:dyDescent="0.25">
      <c r="AD4327"/>
    </row>
    <row r="4328" spans="30:30" x14ac:dyDescent="0.25">
      <c r="AD4328"/>
    </row>
    <row r="4329" spans="30:30" x14ac:dyDescent="0.25">
      <c r="AD4329"/>
    </row>
    <row r="4330" spans="30:30" x14ac:dyDescent="0.25">
      <c r="AD4330"/>
    </row>
    <row r="4331" spans="30:30" x14ac:dyDescent="0.25">
      <c r="AD4331"/>
    </row>
    <row r="4332" spans="30:30" x14ac:dyDescent="0.25">
      <c r="AD4332"/>
    </row>
    <row r="4333" spans="30:30" x14ac:dyDescent="0.25">
      <c r="AD4333"/>
    </row>
    <row r="4334" spans="30:30" x14ac:dyDescent="0.25">
      <c r="AD4334"/>
    </row>
    <row r="4335" spans="30:30" x14ac:dyDescent="0.25">
      <c r="AD4335"/>
    </row>
    <row r="4336" spans="30:30" x14ac:dyDescent="0.25">
      <c r="AD4336"/>
    </row>
    <row r="4337" spans="30:30" x14ac:dyDescent="0.25">
      <c r="AD4337"/>
    </row>
    <row r="4338" spans="30:30" x14ac:dyDescent="0.25">
      <c r="AD4338"/>
    </row>
    <row r="4339" spans="30:30" x14ac:dyDescent="0.25">
      <c r="AD4339"/>
    </row>
    <row r="4340" spans="30:30" x14ac:dyDescent="0.25">
      <c r="AD4340"/>
    </row>
    <row r="4341" spans="30:30" x14ac:dyDescent="0.25">
      <c r="AD4341"/>
    </row>
    <row r="4342" spans="30:30" x14ac:dyDescent="0.25">
      <c r="AD4342"/>
    </row>
    <row r="4343" spans="30:30" x14ac:dyDescent="0.25">
      <c r="AD4343"/>
    </row>
    <row r="4344" spans="30:30" x14ac:dyDescent="0.25">
      <c r="AD4344"/>
    </row>
    <row r="4345" spans="30:30" x14ac:dyDescent="0.25">
      <c r="AD4345"/>
    </row>
    <row r="4346" spans="30:30" x14ac:dyDescent="0.25">
      <c r="AD4346"/>
    </row>
    <row r="4347" spans="30:30" x14ac:dyDescent="0.25">
      <c r="AD4347"/>
    </row>
    <row r="4348" spans="30:30" x14ac:dyDescent="0.25">
      <c r="AD4348"/>
    </row>
    <row r="4349" spans="30:30" x14ac:dyDescent="0.25">
      <c r="AD4349"/>
    </row>
    <row r="4350" spans="30:30" x14ac:dyDescent="0.25">
      <c r="AD4350"/>
    </row>
    <row r="4351" spans="30:30" x14ac:dyDescent="0.25">
      <c r="AD4351"/>
    </row>
    <row r="4352" spans="30:30" x14ac:dyDescent="0.25">
      <c r="AD4352"/>
    </row>
    <row r="4353" spans="30:30" x14ac:dyDescent="0.25">
      <c r="AD4353"/>
    </row>
    <row r="4354" spans="30:30" x14ac:dyDescent="0.25">
      <c r="AD4354"/>
    </row>
    <row r="4355" spans="30:30" x14ac:dyDescent="0.25">
      <c r="AD4355"/>
    </row>
    <row r="4356" spans="30:30" x14ac:dyDescent="0.25">
      <c r="AD4356"/>
    </row>
    <row r="4357" spans="30:30" x14ac:dyDescent="0.25">
      <c r="AD4357"/>
    </row>
    <row r="4358" spans="30:30" x14ac:dyDescent="0.25">
      <c r="AD4358"/>
    </row>
    <row r="4359" spans="30:30" x14ac:dyDescent="0.25">
      <c r="AD4359"/>
    </row>
    <row r="4360" spans="30:30" x14ac:dyDescent="0.25">
      <c r="AD4360"/>
    </row>
    <row r="4361" spans="30:30" x14ac:dyDescent="0.25">
      <c r="AD4361"/>
    </row>
    <row r="4362" spans="30:30" x14ac:dyDescent="0.25">
      <c r="AD4362"/>
    </row>
    <row r="4363" spans="30:30" x14ac:dyDescent="0.25">
      <c r="AD4363"/>
    </row>
    <row r="4364" spans="30:30" x14ac:dyDescent="0.25">
      <c r="AD4364"/>
    </row>
    <row r="4365" spans="30:30" x14ac:dyDescent="0.25">
      <c r="AD4365"/>
    </row>
    <row r="4366" spans="30:30" x14ac:dyDescent="0.25">
      <c r="AD4366"/>
    </row>
    <row r="4367" spans="30:30" x14ac:dyDescent="0.25">
      <c r="AD4367"/>
    </row>
    <row r="4368" spans="30:30" x14ac:dyDescent="0.25">
      <c r="AD4368"/>
    </row>
    <row r="4369" spans="30:30" x14ac:dyDescent="0.25">
      <c r="AD4369"/>
    </row>
    <row r="4370" spans="30:30" x14ac:dyDescent="0.25">
      <c r="AD4370"/>
    </row>
    <row r="4371" spans="30:30" x14ac:dyDescent="0.25">
      <c r="AD4371"/>
    </row>
    <row r="4372" spans="30:30" x14ac:dyDescent="0.25">
      <c r="AD4372"/>
    </row>
    <row r="4373" spans="30:30" x14ac:dyDescent="0.25">
      <c r="AD4373"/>
    </row>
    <row r="4374" spans="30:30" x14ac:dyDescent="0.25">
      <c r="AD4374"/>
    </row>
    <row r="4375" spans="30:30" x14ac:dyDescent="0.25">
      <c r="AD4375"/>
    </row>
    <row r="4376" spans="30:30" x14ac:dyDescent="0.25">
      <c r="AD4376"/>
    </row>
    <row r="4377" spans="30:30" x14ac:dyDescent="0.25">
      <c r="AD4377"/>
    </row>
    <row r="4378" spans="30:30" x14ac:dyDescent="0.25">
      <c r="AD4378"/>
    </row>
    <row r="4379" spans="30:30" x14ac:dyDescent="0.25">
      <c r="AD4379"/>
    </row>
    <row r="4380" spans="30:30" x14ac:dyDescent="0.25">
      <c r="AD4380"/>
    </row>
    <row r="4381" spans="30:30" x14ac:dyDescent="0.25">
      <c r="AD4381"/>
    </row>
    <row r="4382" spans="30:30" x14ac:dyDescent="0.25">
      <c r="AD4382"/>
    </row>
    <row r="4383" spans="30:30" x14ac:dyDescent="0.25">
      <c r="AD4383"/>
    </row>
    <row r="4384" spans="30:30" x14ac:dyDescent="0.25">
      <c r="AD4384"/>
    </row>
    <row r="4385" spans="30:30" x14ac:dyDescent="0.25">
      <c r="AD4385"/>
    </row>
    <row r="4386" spans="30:30" x14ac:dyDescent="0.25">
      <c r="AD4386"/>
    </row>
    <row r="4387" spans="30:30" x14ac:dyDescent="0.25">
      <c r="AD4387"/>
    </row>
    <row r="4388" spans="30:30" x14ac:dyDescent="0.25">
      <c r="AD4388"/>
    </row>
    <row r="4389" spans="30:30" x14ac:dyDescent="0.25">
      <c r="AD4389"/>
    </row>
    <row r="4390" spans="30:30" x14ac:dyDescent="0.25">
      <c r="AD4390"/>
    </row>
    <row r="4391" spans="30:30" x14ac:dyDescent="0.25">
      <c r="AD4391"/>
    </row>
    <row r="4392" spans="30:30" x14ac:dyDescent="0.25">
      <c r="AD4392"/>
    </row>
    <row r="4393" spans="30:30" x14ac:dyDescent="0.25">
      <c r="AD4393"/>
    </row>
    <row r="4394" spans="30:30" x14ac:dyDescent="0.25">
      <c r="AD4394"/>
    </row>
    <row r="4395" spans="30:30" x14ac:dyDescent="0.25">
      <c r="AD4395"/>
    </row>
    <row r="4396" spans="30:30" x14ac:dyDescent="0.25">
      <c r="AD4396"/>
    </row>
    <row r="4397" spans="30:30" x14ac:dyDescent="0.25">
      <c r="AD4397"/>
    </row>
    <row r="4398" spans="30:30" x14ac:dyDescent="0.25">
      <c r="AD4398"/>
    </row>
    <row r="4399" spans="30:30" x14ac:dyDescent="0.25">
      <c r="AD4399"/>
    </row>
    <row r="4400" spans="30:30" x14ac:dyDescent="0.25">
      <c r="AD4400"/>
    </row>
    <row r="4401" spans="30:30" x14ac:dyDescent="0.25">
      <c r="AD4401"/>
    </row>
    <row r="4402" spans="30:30" x14ac:dyDescent="0.25">
      <c r="AD4402"/>
    </row>
    <row r="4403" spans="30:30" x14ac:dyDescent="0.25">
      <c r="AD4403"/>
    </row>
    <row r="4404" spans="30:30" x14ac:dyDescent="0.25">
      <c r="AD4404"/>
    </row>
    <row r="4405" spans="30:30" x14ac:dyDescent="0.25">
      <c r="AD4405"/>
    </row>
    <row r="4406" spans="30:30" x14ac:dyDescent="0.25">
      <c r="AD4406"/>
    </row>
    <row r="4407" spans="30:30" x14ac:dyDescent="0.25">
      <c r="AD4407"/>
    </row>
    <row r="4408" spans="30:30" x14ac:dyDescent="0.25">
      <c r="AD4408"/>
    </row>
    <row r="4409" spans="30:30" x14ac:dyDescent="0.25">
      <c r="AD4409"/>
    </row>
    <row r="4410" spans="30:30" x14ac:dyDescent="0.25">
      <c r="AD4410"/>
    </row>
    <row r="4411" spans="30:30" x14ac:dyDescent="0.25">
      <c r="AD4411"/>
    </row>
    <row r="4412" spans="30:30" x14ac:dyDescent="0.25">
      <c r="AD4412"/>
    </row>
    <row r="4413" spans="30:30" x14ac:dyDescent="0.25">
      <c r="AD4413"/>
    </row>
    <row r="4414" spans="30:30" x14ac:dyDescent="0.25">
      <c r="AD4414"/>
    </row>
    <row r="4415" spans="30:30" x14ac:dyDescent="0.25">
      <c r="AD4415"/>
    </row>
    <row r="4416" spans="30:30" x14ac:dyDescent="0.25">
      <c r="AD4416"/>
    </row>
    <row r="4417" spans="30:30" x14ac:dyDescent="0.25">
      <c r="AD4417"/>
    </row>
    <row r="4418" spans="30:30" x14ac:dyDescent="0.25">
      <c r="AD4418"/>
    </row>
    <row r="4419" spans="30:30" x14ac:dyDescent="0.25">
      <c r="AD4419"/>
    </row>
    <row r="4420" spans="30:30" x14ac:dyDescent="0.25">
      <c r="AD4420"/>
    </row>
    <row r="4421" spans="30:30" x14ac:dyDescent="0.25">
      <c r="AD4421"/>
    </row>
    <row r="4422" spans="30:30" x14ac:dyDescent="0.25">
      <c r="AD4422"/>
    </row>
    <row r="4423" spans="30:30" x14ac:dyDescent="0.25">
      <c r="AD4423"/>
    </row>
    <row r="4424" spans="30:30" x14ac:dyDescent="0.25">
      <c r="AD4424"/>
    </row>
    <row r="4425" spans="30:30" x14ac:dyDescent="0.25">
      <c r="AD4425"/>
    </row>
    <row r="4426" spans="30:30" x14ac:dyDescent="0.25">
      <c r="AD4426"/>
    </row>
    <row r="4427" spans="30:30" x14ac:dyDescent="0.25">
      <c r="AD4427"/>
    </row>
    <row r="4428" spans="30:30" x14ac:dyDescent="0.25">
      <c r="AD4428"/>
    </row>
    <row r="4429" spans="30:30" x14ac:dyDescent="0.25">
      <c r="AD4429"/>
    </row>
    <row r="4430" spans="30:30" x14ac:dyDescent="0.25">
      <c r="AD4430"/>
    </row>
    <row r="4431" spans="30:30" x14ac:dyDescent="0.25">
      <c r="AD4431"/>
    </row>
    <row r="4432" spans="30:30" x14ac:dyDescent="0.25">
      <c r="AD4432"/>
    </row>
    <row r="4433" spans="30:30" x14ac:dyDescent="0.25">
      <c r="AD4433"/>
    </row>
    <row r="4434" spans="30:30" x14ac:dyDescent="0.25">
      <c r="AD4434"/>
    </row>
    <row r="4435" spans="30:30" x14ac:dyDescent="0.25">
      <c r="AD4435"/>
    </row>
    <row r="4436" spans="30:30" x14ac:dyDescent="0.25">
      <c r="AD4436"/>
    </row>
    <row r="4437" spans="30:30" x14ac:dyDescent="0.25">
      <c r="AD4437"/>
    </row>
    <row r="4438" spans="30:30" x14ac:dyDescent="0.25">
      <c r="AD4438"/>
    </row>
    <row r="4439" spans="30:30" x14ac:dyDescent="0.25">
      <c r="AD4439"/>
    </row>
    <row r="4440" spans="30:30" x14ac:dyDescent="0.25">
      <c r="AD4440"/>
    </row>
    <row r="4441" spans="30:30" x14ac:dyDescent="0.25">
      <c r="AD4441"/>
    </row>
    <row r="4442" spans="30:30" x14ac:dyDescent="0.25">
      <c r="AD4442"/>
    </row>
    <row r="4443" spans="30:30" x14ac:dyDescent="0.25">
      <c r="AD4443"/>
    </row>
    <row r="4444" spans="30:30" x14ac:dyDescent="0.25">
      <c r="AD4444"/>
    </row>
    <row r="4445" spans="30:30" x14ac:dyDescent="0.25">
      <c r="AD4445"/>
    </row>
    <row r="4446" spans="30:30" x14ac:dyDescent="0.25">
      <c r="AD4446"/>
    </row>
    <row r="4447" spans="30:30" x14ac:dyDescent="0.25">
      <c r="AD4447"/>
    </row>
    <row r="4448" spans="30:30" x14ac:dyDescent="0.25">
      <c r="AD4448"/>
    </row>
    <row r="4449" spans="30:30" x14ac:dyDescent="0.25">
      <c r="AD4449"/>
    </row>
    <row r="4450" spans="30:30" x14ac:dyDescent="0.25">
      <c r="AD4450"/>
    </row>
    <row r="4451" spans="30:30" x14ac:dyDescent="0.25">
      <c r="AD4451"/>
    </row>
    <row r="4452" spans="30:30" x14ac:dyDescent="0.25">
      <c r="AD4452"/>
    </row>
    <row r="4453" spans="30:30" x14ac:dyDescent="0.25">
      <c r="AD4453"/>
    </row>
    <row r="4454" spans="30:30" x14ac:dyDescent="0.25">
      <c r="AD4454"/>
    </row>
    <row r="4455" spans="30:30" x14ac:dyDescent="0.25">
      <c r="AD4455"/>
    </row>
    <row r="4456" spans="30:30" x14ac:dyDescent="0.25">
      <c r="AD4456"/>
    </row>
    <row r="4457" spans="30:30" x14ac:dyDescent="0.25">
      <c r="AD4457"/>
    </row>
    <row r="4458" spans="30:30" x14ac:dyDescent="0.25">
      <c r="AD4458"/>
    </row>
    <row r="4459" spans="30:30" x14ac:dyDescent="0.25">
      <c r="AD4459"/>
    </row>
    <row r="4460" spans="30:30" x14ac:dyDescent="0.25">
      <c r="AD4460"/>
    </row>
    <row r="4461" spans="30:30" x14ac:dyDescent="0.25">
      <c r="AD4461"/>
    </row>
    <row r="4462" spans="30:30" x14ac:dyDescent="0.25">
      <c r="AD4462"/>
    </row>
    <row r="4463" spans="30:30" x14ac:dyDescent="0.25">
      <c r="AD4463"/>
    </row>
    <row r="4464" spans="30:30" x14ac:dyDescent="0.25">
      <c r="AD4464"/>
    </row>
    <row r="4465" spans="30:30" x14ac:dyDescent="0.25">
      <c r="AD4465"/>
    </row>
    <row r="4466" spans="30:30" x14ac:dyDescent="0.25">
      <c r="AD4466"/>
    </row>
    <row r="4467" spans="30:30" x14ac:dyDescent="0.25">
      <c r="AD4467"/>
    </row>
    <row r="4468" spans="30:30" x14ac:dyDescent="0.25">
      <c r="AD4468"/>
    </row>
    <row r="4469" spans="30:30" x14ac:dyDescent="0.25">
      <c r="AD4469"/>
    </row>
    <row r="4470" spans="30:30" x14ac:dyDescent="0.25">
      <c r="AD4470"/>
    </row>
    <row r="4471" spans="30:30" x14ac:dyDescent="0.25">
      <c r="AD4471"/>
    </row>
    <row r="4472" spans="30:30" x14ac:dyDescent="0.25">
      <c r="AD4472"/>
    </row>
    <row r="4473" spans="30:30" x14ac:dyDescent="0.25">
      <c r="AD4473"/>
    </row>
    <row r="4474" spans="30:30" x14ac:dyDescent="0.25">
      <c r="AD4474"/>
    </row>
    <row r="4475" spans="30:30" x14ac:dyDescent="0.25">
      <c r="AD4475"/>
    </row>
    <row r="4476" spans="30:30" x14ac:dyDescent="0.25">
      <c r="AD4476"/>
    </row>
    <row r="4477" spans="30:30" x14ac:dyDescent="0.25">
      <c r="AD4477"/>
    </row>
    <row r="4478" spans="30:30" x14ac:dyDescent="0.25">
      <c r="AD4478"/>
    </row>
    <row r="4479" spans="30:30" x14ac:dyDescent="0.25">
      <c r="AD4479"/>
    </row>
    <row r="4480" spans="30:30" x14ac:dyDescent="0.25">
      <c r="AD4480"/>
    </row>
    <row r="4481" spans="30:30" x14ac:dyDescent="0.25">
      <c r="AD4481"/>
    </row>
    <row r="4482" spans="30:30" x14ac:dyDescent="0.25">
      <c r="AD4482"/>
    </row>
    <row r="4483" spans="30:30" x14ac:dyDescent="0.25">
      <c r="AD4483"/>
    </row>
    <row r="4484" spans="30:30" x14ac:dyDescent="0.25">
      <c r="AD4484"/>
    </row>
    <row r="4485" spans="30:30" x14ac:dyDescent="0.25">
      <c r="AD4485"/>
    </row>
    <row r="4486" spans="30:30" x14ac:dyDescent="0.25">
      <c r="AD4486"/>
    </row>
    <row r="4487" spans="30:30" x14ac:dyDescent="0.25">
      <c r="AD4487"/>
    </row>
    <row r="4488" spans="30:30" x14ac:dyDescent="0.25">
      <c r="AD4488"/>
    </row>
    <row r="4489" spans="30:30" x14ac:dyDescent="0.25">
      <c r="AD4489"/>
    </row>
    <row r="4490" spans="30:30" x14ac:dyDescent="0.25">
      <c r="AD4490"/>
    </row>
    <row r="4491" spans="30:30" x14ac:dyDescent="0.25">
      <c r="AD4491"/>
    </row>
    <row r="4492" spans="30:30" x14ac:dyDescent="0.25">
      <c r="AD4492"/>
    </row>
    <row r="4493" spans="30:30" x14ac:dyDescent="0.25">
      <c r="AD4493"/>
    </row>
    <row r="4494" spans="30:30" x14ac:dyDescent="0.25">
      <c r="AD4494"/>
    </row>
    <row r="4495" spans="30:30" x14ac:dyDescent="0.25">
      <c r="AD4495"/>
    </row>
    <row r="4496" spans="30:30" x14ac:dyDescent="0.25">
      <c r="AD4496"/>
    </row>
    <row r="4497" spans="30:30" x14ac:dyDescent="0.25">
      <c r="AD4497"/>
    </row>
    <row r="4498" spans="30:30" x14ac:dyDescent="0.25">
      <c r="AD4498"/>
    </row>
    <row r="4499" spans="30:30" x14ac:dyDescent="0.25">
      <c r="AD4499"/>
    </row>
    <row r="4500" spans="30:30" x14ac:dyDescent="0.25">
      <c r="AD4500"/>
    </row>
    <row r="4501" spans="30:30" x14ac:dyDescent="0.25">
      <c r="AD4501"/>
    </row>
    <row r="4502" spans="30:30" x14ac:dyDescent="0.25">
      <c r="AD4502"/>
    </row>
    <row r="4503" spans="30:30" x14ac:dyDescent="0.25">
      <c r="AD4503"/>
    </row>
    <row r="4504" spans="30:30" x14ac:dyDescent="0.25">
      <c r="AD4504"/>
    </row>
    <row r="4505" spans="30:30" x14ac:dyDescent="0.25">
      <c r="AD4505"/>
    </row>
    <row r="4506" spans="30:30" x14ac:dyDescent="0.25">
      <c r="AD4506"/>
    </row>
    <row r="4507" spans="30:30" x14ac:dyDescent="0.25">
      <c r="AD4507"/>
    </row>
    <row r="4508" spans="30:30" x14ac:dyDescent="0.25">
      <c r="AD4508"/>
    </row>
    <row r="4509" spans="30:30" x14ac:dyDescent="0.25">
      <c r="AD4509"/>
    </row>
    <row r="4510" spans="30:30" x14ac:dyDescent="0.25">
      <c r="AD4510"/>
    </row>
    <row r="4511" spans="30:30" x14ac:dyDescent="0.25">
      <c r="AD4511"/>
    </row>
    <row r="4512" spans="30:30" x14ac:dyDescent="0.25">
      <c r="AD4512"/>
    </row>
    <row r="4513" spans="30:30" x14ac:dyDescent="0.25">
      <c r="AD4513"/>
    </row>
    <row r="4514" spans="30:30" x14ac:dyDescent="0.25">
      <c r="AD4514"/>
    </row>
    <row r="4515" spans="30:30" x14ac:dyDescent="0.25">
      <c r="AD4515"/>
    </row>
    <row r="4516" spans="30:30" x14ac:dyDescent="0.25">
      <c r="AD4516"/>
    </row>
    <row r="4517" spans="30:30" x14ac:dyDescent="0.25">
      <c r="AD4517"/>
    </row>
    <row r="4518" spans="30:30" x14ac:dyDescent="0.25">
      <c r="AD4518"/>
    </row>
    <row r="4519" spans="30:30" x14ac:dyDescent="0.25">
      <c r="AD4519"/>
    </row>
    <row r="4520" spans="30:30" x14ac:dyDescent="0.25">
      <c r="AD4520"/>
    </row>
    <row r="4521" spans="30:30" x14ac:dyDescent="0.25">
      <c r="AD4521"/>
    </row>
    <row r="4522" spans="30:30" x14ac:dyDescent="0.25">
      <c r="AD4522"/>
    </row>
    <row r="4523" spans="30:30" x14ac:dyDescent="0.25">
      <c r="AD4523"/>
    </row>
    <row r="4524" spans="30:30" x14ac:dyDescent="0.25">
      <c r="AD4524"/>
    </row>
    <row r="4525" spans="30:30" x14ac:dyDescent="0.25">
      <c r="AD4525"/>
    </row>
    <row r="4526" spans="30:30" x14ac:dyDescent="0.25">
      <c r="AD4526"/>
    </row>
    <row r="4527" spans="30:30" x14ac:dyDescent="0.25">
      <c r="AD4527"/>
    </row>
    <row r="4528" spans="30:30" x14ac:dyDescent="0.25">
      <c r="AD4528"/>
    </row>
    <row r="4529" spans="30:30" x14ac:dyDescent="0.25">
      <c r="AD4529"/>
    </row>
    <row r="4530" spans="30:30" x14ac:dyDescent="0.25">
      <c r="AD4530"/>
    </row>
    <row r="4531" spans="30:30" x14ac:dyDescent="0.25">
      <c r="AD4531"/>
    </row>
    <row r="4532" spans="30:30" x14ac:dyDescent="0.25">
      <c r="AD4532"/>
    </row>
    <row r="4533" spans="30:30" x14ac:dyDescent="0.25">
      <c r="AD4533"/>
    </row>
    <row r="4534" spans="30:30" x14ac:dyDescent="0.25">
      <c r="AD4534"/>
    </row>
    <row r="4535" spans="30:30" x14ac:dyDescent="0.25">
      <c r="AD4535"/>
    </row>
    <row r="4536" spans="30:30" x14ac:dyDescent="0.25">
      <c r="AD4536"/>
    </row>
    <row r="4537" spans="30:30" x14ac:dyDescent="0.25">
      <c r="AD4537"/>
    </row>
    <row r="4538" spans="30:30" x14ac:dyDescent="0.25">
      <c r="AD4538"/>
    </row>
    <row r="4539" spans="30:30" x14ac:dyDescent="0.25">
      <c r="AD4539"/>
    </row>
    <row r="4540" spans="30:30" x14ac:dyDescent="0.25">
      <c r="AD4540"/>
    </row>
    <row r="4541" spans="30:30" x14ac:dyDescent="0.25">
      <c r="AD4541"/>
    </row>
    <row r="4542" spans="30:30" x14ac:dyDescent="0.25">
      <c r="AD4542"/>
    </row>
    <row r="4543" spans="30:30" x14ac:dyDescent="0.25">
      <c r="AD4543"/>
    </row>
    <row r="4544" spans="30:30" x14ac:dyDescent="0.25">
      <c r="AD4544"/>
    </row>
    <row r="4545" spans="30:30" x14ac:dyDescent="0.25">
      <c r="AD4545"/>
    </row>
    <row r="4546" spans="30:30" x14ac:dyDescent="0.25">
      <c r="AD4546"/>
    </row>
    <row r="4547" spans="30:30" x14ac:dyDescent="0.25">
      <c r="AD4547"/>
    </row>
    <row r="4548" spans="30:30" x14ac:dyDescent="0.25">
      <c r="AD4548"/>
    </row>
    <row r="4549" spans="30:30" x14ac:dyDescent="0.25">
      <c r="AD4549"/>
    </row>
    <row r="4550" spans="30:30" x14ac:dyDescent="0.25">
      <c r="AD4550"/>
    </row>
    <row r="4551" spans="30:30" x14ac:dyDescent="0.25">
      <c r="AD4551"/>
    </row>
    <row r="4552" spans="30:30" x14ac:dyDescent="0.25">
      <c r="AD4552"/>
    </row>
    <row r="4553" spans="30:30" x14ac:dyDescent="0.25">
      <c r="AD4553"/>
    </row>
    <row r="4554" spans="30:30" x14ac:dyDescent="0.25">
      <c r="AD4554"/>
    </row>
    <row r="4555" spans="30:30" x14ac:dyDescent="0.25">
      <c r="AD4555"/>
    </row>
    <row r="4556" spans="30:30" x14ac:dyDescent="0.25">
      <c r="AD4556"/>
    </row>
    <row r="4557" spans="30:30" x14ac:dyDescent="0.25">
      <c r="AD4557"/>
    </row>
    <row r="4558" spans="30:30" x14ac:dyDescent="0.25">
      <c r="AD4558"/>
    </row>
    <row r="4559" spans="30:30" x14ac:dyDescent="0.25">
      <c r="AD4559"/>
    </row>
    <row r="4560" spans="30:30" x14ac:dyDescent="0.25">
      <c r="AD4560"/>
    </row>
    <row r="4561" spans="30:30" x14ac:dyDescent="0.25">
      <c r="AD4561"/>
    </row>
    <row r="4562" spans="30:30" x14ac:dyDescent="0.25">
      <c r="AD4562"/>
    </row>
    <row r="4563" spans="30:30" x14ac:dyDescent="0.25">
      <c r="AD4563"/>
    </row>
    <row r="4564" spans="30:30" x14ac:dyDescent="0.25">
      <c r="AD4564"/>
    </row>
    <row r="4565" spans="30:30" x14ac:dyDescent="0.25">
      <c r="AD4565"/>
    </row>
    <row r="4566" spans="30:30" x14ac:dyDescent="0.25">
      <c r="AD4566"/>
    </row>
    <row r="4567" spans="30:30" x14ac:dyDescent="0.25">
      <c r="AD4567"/>
    </row>
    <row r="4568" spans="30:30" x14ac:dyDescent="0.25">
      <c r="AD4568"/>
    </row>
    <row r="4569" spans="30:30" x14ac:dyDescent="0.25">
      <c r="AD4569"/>
    </row>
    <row r="4570" spans="30:30" x14ac:dyDescent="0.25">
      <c r="AD4570"/>
    </row>
    <row r="4571" spans="30:30" x14ac:dyDescent="0.25">
      <c r="AD4571"/>
    </row>
    <row r="4572" spans="30:30" x14ac:dyDescent="0.25">
      <c r="AD4572"/>
    </row>
    <row r="4573" spans="30:30" x14ac:dyDescent="0.25">
      <c r="AD4573"/>
    </row>
    <row r="4574" spans="30:30" x14ac:dyDescent="0.25">
      <c r="AD4574"/>
    </row>
    <row r="4575" spans="30:30" x14ac:dyDescent="0.25">
      <c r="AD4575"/>
    </row>
    <row r="4576" spans="30:30" x14ac:dyDescent="0.25">
      <c r="AD4576"/>
    </row>
    <row r="4577" spans="30:30" x14ac:dyDescent="0.25">
      <c r="AD4577"/>
    </row>
    <row r="4578" spans="30:30" x14ac:dyDescent="0.25">
      <c r="AD4578"/>
    </row>
    <row r="4579" spans="30:30" x14ac:dyDescent="0.25">
      <c r="AD4579"/>
    </row>
    <row r="4580" spans="30:30" x14ac:dyDescent="0.25">
      <c r="AD4580"/>
    </row>
    <row r="4581" spans="30:30" x14ac:dyDescent="0.25">
      <c r="AD4581"/>
    </row>
    <row r="4582" spans="30:30" x14ac:dyDescent="0.25">
      <c r="AD4582"/>
    </row>
    <row r="4583" spans="30:30" x14ac:dyDescent="0.25">
      <c r="AD4583"/>
    </row>
    <row r="4584" spans="30:30" x14ac:dyDescent="0.25">
      <c r="AD4584"/>
    </row>
    <row r="4585" spans="30:30" x14ac:dyDescent="0.25">
      <c r="AD4585"/>
    </row>
    <row r="4586" spans="30:30" x14ac:dyDescent="0.25">
      <c r="AD4586"/>
    </row>
    <row r="4587" spans="30:30" x14ac:dyDescent="0.25">
      <c r="AD4587"/>
    </row>
    <row r="4588" spans="30:30" x14ac:dyDescent="0.25">
      <c r="AD4588"/>
    </row>
    <row r="4589" spans="30:30" x14ac:dyDescent="0.25">
      <c r="AD4589"/>
    </row>
    <row r="4590" spans="30:30" x14ac:dyDescent="0.25">
      <c r="AD4590"/>
    </row>
    <row r="4591" spans="30:30" x14ac:dyDescent="0.25">
      <c r="AD4591"/>
    </row>
    <row r="4592" spans="30:30" x14ac:dyDescent="0.25">
      <c r="AD4592"/>
    </row>
    <row r="4593" spans="30:30" x14ac:dyDescent="0.25">
      <c r="AD4593"/>
    </row>
    <row r="4594" spans="30:30" x14ac:dyDescent="0.25">
      <c r="AD4594"/>
    </row>
    <row r="4595" spans="30:30" x14ac:dyDescent="0.25">
      <c r="AD4595"/>
    </row>
    <row r="4596" spans="30:30" x14ac:dyDescent="0.25">
      <c r="AD4596"/>
    </row>
    <row r="4597" spans="30:30" x14ac:dyDescent="0.25">
      <c r="AD4597"/>
    </row>
    <row r="4598" spans="30:30" x14ac:dyDescent="0.25">
      <c r="AD4598"/>
    </row>
    <row r="4599" spans="30:30" x14ac:dyDescent="0.25">
      <c r="AD4599"/>
    </row>
    <row r="4600" spans="30:30" x14ac:dyDescent="0.25">
      <c r="AD4600"/>
    </row>
    <row r="4601" spans="30:30" x14ac:dyDescent="0.25">
      <c r="AD4601"/>
    </row>
    <row r="4602" spans="30:30" x14ac:dyDescent="0.25">
      <c r="AD4602"/>
    </row>
    <row r="4603" spans="30:30" x14ac:dyDescent="0.25">
      <c r="AD4603"/>
    </row>
    <row r="4604" spans="30:30" x14ac:dyDescent="0.25">
      <c r="AD4604"/>
    </row>
    <row r="4605" spans="30:30" x14ac:dyDescent="0.25">
      <c r="AD4605"/>
    </row>
    <row r="4606" spans="30:30" x14ac:dyDescent="0.25">
      <c r="AD4606"/>
    </row>
    <row r="4607" spans="30:30" x14ac:dyDescent="0.25">
      <c r="AD4607"/>
    </row>
    <row r="4608" spans="30:30" x14ac:dyDescent="0.25">
      <c r="AD4608"/>
    </row>
    <row r="4609" spans="30:30" x14ac:dyDescent="0.25">
      <c r="AD4609"/>
    </row>
    <row r="4610" spans="30:30" x14ac:dyDescent="0.25">
      <c r="AD4610"/>
    </row>
    <row r="4611" spans="30:30" x14ac:dyDescent="0.25">
      <c r="AD4611"/>
    </row>
    <row r="4612" spans="30:30" x14ac:dyDescent="0.25">
      <c r="AD4612"/>
    </row>
    <row r="4613" spans="30:30" x14ac:dyDescent="0.25">
      <c r="AD4613"/>
    </row>
    <row r="4614" spans="30:30" x14ac:dyDescent="0.25">
      <c r="AD4614"/>
    </row>
    <row r="4615" spans="30:30" x14ac:dyDescent="0.25">
      <c r="AD4615"/>
    </row>
    <row r="4616" spans="30:30" x14ac:dyDescent="0.25">
      <c r="AD4616"/>
    </row>
    <row r="4617" spans="30:30" x14ac:dyDescent="0.25">
      <c r="AD4617"/>
    </row>
    <row r="4618" spans="30:30" x14ac:dyDescent="0.25">
      <c r="AD4618"/>
    </row>
    <row r="4619" spans="30:30" x14ac:dyDescent="0.25">
      <c r="AD4619"/>
    </row>
    <row r="4620" spans="30:30" x14ac:dyDescent="0.25">
      <c r="AD4620"/>
    </row>
    <row r="4621" spans="30:30" x14ac:dyDescent="0.25">
      <c r="AD4621"/>
    </row>
    <row r="4622" spans="30:30" x14ac:dyDescent="0.25">
      <c r="AD4622"/>
    </row>
    <row r="4623" spans="30:30" x14ac:dyDescent="0.25">
      <c r="AD4623"/>
    </row>
    <row r="4624" spans="30:30" x14ac:dyDescent="0.25">
      <c r="AD4624"/>
    </row>
    <row r="4625" spans="30:30" x14ac:dyDescent="0.25">
      <c r="AD4625"/>
    </row>
    <row r="4626" spans="30:30" x14ac:dyDescent="0.25">
      <c r="AD4626"/>
    </row>
    <row r="4627" spans="30:30" x14ac:dyDescent="0.25">
      <c r="AD4627"/>
    </row>
    <row r="4628" spans="30:30" x14ac:dyDescent="0.25">
      <c r="AD4628"/>
    </row>
    <row r="4629" spans="30:30" x14ac:dyDescent="0.25">
      <c r="AD4629"/>
    </row>
    <row r="4630" spans="30:30" x14ac:dyDescent="0.25">
      <c r="AD4630"/>
    </row>
    <row r="4631" spans="30:30" x14ac:dyDescent="0.25">
      <c r="AD4631"/>
    </row>
    <row r="4632" spans="30:30" x14ac:dyDescent="0.25">
      <c r="AD4632"/>
    </row>
    <row r="4633" spans="30:30" x14ac:dyDescent="0.25">
      <c r="AD4633"/>
    </row>
    <row r="4634" spans="30:30" x14ac:dyDescent="0.25">
      <c r="AD4634"/>
    </row>
    <row r="4635" spans="30:30" x14ac:dyDescent="0.25">
      <c r="AD4635"/>
    </row>
    <row r="4636" spans="30:30" x14ac:dyDescent="0.25">
      <c r="AD4636"/>
    </row>
    <row r="4637" spans="30:30" x14ac:dyDescent="0.25">
      <c r="AD4637"/>
    </row>
    <row r="4638" spans="30:30" x14ac:dyDescent="0.25">
      <c r="AD4638"/>
    </row>
    <row r="4639" spans="30:30" x14ac:dyDescent="0.25">
      <c r="AD4639"/>
    </row>
    <row r="4640" spans="30:30" x14ac:dyDescent="0.25">
      <c r="AD4640"/>
    </row>
    <row r="4641" spans="30:30" x14ac:dyDescent="0.25">
      <c r="AD4641"/>
    </row>
    <row r="4642" spans="30:30" x14ac:dyDescent="0.25">
      <c r="AD4642"/>
    </row>
    <row r="4643" spans="30:30" x14ac:dyDescent="0.25">
      <c r="AD4643"/>
    </row>
    <row r="4644" spans="30:30" x14ac:dyDescent="0.25">
      <c r="AD4644"/>
    </row>
    <row r="4645" spans="30:30" x14ac:dyDescent="0.25">
      <c r="AD4645"/>
    </row>
    <row r="4646" spans="30:30" x14ac:dyDescent="0.25">
      <c r="AD4646"/>
    </row>
    <row r="4647" spans="30:30" x14ac:dyDescent="0.25">
      <c r="AD4647"/>
    </row>
    <row r="4648" spans="30:30" x14ac:dyDescent="0.25">
      <c r="AD4648"/>
    </row>
    <row r="4649" spans="30:30" x14ac:dyDescent="0.25">
      <c r="AD4649"/>
    </row>
    <row r="4650" spans="30:30" x14ac:dyDescent="0.25">
      <c r="AD4650"/>
    </row>
    <row r="4651" spans="30:30" x14ac:dyDescent="0.25">
      <c r="AD4651"/>
    </row>
    <row r="4652" spans="30:30" x14ac:dyDescent="0.25">
      <c r="AD4652"/>
    </row>
    <row r="4653" spans="30:30" x14ac:dyDescent="0.25">
      <c r="AD4653"/>
    </row>
    <row r="4654" spans="30:30" x14ac:dyDescent="0.25">
      <c r="AD4654"/>
    </row>
    <row r="4655" spans="30:30" x14ac:dyDescent="0.25">
      <c r="AD4655"/>
    </row>
    <row r="4656" spans="30:30" x14ac:dyDescent="0.25">
      <c r="AD4656"/>
    </row>
    <row r="4657" spans="30:30" x14ac:dyDescent="0.25">
      <c r="AD4657"/>
    </row>
    <row r="4658" spans="30:30" x14ac:dyDescent="0.25">
      <c r="AD4658"/>
    </row>
    <row r="4659" spans="30:30" x14ac:dyDescent="0.25">
      <c r="AD4659"/>
    </row>
    <row r="4660" spans="30:30" x14ac:dyDescent="0.25">
      <c r="AD4660"/>
    </row>
    <row r="4661" spans="30:30" x14ac:dyDescent="0.25">
      <c r="AD4661"/>
    </row>
    <row r="4662" spans="30:30" x14ac:dyDescent="0.25">
      <c r="AD4662"/>
    </row>
    <row r="4663" spans="30:30" x14ac:dyDescent="0.25">
      <c r="AD4663"/>
    </row>
    <row r="4664" spans="30:30" x14ac:dyDescent="0.25">
      <c r="AD4664"/>
    </row>
    <row r="4665" spans="30:30" x14ac:dyDescent="0.25">
      <c r="AD4665"/>
    </row>
    <row r="4666" spans="30:30" x14ac:dyDescent="0.25">
      <c r="AD4666"/>
    </row>
    <row r="4667" spans="30:30" x14ac:dyDescent="0.25">
      <c r="AD4667"/>
    </row>
    <row r="4668" spans="30:30" x14ac:dyDescent="0.25">
      <c r="AD4668"/>
    </row>
    <row r="4669" spans="30:30" x14ac:dyDescent="0.25">
      <c r="AD4669"/>
    </row>
    <row r="4670" spans="30:30" x14ac:dyDescent="0.25">
      <c r="AD4670"/>
    </row>
    <row r="4671" spans="30:30" x14ac:dyDescent="0.25">
      <c r="AD4671"/>
    </row>
    <row r="4672" spans="30:30" x14ac:dyDescent="0.25">
      <c r="AD4672"/>
    </row>
    <row r="4673" spans="30:30" x14ac:dyDescent="0.25">
      <c r="AD4673"/>
    </row>
    <row r="4674" spans="30:30" x14ac:dyDescent="0.25">
      <c r="AD4674"/>
    </row>
    <row r="4675" spans="30:30" x14ac:dyDescent="0.25">
      <c r="AD4675"/>
    </row>
    <row r="4676" spans="30:30" x14ac:dyDescent="0.25">
      <c r="AD4676"/>
    </row>
    <row r="4677" spans="30:30" x14ac:dyDescent="0.25">
      <c r="AD4677"/>
    </row>
    <row r="4678" spans="30:30" x14ac:dyDescent="0.25">
      <c r="AD4678"/>
    </row>
    <row r="4679" spans="30:30" x14ac:dyDescent="0.25">
      <c r="AD4679"/>
    </row>
    <row r="4680" spans="30:30" x14ac:dyDescent="0.25">
      <c r="AD4680"/>
    </row>
    <row r="4681" spans="30:30" x14ac:dyDescent="0.25">
      <c r="AD4681"/>
    </row>
    <row r="4682" spans="30:30" x14ac:dyDescent="0.25">
      <c r="AD4682"/>
    </row>
    <row r="4683" spans="30:30" x14ac:dyDescent="0.25">
      <c r="AD4683"/>
    </row>
    <row r="4684" spans="30:30" x14ac:dyDescent="0.25">
      <c r="AD4684"/>
    </row>
    <row r="4685" spans="30:30" x14ac:dyDescent="0.25">
      <c r="AD4685"/>
    </row>
    <row r="4686" spans="30:30" x14ac:dyDescent="0.25">
      <c r="AD4686"/>
    </row>
    <row r="4687" spans="30:30" x14ac:dyDescent="0.25">
      <c r="AD4687"/>
    </row>
    <row r="4688" spans="30:30" x14ac:dyDescent="0.25">
      <c r="AD4688"/>
    </row>
    <row r="4689" spans="30:30" x14ac:dyDescent="0.25">
      <c r="AD4689"/>
    </row>
    <row r="4690" spans="30:30" x14ac:dyDescent="0.25">
      <c r="AD4690"/>
    </row>
    <row r="4691" spans="30:30" x14ac:dyDescent="0.25">
      <c r="AD4691"/>
    </row>
    <row r="4692" spans="30:30" x14ac:dyDescent="0.25">
      <c r="AD4692"/>
    </row>
    <row r="4693" spans="30:30" x14ac:dyDescent="0.25">
      <c r="AD4693"/>
    </row>
    <row r="4694" spans="30:30" x14ac:dyDescent="0.25">
      <c r="AD4694"/>
    </row>
    <row r="4695" spans="30:30" x14ac:dyDescent="0.25">
      <c r="AD4695"/>
    </row>
    <row r="4696" spans="30:30" x14ac:dyDescent="0.25">
      <c r="AD4696"/>
    </row>
    <row r="4697" spans="30:30" x14ac:dyDescent="0.25">
      <c r="AD4697"/>
    </row>
    <row r="4698" spans="30:30" x14ac:dyDescent="0.25">
      <c r="AD4698"/>
    </row>
    <row r="4699" spans="30:30" x14ac:dyDescent="0.25">
      <c r="AD4699"/>
    </row>
    <row r="4700" spans="30:30" x14ac:dyDescent="0.25">
      <c r="AD4700"/>
    </row>
    <row r="4701" spans="30:30" x14ac:dyDescent="0.25">
      <c r="AD4701"/>
    </row>
    <row r="4702" spans="30:30" x14ac:dyDescent="0.25">
      <c r="AD4702"/>
    </row>
    <row r="4703" spans="30:30" x14ac:dyDescent="0.25">
      <c r="AD4703"/>
    </row>
    <row r="4704" spans="30:30" x14ac:dyDescent="0.25">
      <c r="AD4704"/>
    </row>
    <row r="4705" spans="30:30" x14ac:dyDescent="0.25">
      <c r="AD4705"/>
    </row>
    <row r="4706" spans="30:30" x14ac:dyDescent="0.25">
      <c r="AD4706"/>
    </row>
    <row r="4707" spans="30:30" x14ac:dyDescent="0.25">
      <c r="AD4707"/>
    </row>
    <row r="4708" spans="30:30" x14ac:dyDescent="0.25">
      <c r="AD4708"/>
    </row>
    <row r="4709" spans="30:30" x14ac:dyDescent="0.25">
      <c r="AD4709"/>
    </row>
    <row r="4710" spans="30:30" x14ac:dyDescent="0.25">
      <c r="AD4710"/>
    </row>
    <row r="4711" spans="30:30" x14ac:dyDescent="0.25">
      <c r="AD4711"/>
    </row>
    <row r="4712" spans="30:30" x14ac:dyDescent="0.25">
      <c r="AD4712"/>
    </row>
    <row r="4713" spans="30:30" x14ac:dyDescent="0.25">
      <c r="AD4713"/>
    </row>
    <row r="4714" spans="30:30" x14ac:dyDescent="0.25">
      <c r="AD4714"/>
    </row>
    <row r="4715" spans="30:30" x14ac:dyDescent="0.25">
      <c r="AD4715"/>
    </row>
    <row r="4716" spans="30:30" x14ac:dyDescent="0.25">
      <c r="AD4716"/>
    </row>
    <row r="4717" spans="30:30" x14ac:dyDescent="0.25">
      <c r="AD4717"/>
    </row>
    <row r="4718" spans="30:30" x14ac:dyDescent="0.25">
      <c r="AD4718"/>
    </row>
    <row r="4719" spans="30:30" x14ac:dyDescent="0.25">
      <c r="AD4719"/>
    </row>
    <row r="4720" spans="30:30" x14ac:dyDescent="0.25">
      <c r="AD4720"/>
    </row>
    <row r="4721" spans="30:30" x14ac:dyDescent="0.25">
      <c r="AD4721"/>
    </row>
    <row r="4722" spans="30:30" x14ac:dyDescent="0.25">
      <c r="AD4722"/>
    </row>
    <row r="4723" spans="30:30" x14ac:dyDescent="0.25">
      <c r="AD4723"/>
    </row>
    <row r="4724" spans="30:30" x14ac:dyDescent="0.25">
      <c r="AD4724"/>
    </row>
    <row r="4725" spans="30:30" x14ac:dyDescent="0.25">
      <c r="AD4725"/>
    </row>
    <row r="4726" spans="30:30" x14ac:dyDescent="0.25">
      <c r="AD4726"/>
    </row>
    <row r="4727" spans="30:30" x14ac:dyDescent="0.25">
      <c r="AD4727"/>
    </row>
    <row r="4728" spans="30:30" x14ac:dyDescent="0.25">
      <c r="AD4728"/>
    </row>
    <row r="4729" spans="30:30" x14ac:dyDescent="0.25">
      <c r="AD4729"/>
    </row>
    <row r="4730" spans="30:30" x14ac:dyDescent="0.25">
      <c r="AD4730"/>
    </row>
    <row r="4731" spans="30:30" x14ac:dyDescent="0.25">
      <c r="AD4731"/>
    </row>
    <row r="4732" spans="30:30" x14ac:dyDescent="0.25">
      <c r="AD4732"/>
    </row>
    <row r="4733" spans="30:30" x14ac:dyDescent="0.25">
      <c r="AD4733"/>
    </row>
    <row r="4734" spans="30:30" x14ac:dyDescent="0.25">
      <c r="AD4734"/>
    </row>
    <row r="4735" spans="30:30" x14ac:dyDescent="0.25">
      <c r="AD4735"/>
    </row>
    <row r="4736" spans="30:30" x14ac:dyDescent="0.25">
      <c r="AD4736"/>
    </row>
    <row r="4737" spans="30:30" x14ac:dyDescent="0.25">
      <c r="AD4737"/>
    </row>
    <row r="4738" spans="30:30" x14ac:dyDescent="0.25">
      <c r="AD4738"/>
    </row>
    <row r="4739" spans="30:30" x14ac:dyDescent="0.25">
      <c r="AD4739"/>
    </row>
    <row r="4740" spans="30:30" x14ac:dyDescent="0.25">
      <c r="AD4740"/>
    </row>
    <row r="4741" spans="30:30" x14ac:dyDescent="0.25">
      <c r="AD4741"/>
    </row>
    <row r="4742" spans="30:30" x14ac:dyDescent="0.25">
      <c r="AD4742"/>
    </row>
    <row r="4743" spans="30:30" x14ac:dyDescent="0.25">
      <c r="AD4743"/>
    </row>
    <row r="4744" spans="30:30" x14ac:dyDescent="0.25">
      <c r="AD4744"/>
    </row>
    <row r="4745" spans="30:30" x14ac:dyDescent="0.25">
      <c r="AD4745"/>
    </row>
    <row r="4746" spans="30:30" x14ac:dyDescent="0.25">
      <c r="AD4746"/>
    </row>
    <row r="4747" spans="30:30" x14ac:dyDescent="0.25">
      <c r="AD4747"/>
    </row>
    <row r="4748" spans="30:30" x14ac:dyDescent="0.25">
      <c r="AD4748"/>
    </row>
    <row r="4749" spans="30:30" x14ac:dyDescent="0.25">
      <c r="AD4749"/>
    </row>
    <row r="4750" spans="30:30" x14ac:dyDescent="0.25">
      <c r="AD4750"/>
    </row>
    <row r="4751" spans="30:30" x14ac:dyDescent="0.25">
      <c r="AD4751"/>
    </row>
    <row r="4752" spans="30:30" x14ac:dyDescent="0.25">
      <c r="AD4752"/>
    </row>
    <row r="4753" spans="30:30" x14ac:dyDescent="0.25">
      <c r="AD4753"/>
    </row>
    <row r="4754" spans="30:30" x14ac:dyDescent="0.25">
      <c r="AD4754"/>
    </row>
    <row r="4755" spans="30:30" x14ac:dyDescent="0.25">
      <c r="AD4755"/>
    </row>
    <row r="4756" spans="30:30" x14ac:dyDescent="0.25">
      <c r="AD4756"/>
    </row>
    <row r="4757" spans="30:30" x14ac:dyDescent="0.25">
      <c r="AD4757"/>
    </row>
    <row r="4758" spans="30:30" x14ac:dyDescent="0.25">
      <c r="AD4758"/>
    </row>
    <row r="4759" spans="30:30" x14ac:dyDescent="0.25">
      <c r="AD4759"/>
    </row>
    <row r="4760" spans="30:30" x14ac:dyDescent="0.25">
      <c r="AD4760"/>
    </row>
    <row r="4761" spans="30:30" x14ac:dyDescent="0.25">
      <c r="AD4761"/>
    </row>
    <row r="4762" spans="30:30" x14ac:dyDescent="0.25">
      <c r="AD4762"/>
    </row>
    <row r="4763" spans="30:30" x14ac:dyDescent="0.25">
      <c r="AD4763"/>
    </row>
    <row r="4764" spans="30:30" x14ac:dyDescent="0.25">
      <c r="AD4764"/>
    </row>
    <row r="4765" spans="30:30" x14ac:dyDescent="0.25">
      <c r="AD4765"/>
    </row>
    <row r="4766" spans="30:30" x14ac:dyDescent="0.25">
      <c r="AD4766"/>
    </row>
    <row r="4767" spans="30:30" x14ac:dyDescent="0.25">
      <c r="AD4767"/>
    </row>
    <row r="4768" spans="30:30" x14ac:dyDescent="0.25">
      <c r="AD4768"/>
    </row>
    <row r="4769" spans="30:30" x14ac:dyDescent="0.25">
      <c r="AD4769"/>
    </row>
    <row r="4770" spans="30:30" x14ac:dyDescent="0.25">
      <c r="AD4770"/>
    </row>
    <row r="4771" spans="30:30" x14ac:dyDescent="0.25">
      <c r="AD4771"/>
    </row>
    <row r="4772" spans="30:30" x14ac:dyDescent="0.25">
      <c r="AD4772"/>
    </row>
    <row r="4773" spans="30:30" x14ac:dyDescent="0.25">
      <c r="AD4773"/>
    </row>
    <row r="4774" spans="30:30" x14ac:dyDescent="0.25">
      <c r="AD4774"/>
    </row>
    <row r="4775" spans="30:30" x14ac:dyDescent="0.25">
      <c r="AD4775"/>
    </row>
    <row r="4776" spans="30:30" x14ac:dyDescent="0.25">
      <c r="AD4776"/>
    </row>
    <row r="4777" spans="30:30" x14ac:dyDescent="0.25">
      <c r="AD4777"/>
    </row>
    <row r="4778" spans="30:30" x14ac:dyDescent="0.25">
      <c r="AD4778"/>
    </row>
    <row r="4779" spans="30:30" x14ac:dyDescent="0.25">
      <c r="AD4779"/>
    </row>
    <row r="4780" spans="30:30" x14ac:dyDescent="0.25">
      <c r="AD4780"/>
    </row>
    <row r="4781" spans="30:30" x14ac:dyDescent="0.25">
      <c r="AD4781"/>
    </row>
    <row r="4782" spans="30:30" x14ac:dyDescent="0.25">
      <c r="AD4782"/>
    </row>
    <row r="4783" spans="30:30" x14ac:dyDescent="0.25">
      <c r="AD4783"/>
    </row>
    <row r="4784" spans="30:30" x14ac:dyDescent="0.25">
      <c r="AD4784"/>
    </row>
    <row r="4785" spans="30:30" x14ac:dyDescent="0.25">
      <c r="AD4785"/>
    </row>
    <row r="4786" spans="30:30" x14ac:dyDescent="0.25">
      <c r="AD4786"/>
    </row>
    <row r="4787" spans="30:30" x14ac:dyDescent="0.25">
      <c r="AD4787"/>
    </row>
    <row r="4788" spans="30:30" x14ac:dyDescent="0.25">
      <c r="AD4788"/>
    </row>
    <row r="4789" spans="30:30" x14ac:dyDescent="0.25">
      <c r="AD4789"/>
    </row>
    <row r="4790" spans="30:30" x14ac:dyDescent="0.25">
      <c r="AD4790"/>
    </row>
    <row r="4791" spans="30:30" x14ac:dyDescent="0.25">
      <c r="AD4791"/>
    </row>
    <row r="4792" spans="30:30" x14ac:dyDescent="0.25">
      <c r="AD4792"/>
    </row>
    <row r="4793" spans="30:30" x14ac:dyDescent="0.25">
      <c r="AD4793"/>
    </row>
    <row r="4794" spans="30:30" x14ac:dyDescent="0.25">
      <c r="AD4794"/>
    </row>
    <row r="4795" spans="30:30" x14ac:dyDescent="0.25">
      <c r="AD4795"/>
    </row>
    <row r="4796" spans="30:30" x14ac:dyDescent="0.25">
      <c r="AD4796"/>
    </row>
    <row r="4797" spans="30:30" x14ac:dyDescent="0.25">
      <c r="AD4797"/>
    </row>
    <row r="4798" spans="30:30" x14ac:dyDescent="0.25">
      <c r="AD4798"/>
    </row>
    <row r="4799" spans="30:30" x14ac:dyDescent="0.25">
      <c r="AD4799"/>
    </row>
    <row r="4800" spans="30:30" x14ac:dyDescent="0.25">
      <c r="AD4800"/>
    </row>
    <row r="4801" spans="30:30" x14ac:dyDescent="0.25">
      <c r="AD4801"/>
    </row>
    <row r="4802" spans="30:30" x14ac:dyDescent="0.25">
      <c r="AD4802"/>
    </row>
    <row r="4803" spans="30:30" x14ac:dyDescent="0.25">
      <c r="AD4803"/>
    </row>
    <row r="4804" spans="30:30" x14ac:dyDescent="0.25">
      <c r="AD4804"/>
    </row>
    <row r="4805" spans="30:30" x14ac:dyDescent="0.25">
      <c r="AD4805"/>
    </row>
    <row r="4806" spans="30:30" x14ac:dyDescent="0.25">
      <c r="AD4806"/>
    </row>
    <row r="4807" spans="30:30" x14ac:dyDescent="0.25">
      <c r="AD4807"/>
    </row>
    <row r="4808" spans="30:30" x14ac:dyDescent="0.25">
      <c r="AD4808"/>
    </row>
    <row r="4809" spans="30:30" x14ac:dyDescent="0.25">
      <c r="AD4809"/>
    </row>
    <row r="4810" spans="30:30" x14ac:dyDescent="0.25">
      <c r="AD4810"/>
    </row>
    <row r="4811" spans="30:30" x14ac:dyDescent="0.25">
      <c r="AD4811"/>
    </row>
    <row r="4812" spans="30:30" x14ac:dyDescent="0.25">
      <c r="AD4812"/>
    </row>
    <row r="4813" spans="30:30" x14ac:dyDescent="0.25">
      <c r="AD4813"/>
    </row>
    <row r="4814" spans="30:30" x14ac:dyDescent="0.25">
      <c r="AD4814"/>
    </row>
    <row r="4815" spans="30:30" x14ac:dyDescent="0.25">
      <c r="AD4815"/>
    </row>
    <row r="4816" spans="30:30" x14ac:dyDescent="0.25">
      <c r="AD4816"/>
    </row>
    <row r="4817" spans="30:30" x14ac:dyDescent="0.25">
      <c r="AD4817"/>
    </row>
    <row r="4818" spans="30:30" x14ac:dyDescent="0.25">
      <c r="AD4818"/>
    </row>
    <row r="4819" spans="30:30" x14ac:dyDescent="0.25">
      <c r="AD4819"/>
    </row>
    <row r="4820" spans="30:30" x14ac:dyDescent="0.25">
      <c r="AD4820"/>
    </row>
    <row r="4821" spans="30:30" x14ac:dyDescent="0.25">
      <c r="AD4821"/>
    </row>
    <row r="4822" spans="30:30" x14ac:dyDescent="0.25">
      <c r="AD4822"/>
    </row>
    <row r="4823" spans="30:30" x14ac:dyDescent="0.25">
      <c r="AD4823"/>
    </row>
    <row r="4824" spans="30:30" x14ac:dyDescent="0.25">
      <c r="AD4824"/>
    </row>
    <row r="4825" spans="30:30" x14ac:dyDescent="0.25">
      <c r="AD4825"/>
    </row>
    <row r="4826" spans="30:30" x14ac:dyDescent="0.25">
      <c r="AD4826"/>
    </row>
    <row r="4827" spans="30:30" x14ac:dyDescent="0.25">
      <c r="AD4827"/>
    </row>
    <row r="4828" spans="30:30" x14ac:dyDescent="0.25">
      <c r="AD4828"/>
    </row>
    <row r="4829" spans="30:30" x14ac:dyDescent="0.25">
      <c r="AD4829"/>
    </row>
    <row r="4830" spans="30:30" x14ac:dyDescent="0.25">
      <c r="AD4830"/>
    </row>
    <row r="4831" spans="30:30" x14ac:dyDescent="0.25">
      <c r="AD4831"/>
    </row>
    <row r="4832" spans="30:30" x14ac:dyDescent="0.25">
      <c r="AD4832"/>
    </row>
    <row r="4833" spans="30:30" x14ac:dyDescent="0.25">
      <c r="AD4833"/>
    </row>
    <row r="4834" spans="30:30" x14ac:dyDescent="0.25">
      <c r="AD4834"/>
    </row>
    <row r="4835" spans="30:30" x14ac:dyDescent="0.25">
      <c r="AD4835"/>
    </row>
    <row r="4836" spans="30:30" x14ac:dyDescent="0.25">
      <c r="AD4836"/>
    </row>
    <row r="4837" spans="30:30" x14ac:dyDescent="0.25">
      <c r="AD4837"/>
    </row>
    <row r="4838" spans="30:30" x14ac:dyDescent="0.25">
      <c r="AD4838"/>
    </row>
    <row r="4839" spans="30:30" x14ac:dyDescent="0.25">
      <c r="AD4839"/>
    </row>
    <row r="4840" spans="30:30" x14ac:dyDescent="0.25">
      <c r="AD4840"/>
    </row>
    <row r="4841" spans="30:30" x14ac:dyDescent="0.25">
      <c r="AD4841"/>
    </row>
    <row r="4842" spans="30:30" x14ac:dyDescent="0.25">
      <c r="AD4842"/>
    </row>
    <row r="4843" spans="30:30" x14ac:dyDescent="0.25">
      <c r="AD4843"/>
    </row>
    <row r="4844" spans="30:30" x14ac:dyDescent="0.25">
      <c r="AD4844"/>
    </row>
    <row r="4845" spans="30:30" x14ac:dyDescent="0.25">
      <c r="AD4845"/>
    </row>
    <row r="4846" spans="30:30" x14ac:dyDescent="0.25">
      <c r="AD4846"/>
    </row>
    <row r="4847" spans="30:30" x14ac:dyDescent="0.25">
      <c r="AD4847"/>
    </row>
    <row r="4848" spans="30:30" x14ac:dyDescent="0.25">
      <c r="AD4848"/>
    </row>
    <row r="4849" spans="30:30" x14ac:dyDescent="0.25">
      <c r="AD4849"/>
    </row>
    <row r="4850" spans="30:30" x14ac:dyDescent="0.25">
      <c r="AD4850"/>
    </row>
    <row r="4851" spans="30:30" x14ac:dyDescent="0.25">
      <c r="AD4851"/>
    </row>
    <row r="4852" spans="30:30" x14ac:dyDescent="0.25">
      <c r="AD4852"/>
    </row>
    <row r="4853" spans="30:30" x14ac:dyDescent="0.25">
      <c r="AD4853"/>
    </row>
    <row r="4854" spans="30:30" x14ac:dyDescent="0.25">
      <c r="AD4854"/>
    </row>
    <row r="4855" spans="30:30" x14ac:dyDescent="0.25">
      <c r="AD4855"/>
    </row>
    <row r="4856" spans="30:30" x14ac:dyDescent="0.25">
      <c r="AD4856"/>
    </row>
    <row r="4857" spans="30:30" x14ac:dyDescent="0.25">
      <c r="AD4857"/>
    </row>
    <row r="4858" spans="30:30" x14ac:dyDescent="0.25">
      <c r="AD4858"/>
    </row>
    <row r="4859" spans="30:30" x14ac:dyDescent="0.25">
      <c r="AD4859"/>
    </row>
    <row r="4860" spans="30:30" x14ac:dyDescent="0.25">
      <c r="AD4860"/>
    </row>
    <row r="4861" spans="30:30" x14ac:dyDescent="0.25">
      <c r="AD4861"/>
    </row>
    <row r="4862" spans="30:30" x14ac:dyDescent="0.25">
      <c r="AD4862"/>
    </row>
    <row r="4863" spans="30:30" x14ac:dyDescent="0.25">
      <c r="AD4863"/>
    </row>
    <row r="4864" spans="30:30" x14ac:dyDescent="0.25">
      <c r="AD4864"/>
    </row>
    <row r="4865" spans="30:30" x14ac:dyDescent="0.25">
      <c r="AD4865"/>
    </row>
    <row r="4866" spans="30:30" x14ac:dyDescent="0.25">
      <c r="AD4866"/>
    </row>
    <row r="4867" spans="30:30" x14ac:dyDescent="0.25">
      <c r="AD4867"/>
    </row>
    <row r="4868" spans="30:30" x14ac:dyDescent="0.25">
      <c r="AD4868"/>
    </row>
    <row r="4869" spans="30:30" x14ac:dyDescent="0.25">
      <c r="AD4869"/>
    </row>
    <row r="4870" spans="30:30" x14ac:dyDescent="0.25">
      <c r="AD4870"/>
    </row>
    <row r="4871" spans="30:30" x14ac:dyDescent="0.25">
      <c r="AD4871"/>
    </row>
    <row r="4872" spans="30:30" x14ac:dyDescent="0.25">
      <c r="AD4872"/>
    </row>
    <row r="4873" spans="30:30" x14ac:dyDescent="0.25">
      <c r="AD4873"/>
    </row>
    <row r="4874" spans="30:30" x14ac:dyDescent="0.25">
      <c r="AD4874"/>
    </row>
    <row r="4875" spans="30:30" x14ac:dyDescent="0.25">
      <c r="AD4875"/>
    </row>
    <row r="4876" spans="30:30" x14ac:dyDescent="0.25">
      <c r="AD4876"/>
    </row>
    <row r="4877" spans="30:30" x14ac:dyDescent="0.25">
      <c r="AD4877"/>
    </row>
    <row r="4878" spans="30:30" x14ac:dyDescent="0.25">
      <c r="AD4878"/>
    </row>
    <row r="4879" spans="30:30" x14ac:dyDescent="0.25">
      <c r="AD4879"/>
    </row>
    <row r="4880" spans="30:30" x14ac:dyDescent="0.25">
      <c r="AD4880"/>
    </row>
    <row r="4881" spans="30:30" x14ac:dyDescent="0.25">
      <c r="AD4881"/>
    </row>
    <row r="4882" spans="30:30" x14ac:dyDescent="0.25">
      <c r="AD4882"/>
    </row>
    <row r="4883" spans="30:30" x14ac:dyDescent="0.25">
      <c r="AD4883"/>
    </row>
    <row r="4884" spans="30:30" x14ac:dyDescent="0.25">
      <c r="AD4884"/>
    </row>
    <row r="4885" spans="30:30" x14ac:dyDescent="0.25">
      <c r="AD4885"/>
    </row>
    <row r="4886" spans="30:30" x14ac:dyDescent="0.25">
      <c r="AD4886"/>
    </row>
    <row r="4887" spans="30:30" x14ac:dyDescent="0.25">
      <c r="AD4887"/>
    </row>
    <row r="4888" spans="30:30" x14ac:dyDescent="0.25">
      <c r="AD4888"/>
    </row>
    <row r="4889" spans="30:30" x14ac:dyDescent="0.25">
      <c r="AD4889"/>
    </row>
    <row r="4890" spans="30:30" x14ac:dyDescent="0.25">
      <c r="AD4890"/>
    </row>
    <row r="4891" spans="30:30" x14ac:dyDescent="0.25">
      <c r="AD4891"/>
    </row>
    <row r="4892" spans="30:30" x14ac:dyDescent="0.25">
      <c r="AD4892"/>
    </row>
    <row r="4893" spans="30:30" x14ac:dyDescent="0.25">
      <c r="AD4893"/>
    </row>
    <row r="4894" spans="30:30" x14ac:dyDescent="0.25">
      <c r="AD4894"/>
    </row>
    <row r="4895" spans="30:30" x14ac:dyDescent="0.25">
      <c r="AD4895"/>
    </row>
    <row r="4896" spans="30:30" x14ac:dyDescent="0.25">
      <c r="AD4896"/>
    </row>
    <row r="4897" spans="30:30" x14ac:dyDescent="0.25">
      <c r="AD4897"/>
    </row>
    <row r="4898" spans="30:30" x14ac:dyDescent="0.25">
      <c r="AD4898"/>
    </row>
    <row r="4899" spans="30:30" x14ac:dyDescent="0.25">
      <c r="AD4899"/>
    </row>
    <row r="4900" spans="30:30" x14ac:dyDescent="0.25">
      <c r="AD4900"/>
    </row>
    <row r="4901" spans="30:30" x14ac:dyDescent="0.25">
      <c r="AD4901"/>
    </row>
    <row r="4902" spans="30:30" x14ac:dyDescent="0.25">
      <c r="AD4902"/>
    </row>
    <row r="4903" spans="30:30" x14ac:dyDescent="0.25">
      <c r="AD4903"/>
    </row>
    <row r="4904" spans="30:30" x14ac:dyDescent="0.25">
      <c r="AD4904"/>
    </row>
    <row r="4905" spans="30:30" x14ac:dyDescent="0.25">
      <c r="AD4905"/>
    </row>
    <row r="4906" spans="30:30" x14ac:dyDescent="0.25">
      <c r="AD4906"/>
    </row>
    <row r="4907" spans="30:30" x14ac:dyDescent="0.25">
      <c r="AD4907"/>
    </row>
    <row r="4908" spans="30:30" x14ac:dyDescent="0.25">
      <c r="AD4908"/>
    </row>
    <row r="4909" spans="30:30" x14ac:dyDescent="0.25">
      <c r="AD4909"/>
    </row>
    <row r="4910" spans="30:30" x14ac:dyDescent="0.25">
      <c r="AD4910"/>
    </row>
    <row r="4911" spans="30:30" x14ac:dyDescent="0.25">
      <c r="AD4911"/>
    </row>
    <row r="4912" spans="30:30" x14ac:dyDescent="0.25">
      <c r="AD4912"/>
    </row>
    <row r="4913" spans="30:30" x14ac:dyDescent="0.25">
      <c r="AD4913"/>
    </row>
    <row r="4914" spans="30:30" x14ac:dyDescent="0.25">
      <c r="AD4914"/>
    </row>
    <row r="4915" spans="30:30" x14ac:dyDescent="0.25">
      <c r="AD4915"/>
    </row>
    <row r="4916" spans="30:30" x14ac:dyDescent="0.25">
      <c r="AD4916"/>
    </row>
    <row r="4917" spans="30:30" x14ac:dyDescent="0.25">
      <c r="AD4917"/>
    </row>
    <row r="4918" spans="30:30" x14ac:dyDescent="0.25">
      <c r="AD4918"/>
    </row>
    <row r="4919" spans="30:30" x14ac:dyDescent="0.25">
      <c r="AD4919"/>
    </row>
    <row r="4920" spans="30:30" x14ac:dyDescent="0.25">
      <c r="AD4920"/>
    </row>
    <row r="4921" spans="30:30" x14ac:dyDescent="0.25">
      <c r="AD4921"/>
    </row>
    <row r="4922" spans="30:30" x14ac:dyDescent="0.25">
      <c r="AD4922"/>
    </row>
    <row r="4923" spans="30:30" x14ac:dyDescent="0.25">
      <c r="AD4923"/>
    </row>
    <row r="4924" spans="30:30" x14ac:dyDescent="0.25">
      <c r="AD4924"/>
    </row>
    <row r="4925" spans="30:30" x14ac:dyDescent="0.25">
      <c r="AD4925"/>
    </row>
    <row r="4926" spans="30:30" x14ac:dyDescent="0.25">
      <c r="AD4926"/>
    </row>
    <row r="4927" spans="30:30" x14ac:dyDescent="0.25">
      <c r="AD4927"/>
    </row>
    <row r="4928" spans="30:30" x14ac:dyDescent="0.25">
      <c r="AD4928"/>
    </row>
    <row r="4929" spans="30:30" x14ac:dyDescent="0.25">
      <c r="AD4929"/>
    </row>
    <row r="4930" spans="30:30" x14ac:dyDescent="0.25">
      <c r="AD4930"/>
    </row>
    <row r="4931" spans="30:30" x14ac:dyDescent="0.25">
      <c r="AD4931"/>
    </row>
    <row r="4932" spans="30:30" x14ac:dyDescent="0.25">
      <c r="AD4932"/>
    </row>
    <row r="4933" spans="30:30" x14ac:dyDescent="0.25">
      <c r="AD4933"/>
    </row>
    <row r="4934" spans="30:30" x14ac:dyDescent="0.25">
      <c r="AD4934"/>
    </row>
    <row r="4935" spans="30:30" x14ac:dyDescent="0.25">
      <c r="AD4935"/>
    </row>
    <row r="4936" spans="30:30" x14ac:dyDescent="0.25">
      <c r="AD4936"/>
    </row>
    <row r="4937" spans="30:30" x14ac:dyDescent="0.25">
      <c r="AD4937"/>
    </row>
    <row r="4938" spans="30:30" x14ac:dyDescent="0.25">
      <c r="AD4938"/>
    </row>
    <row r="4939" spans="30:30" x14ac:dyDescent="0.25">
      <c r="AD4939"/>
    </row>
    <row r="4940" spans="30:30" x14ac:dyDescent="0.25">
      <c r="AD4940"/>
    </row>
    <row r="4941" spans="30:30" x14ac:dyDescent="0.25">
      <c r="AD4941"/>
    </row>
    <row r="4942" spans="30:30" x14ac:dyDescent="0.25">
      <c r="AD4942"/>
    </row>
    <row r="4943" spans="30:30" x14ac:dyDescent="0.25">
      <c r="AD4943"/>
    </row>
    <row r="4944" spans="30:30" x14ac:dyDescent="0.25">
      <c r="AD4944"/>
    </row>
    <row r="4945" spans="30:30" x14ac:dyDescent="0.25">
      <c r="AD4945"/>
    </row>
    <row r="4946" spans="30:30" x14ac:dyDescent="0.25">
      <c r="AD4946"/>
    </row>
    <row r="4947" spans="30:30" x14ac:dyDescent="0.25">
      <c r="AD4947"/>
    </row>
    <row r="4948" spans="30:30" x14ac:dyDescent="0.25">
      <c r="AD4948"/>
    </row>
    <row r="4949" spans="30:30" x14ac:dyDescent="0.25">
      <c r="AD4949"/>
    </row>
    <row r="4950" spans="30:30" x14ac:dyDescent="0.25">
      <c r="AD4950"/>
    </row>
    <row r="4951" spans="30:30" x14ac:dyDescent="0.25">
      <c r="AD4951"/>
    </row>
    <row r="4952" spans="30:30" x14ac:dyDescent="0.25">
      <c r="AD4952"/>
    </row>
    <row r="4953" spans="30:30" x14ac:dyDescent="0.25">
      <c r="AD4953"/>
    </row>
    <row r="4954" spans="30:30" x14ac:dyDescent="0.25">
      <c r="AD4954"/>
    </row>
    <row r="4955" spans="30:30" x14ac:dyDescent="0.25">
      <c r="AD4955"/>
    </row>
    <row r="4956" spans="30:30" x14ac:dyDescent="0.25">
      <c r="AD4956"/>
    </row>
    <row r="4957" spans="30:30" x14ac:dyDescent="0.25">
      <c r="AD4957"/>
    </row>
    <row r="4958" spans="30:30" x14ac:dyDescent="0.25">
      <c r="AD4958"/>
    </row>
    <row r="4959" spans="30:30" x14ac:dyDescent="0.25">
      <c r="AD4959"/>
    </row>
    <row r="4960" spans="30:30" x14ac:dyDescent="0.25">
      <c r="AD4960"/>
    </row>
    <row r="4961" spans="30:30" x14ac:dyDescent="0.25">
      <c r="AD4961"/>
    </row>
    <row r="4962" spans="30:30" x14ac:dyDescent="0.25">
      <c r="AD4962"/>
    </row>
    <row r="4963" spans="30:30" x14ac:dyDescent="0.25">
      <c r="AD4963"/>
    </row>
    <row r="4964" spans="30:30" x14ac:dyDescent="0.25">
      <c r="AD4964"/>
    </row>
    <row r="4965" spans="30:30" x14ac:dyDescent="0.25">
      <c r="AD4965"/>
    </row>
    <row r="4966" spans="30:30" x14ac:dyDescent="0.25">
      <c r="AD4966"/>
    </row>
    <row r="4967" spans="30:30" x14ac:dyDescent="0.25">
      <c r="AD4967"/>
    </row>
    <row r="4968" spans="30:30" x14ac:dyDescent="0.25">
      <c r="AD4968"/>
    </row>
    <row r="4969" spans="30:30" x14ac:dyDescent="0.25">
      <c r="AD4969"/>
    </row>
    <row r="4970" spans="30:30" x14ac:dyDescent="0.25">
      <c r="AD4970"/>
    </row>
    <row r="4971" spans="30:30" x14ac:dyDescent="0.25">
      <c r="AD4971"/>
    </row>
    <row r="4972" spans="30:30" x14ac:dyDescent="0.25">
      <c r="AD4972"/>
    </row>
    <row r="4973" spans="30:30" x14ac:dyDescent="0.25">
      <c r="AD4973"/>
    </row>
    <row r="4974" spans="30:30" x14ac:dyDescent="0.25">
      <c r="AD4974"/>
    </row>
    <row r="4975" spans="30:30" x14ac:dyDescent="0.25">
      <c r="AD4975"/>
    </row>
    <row r="4976" spans="30:30" x14ac:dyDescent="0.25">
      <c r="AD4976"/>
    </row>
    <row r="4977" spans="30:30" x14ac:dyDescent="0.25">
      <c r="AD4977"/>
    </row>
    <row r="4978" spans="30:30" x14ac:dyDescent="0.25">
      <c r="AD4978"/>
    </row>
    <row r="4979" spans="30:30" x14ac:dyDescent="0.25">
      <c r="AD4979"/>
    </row>
    <row r="4980" spans="30:30" x14ac:dyDescent="0.25">
      <c r="AD4980"/>
    </row>
    <row r="4981" spans="30:30" x14ac:dyDescent="0.25">
      <c r="AD4981"/>
    </row>
    <row r="4982" spans="30:30" x14ac:dyDescent="0.25">
      <c r="AD4982"/>
    </row>
    <row r="4983" spans="30:30" x14ac:dyDescent="0.25">
      <c r="AD4983"/>
    </row>
    <row r="4984" spans="30:30" x14ac:dyDescent="0.25">
      <c r="AD4984"/>
    </row>
    <row r="4985" spans="30:30" x14ac:dyDescent="0.25">
      <c r="AD4985"/>
    </row>
    <row r="4986" spans="30:30" x14ac:dyDescent="0.25">
      <c r="AD4986"/>
    </row>
    <row r="4987" spans="30:30" x14ac:dyDescent="0.25">
      <c r="AD4987"/>
    </row>
    <row r="4988" spans="30:30" x14ac:dyDescent="0.25">
      <c r="AD4988"/>
    </row>
    <row r="4989" spans="30:30" x14ac:dyDescent="0.25">
      <c r="AD4989"/>
    </row>
    <row r="4990" spans="30:30" x14ac:dyDescent="0.25">
      <c r="AD4990"/>
    </row>
    <row r="4991" spans="30:30" x14ac:dyDescent="0.25">
      <c r="AD4991"/>
    </row>
    <row r="4992" spans="30:30" x14ac:dyDescent="0.25">
      <c r="AD4992"/>
    </row>
    <row r="4993" spans="30:30" x14ac:dyDescent="0.25">
      <c r="AD4993"/>
    </row>
    <row r="4994" spans="30:30" x14ac:dyDescent="0.25">
      <c r="AD4994"/>
    </row>
    <row r="4995" spans="30:30" x14ac:dyDescent="0.25">
      <c r="AD4995"/>
    </row>
    <row r="4996" spans="30:30" x14ac:dyDescent="0.25">
      <c r="AD4996"/>
    </row>
    <row r="4997" spans="30:30" x14ac:dyDescent="0.25">
      <c r="AD4997"/>
    </row>
    <row r="4998" spans="30:30" x14ac:dyDescent="0.25">
      <c r="AD4998"/>
    </row>
    <row r="4999" spans="30:30" x14ac:dyDescent="0.25">
      <c r="AD4999"/>
    </row>
    <row r="5000" spans="30:30" x14ac:dyDescent="0.25">
      <c r="AD5000"/>
    </row>
    <row r="5001" spans="30:30" x14ac:dyDescent="0.25">
      <c r="AD5001"/>
    </row>
    <row r="5002" spans="30:30" x14ac:dyDescent="0.25">
      <c r="AD5002"/>
    </row>
    <row r="5003" spans="30:30" x14ac:dyDescent="0.25">
      <c r="AD5003"/>
    </row>
    <row r="5004" spans="30:30" x14ac:dyDescent="0.25">
      <c r="AD5004"/>
    </row>
    <row r="5005" spans="30:30" x14ac:dyDescent="0.25">
      <c r="AD5005"/>
    </row>
    <row r="5006" spans="30:30" x14ac:dyDescent="0.25">
      <c r="AD5006"/>
    </row>
    <row r="5007" spans="30:30" x14ac:dyDescent="0.25">
      <c r="AD5007"/>
    </row>
    <row r="5008" spans="30:30" x14ac:dyDescent="0.25">
      <c r="AD5008"/>
    </row>
    <row r="5009" spans="30:30" x14ac:dyDescent="0.25">
      <c r="AD5009"/>
    </row>
    <row r="5010" spans="30:30" x14ac:dyDescent="0.25">
      <c r="AD5010"/>
    </row>
    <row r="5011" spans="30:30" x14ac:dyDescent="0.25">
      <c r="AD5011"/>
    </row>
    <row r="5012" spans="30:30" x14ac:dyDescent="0.25">
      <c r="AD5012"/>
    </row>
    <row r="5013" spans="30:30" x14ac:dyDescent="0.25">
      <c r="AD5013"/>
    </row>
    <row r="5014" spans="30:30" x14ac:dyDescent="0.25">
      <c r="AD5014"/>
    </row>
    <row r="5015" spans="30:30" x14ac:dyDescent="0.25">
      <c r="AD5015"/>
    </row>
    <row r="5016" spans="30:30" x14ac:dyDescent="0.25">
      <c r="AD5016"/>
    </row>
    <row r="5017" spans="30:30" x14ac:dyDescent="0.25">
      <c r="AD5017"/>
    </row>
    <row r="5018" spans="30:30" x14ac:dyDescent="0.25">
      <c r="AD5018"/>
    </row>
    <row r="5019" spans="30:30" x14ac:dyDescent="0.25">
      <c r="AD5019"/>
    </row>
    <row r="5020" spans="30:30" x14ac:dyDescent="0.25">
      <c r="AD5020"/>
    </row>
    <row r="5021" spans="30:30" x14ac:dyDescent="0.25">
      <c r="AD5021"/>
    </row>
    <row r="5022" spans="30:30" x14ac:dyDescent="0.25">
      <c r="AD5022"/>
    </row>
    <row r="5023" spans="30:30" x14ac:dyDescent="0.25">
      <c r="AD5023"/>
    </row>
    <row r="5024" spans="30:30" x14ac:dyDescent="0.25">
      <c r="AD5024"/>
    </row>
    <row r="5025" spans="30:30" x14ac:dyDescent="0.25">
      <c r="AD5025"/>
    </row>
    <row r="5026" spans="30:30" x14ac:dyDescent="0.25">
      <c r="AD5026"/>
    </row>
    <row r="5027" spans="30:30" x14ac:dyDescent="0.25">
      <c r="AD5027"/>
    </row>
    <row r="5028" spans="30:30" x14ac:dyDescent="0.25">
      <c r="AD5028"/>
    </row>
    <row r="5029" spans="30:30" x14ac:dyDescent="0.25">
      <c r="AD5029"/>
    </row>
    <row r="5030" spans="30:30" x14ac:dyDescent="0.25">
      <c r="AD5030"/>
    </row>
    <row r="5031" spans="30:30" x14ac:dyDescent="0.25">
      <c r="AD5031"/>
    </row>
    <row r="5032" spans="30:30" x14ac:dyDescent="0.25">
      <c r="AD5032"/>
    </row>
    <row r="5033" spans="30:30" x14ac:dyDescent="0.25">
      <c r="AD5033"/>
    </row>
    <row r="5034" spans="30:30" x14ac:dyDescent="0.25">
      <c r="AD5034"/>
    </row>
    <row r="5035" spans="30:30" x14ac:dyDescent="0.25">
      <c r="AD5035"/>
    </row>
    <row r="5036" spans="30:30" x14ac:dyDescent="0.25">
      <c r="AD5036"/>
    </row>
    <row r="5037" spans="30:30" x14ac:dyDescent="0.25">
      <c r="AD5037"/>
    </row>
    <row r="5038" spans="30:30" x14ac:dyDescent="0.25">
      <c r="AD5038"/>
    </row>
    <row r="5039" spans="30:30" x14ac:dyDescent="0.25">
      <c r="AD5039"/>
    </row>
    <row r="5040" spans="30:30" x14ac:dyDescent="0.25">
      <c r="AD5040"/>
    </row>
    <row r="5041" spans="30:30" x14ac:dyDescent="0.25">
      <c r="AD5041"/>
    </row>
    <row r="5042" spans="30:30" x14ac:dyDescent="0.25">
      <c r="AD5042"/>
    </row>
    <row r="5043" spans="30:30" x14ac:dyDescent="0.25">
      <c r="AD5043"/>
    </row>
    <row r="5044" spans="30:30" x14ac:dyDescent="0.25">
      <c r="AD5044"/>
    </row>
    <row r="5045" spans="30:30" x14ac:dyDescent="0.25">
      <c r="AD5045"/>
    </row>
    <row r="5046" spans="30:30" x14ac:dyDescent="0.25">
      <c r="AD5046"/>
    </row>
    <row r="5047" spans="30:30" x14ac:dyDescent="0.25">
      <c r="AD5047"/>
    </row>
    <row r="5048" spans="30:30" x14ac:dyDescent="0.25">
      <c r="AD5048"/>
    </row>
    <row r="5049" spans="30:30" x14ac:dyDescent="0.25">
      <c r="AD5049"/>
    </row>
    <row r="5050" spans="30:30" x14ac:dyDescent="0.25">
      <c r="AD5050"/>
    </row>
    <row r="5051" spans="30:30" x14ac:dyDescent="0.25">
      <c r="AD5051"/>
    </row>
    <row r="5052" spans="30:30" x14ac:dyDescent="0.25">
      <c r="AD5052"/>
    </row>
    <row r="5053" spans="30:30" x14ac:dyDescent="0.25">
      <c r="AD5053"/>
    </row>
    <row r="5054" spans="30:30" x14ac:dyDescent="0.25">
      <c r="AD5054"/>
    </row>
    <row r="5055" spans="30:30" x14ac:dyDescent="0.25">
      <c r="AD5055"/>
    </row>
    <row r="5056" spans="30:30" x14ac:dyDescent="0.25">
      <c r="AD5056"/>
    </row>
    <row r="5057" spans="30:30" x14ac:dyDescent="0.25">
      <c r="AD5057"/>
    </row>
    <row r="5058" spans="30:30" x14ac:dyDescent="0.25">
      <c r="AD5058"/>
    </row>
    <row r="5059" spans="30:30" x14ac:dyDescent="0.25">
      <c r="AD5059"/>
    </row>
    <row r="5060" spans="30:30" x14ac:dyDescent="0.25">
      <c r="AD5060"/>
    </row>
    <row r="5061" spans="30:30" x14ac:dyDescent="0.25">
      <c r="AD5061"/>
    </row>
    <row r="5062" spans="30:30" x14ac:dyDescent="0.25">
      <c r="AD5062"/>
    </row>
    <row r="5063" spans="30:30" x14ac:dyDescent="0.25">
      <c r="AD5063"/>
    </row>
    <row r="5064" spans="30:30" x14ac:dyDescent="0.25">
      <c r="AD5064"/>
    </row>
    <row r="5065" spans="30:30" x14ac:dyDescent="0.25">
      <c r="AD5065"/>
    </row>
    <row r="5066" spans="30:30" x14ac:dyDescent="0.25">
      <c r="AD5066"/>
    </row>
    <row r="5067" spans="30:30" x14ac:dyDescent="0.25">
      <c r="AD5067"/>
    </row>
    <row r="5068" spans="30:30" x14ac:dyDescent="0.25">
      <c r="AD5068"/>
    </row>
    <row r="5069" spans="30:30" x14ac:dyDescent="0.25">
      <c r="AD5069"/>
    </row>
    <row r="5070" spans="30:30" x14ac:dyDescent="0.25">
      <c r="AD5070"/>
    </row>
    <row r="5071" spans="30:30" x14ac:dyDescent="0.25">
      <c r="AD5071"/>
    </row>
    <row r="5072" spans="30:30" x14ac:dyDescent="0.25">
      <c r="AD5072"/>
    </row>
    <row r="5073" spans="30:30" x14ac:dyDescent="0.25">
      <c r="AD5073"/>
    </row>
    <row r="5074" spans="30:30" x14ac:dyDescent="0.25">
      <c r="AD5074"/>
    </row>
    <row r="5075" spans="30:30" x14ac:dyDescent="0.25">
      <c r="AD5075"/>
    </row>
    <row r="5076" spans="30:30" x14ac:dyDescent="0.25">
      <c r="AD5076"/>
    </row>
    <row r="5077" spans="30:30" x14ac:dyDescent="0.25">
      <c r="AD5077"/>
    </row>
    <row r="5078" spans="30:30" x14ac:dyDescent="0.25">
      <c r="AD5078"/>
    </row>
    <row r="5079" spans="30:30" x14ac:dyDescent="0.25">
      <c r="AD5079"/>
    </row>
    <row r="5080" spans="30:30" x14ac:dyDescent="0.25">
      <c r="AD5080"/>
    </row>
    <row r="5081" spans="30:30" x14ac:dyDescent="0.25">
      <c r="AD5081"/>
    </row>
    <row r="5082" spans="30:30" x14ac:dyDescent="0.25">
      <c r="AD5082"/>
    </row>
    <row r="5083" spans="30:30" x14ac:dyDescent="0.25">
      <c r="AD5083"/>
    </row>
    <row r="5084" spans="30:30" x14ac:dyDescent="0.25">
      <c r="AD5084"/>
    </row>
    <row r="5085" spans="30:30" x14ac:dyDescent="0.25">
      <c r="AD5085"/>
    </row>
    <row r="5086" spans="30:30" x14ac:dyDescent="0.25">
      <c r="AD5086"/>
    </row>
    <row r="5087" spans="30:30" x14ac:dyDescent="0.25">
      <c r="AD5087"/>
    </row>
    <row r="5088" spans="30:30" x14ac:dyDescent="0.25">
      <c r="AD5088"/>
    </row>
    <row r="5089" spans="30:30" x14ac:dyDescent="0.25">
      <c r="AD5089"/>
    </row>
    <row r="5090" spans="30:30" x14ac:dyDescent="0.25">
      <c r="AD5090"/>
    </row>
    <row r="5091" spans="30:30" x14ac:dyDescent="0.25">
      <c r="AD5091"/>
    </row>
    <row r="5092" spans="30:30" x14ac:dyDescent="0.25">
      <c r="AD5092"/>
    </row>
    <row r="5093" spans="30:30" x14ac:dyDescent="0.25">
      <c r="AD5093"/>
    </row>
    <row r="5094" spans="30:30" x14ac:dyDescent="0.25">
      <c r="AD5094"/>
    </row>
    <row r="5095" spans="30:30" x14ac:dyDescent="0.25">
      <c r="AD5095"/>
    </row>
    <row r="5096" spans="30:30" x14ac:dyDescent="0.25">
      <c r="AD5096"/>
    </row>
    <row r="5097" spans="30:30" x14ac:dyDescent="0.25">
      <c r="AD5097"/>
    </row>
    <row r="5098" spans="30:30" x14ac:dyDescent="0.25">
      <c r="AD5098"/>
    </row>
    <row r="5099" spans="30:30" x14ac:dyDescent="0.25">
      <c r="AD5099"/>
    </row>
    <row r="5100" spans="30:30" x14ac:dyDescent="0.25">
      <c r="AD5100"/>
    </row>
    <row r="5101" spans="30:30" x14ac:dyDescent="0.25">
      <c r="AD5101"/>
    </row>
    <row r="5102" spans="30:30" x14ac:dyDescent="0.25">
      <c r="AD5102"/>
    </row>
    <row r="5103" spans="30:30" x14ac:dyDescent="0.25">
      <c r="AD5103"/>
    </row>
    <row r="5104" spans="30:30" x14ac:dyDescent="0.25">
      <c r="AD5104"/>
    </row>
    <row r="5105" spans="30:30" x14ac:dyDescent="0.25">
      <c r="AD5105"/>
    </row>
    <row r="5106" spans="30:30" x14ac:dyDescent="0.25">
      <c r="AD5106"/>
    </row>
    <row r="5107" spans="30:30" x14ac:dyDescent="0.25">
      <c r="AD5107"/>
    </row>
    <row r="5108" spans="30:30" x14ac:dyDescent="0.25">
      <c r="AD5108"/>
    </row>
    <row r="5109" spans="30:30" x14ac:dyDescent="0.25">
      <c r="AD5109"/>
    </row>
    <row r="5110" spans="30:30" x14ac:dyDescent="0.25">
      <c r="AD5110"/>
    </row>
    <row r="5111" spans="30:30" x14ac:dyDescent="0.25">
      <c r="AD5111"/>
    </row>
    <row r="5112" spans="30:30" x14ac:dyDescent="0.25">
      <c r="AD5112"/>
    </row>
    <row r="5113" spans="30:30" x14ac:dyDescent="0.25">
      <c r="AD5113"/>
    </row>
    <row r="5114" spans="30:30" x14ac:dyDescent="0.25">
      <c r="AD5114"/>
    </row>
    <row r="5115" spans="30:30" x14ac:dyDescent="0.25">
      <c r="AD5115"/>
    </row>
    <row r="5116" spans="30:30" x14ac:dyDescent="0.25">
      <c r="AD5116"/>
    </row>
    <row r="5117" spans="30:30" x14ac:dyDescent="0.25">
      <c r="AD5117"/>
    </row>
    <row r="5118" spans="30:30" x14ac:dyDescent="0.25">
      <c r="AD5118"/>
    </row>
    <row r="5119" spans="30:30" x14ac:dyDescent="0.25">
      <c r="AD5119"/>
    </row>
    <row r="5120" spans="30:30" x14ac:dyDescent="0.25">
      <c r="AD5120"/>
    </row>
    <row r="5121" spans="30:30" x14ac:dyDescent="0.25">
      <c r="AD5121"/>
    </row>
    <row r="5122" spans="30:30" x14ac:dyDescent="0.25">
      <c r="AD5122"/>
    </row>
    <row r="5123" spans="30:30" x14ac:dyDescent="0.25">
      <c r="AD5123"/>
    </row>
    <row r="5124" spans="30:30" x14ac:dyDescent="0.25">
      <c r="AD5124"/>
    </row>
    <row r="5125" spans="30:30" x14ac:dyDescent="0.25">
      <c r="AD5125"/>
    </row>
    <row r="5126" spans="30:30" x14ac:dyDescent="0.25">
      <c r="AD5126"/>
    </row>
    <row r="5127" spans="30:30" x14ac:dyDescent="0.25">
      <c r="AD5127"/>
    </row>
    <row r="5128" spans="30:30" x14ac:dyDescent="0.25">
      <c r="AD5128"/>
    </row>
    <row r="5129" spans="30:30" x14ac:dyDescent="0.25">
      <c r="AD5129"/>
    </row>
    <row r="5130" spans="30:30" x14ac:dyDescent="0.25">
      <c r="AD5130"/>
    </row>
    <row r="5131" spans="30:30" x14ac:dyDescent="0.25">
      <c r="AD5131"/>
    </row>
    <row r="5132" spans="30:30" x14ac:dyDescent="0.25">
      <c r="AD5132"/>
    </row>
    <row r="5133" spans="30:30" x14ac:dyDescent="0.25">
      <c r="AD5133"/>
    </row>
    <row r="5134" spans="30:30" x14ac:dyDescent="0.25">
      <c r="AD5134"/>
    </row>
    <row r="5135" spans="30:30" x14ac:dyDescent="0.25">
      <c r="AD5135"/>
    </row>
    <row r="5136" spans="30:30" x14ac:dyDescent="0.25">
      <c r="AD5136"/>
    </row>
    <row r="5137" spans="30:30" x14ac:dyDescent="0.25">
      <c r="AD5137"/>
    </row>
    <row r="5138" spans="30:30" x14ac:dyDescent="0.25">
      <c r="AD5138"/>
    </row>
    <row r="5139" spans="30:30" x14ac:dyDescent="0.25">
      <c r="AD5139"/>
    </row>
    <row r="5140" spans="30:30" x14ac:dyDescent="0.25">
      <c r="AD5140"/>
    </row>
    <row r="5141" spans="30:30" x14ac:dyDescent="0.25">
      <c r="AD5141"/>
    </row>
    <row r="5142" spans="30:30" x14ac:dyDescent="0.25">
      <c r="AD5142"/>
    </row>
    <row r="5143" spans="30:30" x14ac:dyDescent="0.25">
      <c r="AD5143"/>
    </row>
    <row r="5144" spans="30:30" x14ac:dyDescent="0.25">
      <c r="AD5144"/>
    </row>
    <row r="5145" spans="30:30" x14ac:dyDescent="0.25">
      <c r="AD5145"/>
    </row>
    <row r="5146" spans="30:30" x14ac:dyDescent="0.25">
      <c r="AD5146"/>
    </row>
    <row r="5147" spans="30:30" x14ac:dyDescent="0.25">
      <c r="AD5147"/>
    </row>
    <row r="5148" spans="30:30" x14ac:dyDescent="0.25">
      <c r="AD5148"/>
    </row>
    <row r="5149" spans="30:30" x14ac:dyDescent="0.25">
      <c r="AD5149"/>
    </row>
    <row r="5150" spans="30:30" x14ac:dyDescent="0.25">
      <c r="AD5150"/>
    </row>
    <row r="5151" spans="30:30" x14ac:dyDescent="0.25">
      <c r="AD5151"/>
    </row>
    <row r="5152" spans="30:30" x14ac:dyDescent="0.25">
      <c r="AD5152"/>
    </row>
    <row r="5153" spans="30:30" x14ac:dyDescent="0.25">
      <c r="AD5153"/>
    </row>
    <row r="5154" spans="30:30" x14ac:dyDescent="0.25">
      <c r="AD5154"/>
    </row>
    <row r="5155" spans="30:30" x14ac:dyDescent="0.25">
      <c r="AD5155"/>
    </row>
    <row r="5156" spans="30:30" x14ac:dyDescent="0.25">
      <c r="AD5156"/>
    </row>
    <row r="5157" spans="30:30" x14ac:dyDescent="0.25">
      <c r="AD5157"/>
    </row>
    <row r="5158" spans="30:30" x14ac:dyDescent="0.25">
      <c r="AD5158"/>
    </row>
    <row r="5159" spans="30:30" x14ac:dyDescent="0.25">
      <c r="AD5159"/>
    </row>
    <row r="5160" spans="30:30" x14ac:dyDescent="0.25">
      <c r="AD5160"/>
    </row>
    <row r="5161" spans="30:30" x14ac:dyDescent="0.25">
      <c r="AD5161"/>
    </row>
    <row r="5162" spans="30:30" x14ac:dyDescent="0.25">
      <c r="AD5162"/>
    </row>
    <row r="5163" spans="30:30" x14ac:dyDescent="0.25">
      <c r="AD5163"/>
    </row>
    <row r="5164" spans="30:30" x14ac:dyDescent="0.25">
      <c r="AD5164"/>
    </row>
    <row r="5165" spans="30:30" x14ac:dyDescent="0.25">
      <c r="AD5165"/>
    </row>
    <row r="5166" spans="30:30" x14ac:dyDescent="0.25">
      <c r="AD5166"/>
    </row>
    <row r="5167" spans="30:30" x14ac:dyDescent="0.25">
      <c r="AD5167"/>
    </row>
    <row r="5168" spans="30:30" x14ac:dyDescent="0.25">
      <c r="AD5168"/>
    </row>
    <row r="5169" spans="30:30" x14ac:dyDescent="0.25">
      <c r="AD5169"/>
    </row>
    <row r="5170" spans="30:30" x14ac:dyDescent="0.25">
      <c r="AD5170"/>
    </row>
    <row r="5171" spans="30:30" x14ac:dyDescent="0.25">
      <c r="AD5171"/>
    </row>
    <row r="5172" spans="30:30" x14ac:dyDescent="0.25">
      <c r="AD5172"/>
    </row>
    <row r="5173" spans="30:30" x14ac:dyDescent="0.25">
      <c r="AD5173"/>
    </row>
    <row r="5174" spans="30:30" x14ac:dyDescent="0.25">
      <c r="AD5174"/>
    </row>
    <row r="5175" spans="30:30" x14ac:dyDescent="0.25">
      <c r="AD5175"/>
    </row>
    <row r="5176" spans="30:30" x14ac:dyDescent="0.25">
      <c r="AD5176"/>
    </row>
    <row r="5177" spans="30:30" x14ac:dyDescent="0.25">
      <c r="AD5177"/>
    </row>
    <row r="5178" spans="30:30" x14ac:dyDescent="0.25">
      <c r="AD5178"/>
    </row>
    <row r="5179" spans="30:30" x14ac:dyDescent="0.25">
      <c r="AD5179"/>
    </row>
    <row r="5180" spans="30:30" x14ac:dyDescent="0.25">
      <c r="AD5180"/>
    </row>
    <row r="5181" spans="30:30" x14ac:dyDescent="0.25">
      <c r="AD5181"/>
    </row>
    <row r="5182" spans="30:30" x14ac:dyDescent="0.25">
      <c r="AD5182"/>
    </row>
    <row r="5183" spans="30:30" x14ac:dyDescent="0.25">
      <c r="AD5183"/>
    </row>
    <row r="5184" spans="30:30" x14ac:dyDescent="0.25">
      <c r="AD5184"/>
    </row>
    <row r="5185" spans="30:30" x14ac:dyDescent="0.25">
      <c r="AD5185"/>
    </row>
    <row r="5186" spans="30:30" x14ac:dyDescent="0.25">
      <c r="AD5186"/>
    </row>
    <row r="5187" spans="30:30" x14ac:dyDescent="0.25">
      <c r="AD5187"/>
    </row>
    <row r="5188" spans="30:30" x14ac:dyDescent="0.25">
      <c r="AD5188"/>
    </row>
    <row r="5189" spans="30:30" x14ac:dyDescent="0.25">
      <c r="AD5189"/>
    </row>
    <row r="5190" spans="30:30" x14ac:dyDescent="0.25">
      <c r="AD5190"/>
    </row>
    <row r="5191" spans="30:30" x14ac:dyDescent="0.25">
      <c r="AD5191"/>
    </row>
    <row r="5192" spans="30:30" x14ac:dyDescent="0.25">
      <c r="AD5192"/>
    </row>
    <row r="5193" spans="30:30" x14ac:dyDescent="0.25">
      <c r="AD5193"/>
    </row>
    <row r="5194" spans="30:30" x14ac:dyDescent="0.25">
      <c r="AD5194"/>
    </row>
    <row r="5195" spans="30:30" x14ac:dyDescent="0.25">
      <c r="AD5195"/>
    </row>
    <row r="5196" spans="30:30" x14ac:dyDescent="0.25">
      <c r="AD5196"/>
    </row>
    <row r="5197" spans="30:30" x14ac:dyDescent="0.25">
      <c r="AD5197"/>
    </row>
    <row r="5198" spans="30:30" x14ac:dyDescent="0.25">
      <c r="AD5198"/>
    </row>
    <row r="5199" spans="30:30" x14ac:dyDescent="0.25">
      <c r="AD5199"/>
    </row>
    <row r="5200" spans="30:30" x14ac:dyDescent="0.25">
      <c r="AD5200"/>
    </row>
    <row r="5201" spans="30:30" x14ac:dyDescent="0.25">
      <c r="AD5201"/>
    </row>
    <row r="5202" spans="30:30" x14ac:dyDescent="0.25">
      <c r="AD5202"/>
    </row>
    <row r="5203" spans="30:30" x14ac:dyDescent="0.25">
      <c r="AD5203"/>
    </row>
    <row r="5204" spans="30:30" x14ac:dyDescent="0.25">
      <c r="AD5204"/>
    </row>
    <row r="5205" spans="30:30" x14ac:dyDescent="0.25">
      <c r="AD5205"/>
    </row>
    <row r="5206" spans="30:30" x14ac:dyDescent="0.25">
      <c r="AD5206"/>
    </row>
    <row r="5207" spans="30:30" x14ac:dyDescent="0.25">
      <c r="AD5207"/>
    </row>
    <row r="5208" spans="30:30" x14ac:dyDescent="0.25">
      <c r="AD5208"/>
    </row>
    <row r="5209" spans="30:30" x14ac:dyDescent="0.25">
      <c r="AD5209"/>
    </row>
    <row r="5210" spans="30:30" x14ac:dyDescent="0.25">
      <c r="AD5210"/>
    </row>
    <row r="5211" spans="30:30" x14ac:dyDescent="0.25">
      <c r="AD5211"/>
    </row>
    <row r="5212" spans="30:30" x14ac:dyDescent="0.25">
      <c r="AD5212"/>
    </row>
    <row r="5213" spans="30:30" x14ac:dyDescent="0.25">
      <c r="AD5213"/>
    </row>
    <row r="5214" spans="30:30" x14ac:dyDescent="0.25">
      <c r="AD5214"/>
    </row>
    <row r="5215" spans="30:30" x14ac:dyDescent="0.25">
      <c r="AD5215"/>
    </row>
    <row r="5216" spans="30:30" x14ac:dyDescent="0.25">
      <c r="AD5216"/>
    </row>
    <row r="5217" spans="30:30" x14ac:dyDescent="0.25">
      <c r="AD5217"/>
    </row>
    <row r="5218" spans="30:30" x14ac:dyDescent="0.25">
      <c r="AD5218"/>
    </row>
    <row r="5219" spans="30:30" x14ac:dyDescent="0.25">
      <c r="AD5219"/>
    </row>
    <row r="5220" spans="30:30" x14ac:dyDescent="0.25">
      <c r="AD5220"/>
    </row>
    <row r="5221" spans="30:30" x14ac:dyDescent="0.25">
      <c r="AD5221"/>
    </row>
    <row r="5222" spans="30:30" x14ac:dyDescent="0.25">
      <c r="AD5222"/>
    </row>
    <row r="5223" spans="30:30" x14ac:dyDescent="0.25">
      <c r="AD5223"/>
    </row>
    <row r="5224" spans="30:30" x14ac:dyDescent="0.25">
      <c r="AD5224"/>
    </row>
    <row r="5225" spans="30:30" x14ac:dyDescent="0.25">
      <c r="AD5225"/>
    </row>
    <row r="5226" spans="30:30" x14ac:dyDescent="0.25">
      <c r="AD5226"/>
    </row>
    <row r="5227" spans="30:30" x14ac:dyDescent="0.25">
      <c r="AD5227"/>
    </row>
    <row r="5228" spans="30:30" x14ac:dyDescent="0.25">
      <c r="AD5228"/>
    </row>
    <row r="5229" spans="30:30" x14ac:dyDescent="0.25">
      <c r="AD5229"/>
    </row>
    <row r="5230" spans="30:30" x14ac:dyDescent="0.25">
      <c r="AD5230"/>
    </row>
    <row r="5231" spans="30:30" x14ac:dyDescent="0.25">
      <c r="AD5231"/>
    </row>
    <row r="5232" spans="30:30" x14ac:dyDescent="0.25">
      <c r="AD5232"/>
    </row>
    <row r="5233" spans="30:30" x14ac:dyDescent="0.25">
      <c r="AD5233"/>
    </row>
    <row r="5234" spans="30:30" x14ac:dyDescent="0.25">
      <c r="AD5234"/>
    </row>
    <row r="5235" spans="30:30" x14ac:dyDescent="0.25">
      <c r="AD5235"/>
    </row>
    <row r="5236" spans="30:30" x14ac:dyDescent="0.25">
      <c r="AD5236"/>
    </row>
    <row r="5237" spans="30:30" x14ac:dyDescent="0.25">
      <c r="AD5237"/>
    </row>
    <row r="5238" spans="30:30" x14ac:dyDescent="0.25">
      <c r="AD5238"/>
    </row>
    <row r="5239" spans="30:30" x14ac:dyDescent="0.25">
      <c r="AD5239"/>
    </row>
    <row r="5240" spans="30:30" x14ac:dyDescent="0.25">
      <c r="AD5240"/>
    </row>
    <row r="5241" spans="30:30" x14ac:dyDescent="0.25">
      <c r="AD5241"/>
    </row>
    <row r="5242" spans="30:30" x14ac:dyDescent="0.25">
      <c r="AD5242"/>
    </row>
    <row r="5243" spans="30:30" x14ac:dyDescent="0.25">
      <c r="AD5243"/>
    </row>
    <row r="5244" spans="30:30" x14ac:dyDescent="0.25">
      <c r="AD5244"/>
    </row>
    <row r="5245" spans="30:30" x14ac:dyDescent="0.25">
      <c r="AD5245"/>
    </row>
    <row r="5246" spans="30:30" x14ac:dyDescent="0.25">
      <c r="AD5246"/>
    </row>
    <row r="5247" spans="30:30" x14ac:dyDescent="0.25">
      <c r="AD5247"/>
    </row>
    <row r="5248" spans="30:30" x14ac:dyDescent="0.25">
      <c r="AD5248"/>
    </row>
    <row r="5249" spans="30:30" x14ac:dyDescent="0.25">
      <c r="AD5249"/>
    </row>
    <row r="5250" spans="30:30" x14ac:dyDescent="0.25">
      <c r="AD5250"/>
    </row>
    <row r="5251" spans="30:30" x14ac:dyDescent="0.25">
      <c r="AD5251"/>
    </row>
    <row r="5252" spans="30:30" x14ac:dyDescent="0.25">
      <c r="AD5252"/>
    </row>
    <row r="5253" spans="30:30" x14ac:dyDescent="0.25">
      <c r="AD5253"/>
    </row>
    <row r="5254" spans="30:30" x14ac:dyDescent="0.25">
      <c r="AD5254"/>
    </row>
    <row r="5255" spans="30:30" x14ac:dyDescent="0.25">
      <c r="AD5255"/>
    </row>
    <row r="5256" spans="30:30" x14ac:dyDescent="0.25">
      <c r="AD5256"/>
    </row>
    <row r="5257" spans="30:30" x14ac:dyDescent="0.25">
      <c r="AD5257"/>
    </row>
    <row r="5258" spans="30:30" x14ac:dyDescent="0.25">
      <c r="AD5258"/>
    </row>
    <row r="5259" spans="30:30" x14ac:dyDescent="0.25">
      <c r="AD5259"/>
    </row>
    <row r="5260" spans="30:30" x14ac:dyDescent="0.25">
      <c r="AD5260"/>
    </row>
    <row r="5261" spans="30:30" x14ac:dyDescent="0.25">
      <c r="AD5261"/>
    </row>
    <row r="5262" spans="30:30" x14ac:dyDescent="0.25">
      <c r="AD5262"/>
    </row>
    <row r="5263" spans="30:30" x14ac:dyDescent="0.25">
      <c r="AD5263"/>
    </row>
    <row r="5264" spans="30:30" x14ac:dyDescent="0.25">
      <c r="AD5264"/>
    </row>
    <row r="5265" spans="30:30" x14ac:dyDescent="0.25">
      <c r="AD5265"/>
    </row>
    <row r="5266" spans="30:30" x14ac:dyDescent="0.25">
      <c r="AD5266"/>
    </row>
    <row r="5267" spans="30:30" x14ac:dyDescent="0.25">
      <c r="AD5267"/>
    </row>
    <row r="5268" spans="30:30" x14ac:dyDescent="0.25">
      <c r="AD5268"/>
    </row>
    <row r="5269" spans="30:30" x14ac:dyDescent="0.25">
      <c r="AD5269"/>
    </row>
    <row r="5270" spans="30:30" x14ac:dyDescent="0.25">
      <c r="AD5270"/>
    </row>
    <row r="5271" spans="30:30" x14ac:dyDescent="0.25">
      <c r="AD5271"/>
    </row>
    <row r="5272" spans="30:30" x14ac:dyDescent="0.25">
      <c r="AD5272"/>
    </row>
    <row r="5273" spans="30:30" x14ac:dyDescent="0.25">
      <c r="AD5273"/>
    </row>
    <row r="5274" spans="30:30" x14ac:dyDescent="0.25">
      <c r="AD5274"/>
    </row>
    <row r="5275" spans="30:30" x14ac:dyDescent="0.25">
      <c r="AD5275"/>
    </row>
    <row r="5276" spans="30:30" x14ac:dyDescent="0.25">
      <c r="AD5276"/>
    </row>
    <row r="5277" spans="30:30" x14ac:dyDescent="0.25">
      <c r="AD5277"/>
    </row>
    <row r="5278" spans="30:30" x14ac:dyDescent="0.25">
      <c r="AD5278"/>
    </row>
    <row r="5279" spans="30:30" x14ac:dyDescent="0.25">
      <c r="AD5279"/>
    </row>
    <row r="5280" spans="30:30" x14ac:dyDescent="0.25">
      <c r="AD5280"/>
    </row>
    <row r="5281" spans="30:30" x14ac:dyDescent="0.25">
      <c r="AD5281"/>
    </row>
    <row r="5282" spans="30:30" x14ac:dyDescent="0.25">
      <c r="AD5282"/>
    </row>
    <row r="5283" spans="30:30" x14ac:dyDescent="0.25">
      <c r="AD5283"/>
    </row>
    <row r="5284" spans="30:30" x14ac:dyDescent="0.25">
      <c r="AD5284"/>
    </row>
    <row r="5285" spans="30:30" x14ac:dyDescent="0.25">
      <c r="AD5285"/>
    </row>
    <row r="5286" spans="30:30" x14ac:dyDescent="0.25">
      <c r="AD5286"/>
    </row>
    <row r="5287" spans="30:30" x14ac:dyDescent="0.25">
      <c r="AD5287"/>
    </row>
    <row r="5288" spans="30:30" x14ac:dyDescent="0.25">
      <c r="AD5288"/>
    </row>
    <row r="5289" spans="30:30" x14ac:dyDescent="0.25">
      <c r="AD5289"/>
    </row>
    <row r="5290" spans="30:30" x14ac:dyDescent="0.25">
      <c r="AD5290"/>
    </row>
    <row r="5291" spans="30:30" x14ac:dyDescent="0.25">
      <c r="AD5291"/>
    </row>
    <row r="5292" spans="30:30" x14ac:dyDescent="0.25">
      <c r="AD5292"/>
    </row>
    <row r="5293" spans="30:30" x14ac:dyDescent="0.25">
      <c r="AD5293"/>
    </row>
    <row r="5294" spans="30:30" x14ac:dyDescent="0.25">
      <c r="AD5294"/>
    </row>
    <row r="5295" spans="30:30" x14ac:dyDescent="0.25">
      <c r="AD5295"/>
    </row>
    <row r="5296" spans="30:30" x14ac:dyDescent="0.25">
      <c r="AD5296"/>
    </row>
    <row r="5297" spans="30:30" x14ac:dyDescent="0.25">
      <c r="AD5297"/>
    </row>
    <row r="5298" spans="30:30" x14ac:dyDescent="0.25">
      <c r="AD5298"/>
    </row>
    <row r="5299" spans="30:30" x14ac:dyDescent="0.25">
      <c r="AD5299"/>
    </row>
    <row r="5300" spans="30:30" x14ac:dyDescent="0.25">
      <c r="AD5300"/>
    </row>
    <row r="5301" spans="30:30" x14ac:dyDescent="0.25">
      <c r="AD5301"/>
    </row>
    <row r="5302" spans="30:30" x14ac:dyDescent="0.25">
      <c r="AD5302"/>
    </row>
    <row r="5303" spans="30:30" x14ac:dyDescent="0.25">
      <c r="AD5303"/>
    </row>
    <row r="5304" spans="30:30" x14ac:dyDescent="0.25">
      <c r="AD5304"/>
    </row>
    <row r="5305" spans="30:30" x14ac:dyDescent="0.25">
      <c r="AD5305"/>
    </row>
    <row r="5306" spans="30:30" x14ac:dyDescent="0.25">
      <c r="AD5306"/>
    </row>
    <row r="5307" spans="30:30" x14ac:dyDescent="0.25">
      <c r="AD5307"/>
    </row>
    <row r="5308" spans="30:30" x14ac:dyDescent="0.25">
      <c r="AD5308"/>
    </row>
    <row r="5309" spans="30:30" x14ac:dyDescent="0.25">
      <c r="AD5309"/>
    </row>
    <row r="5310" spans="30:30" x14ac:dyDescent="0.25">
      <c r="AD5310"/>
    </row>
    <row r="5311" spans="30:30" x14ac:dyDescent="0.25">
      <c r="AD5311"/>
    </row>
    <row r="5312" spans="30:30" x14ac:dyDescent="0.25">
      <c r="AD5312"/>
    </row>
    <row r="5313" spans="30:30" x14ac:dyDescent="0.25">
      <c r="AD5313"/>
    </row>
    <row r="5314" spans="30:30" x14ac:dyDescent="0.25">
      <c r="AD5314"/>
    </row>
    <row r="5315" spans="30:30" x14ac:dyDescent="0.25">
      <c r="AD5315"/>
    </row>
    <row r="5316" spans="30:30" x14ac:dyDescent="0.25">
      <c r="AD5316"/>
    </row>
    <row r="5317" spans="30:30" x14ac:dyDescent="0.25">
      <c r="AD5317"/>
    </row>
    <row r="5318" spans="30:30" x14ac:dyDescent="0.25">
      <c r="AD5318"/>
    </row>
    <row r="5319" spans="30:30" x14ac:dyDescent="0.25">
      <c r="AD5319"/>
    </row>
    <row r="5320" spans="30:30" x14ac:dyDescent="0.25">
      <c r="AD5320"/>
    </row>
    <row r="5321" spans="30:30" x14ac:dyDescent="0.25">
      <c r="AD5321"/>
    </row>
    <row r="5322" spans="30:30" x14ac:dyDescent="0.25">
      <c r="AD5322"/>
    </row>
    <row r="5323" spans="30:30" x14ac:dyDescent="0.25">
      <c r="AD5323"/>
    </row>
    <row r="5324" spans="30:30" x14ac:dyDescent="0.25">
      <c r="AD5324"/>
    </row>
    <row r="5325" spans="30:30" x14ac:dyDescent="0.25">
      <c r="AD5325"/>
    </row>
    <row r="5326" spans="30:30" x14ac:dyDescent="0.25">
      <c r="AD5326"/>
    </row>
    <row r="5327" spans="30:30" x14ac:dyDescent="0.25">
      <c r="AD5327"/>
    </row>
    <row r="5328" spans="30:30" x14ac:dyDescent="0.25">
      <c r="AD5328"/>
    </row>
    <row r="5329" spans="30:30" x14ac:dyDescent="0.25">
      <c r="AD5329"/>
    </row>
    <row r="5330" spans="30:30" x14ac:dyDescent="0.25">
      <c r="AD5330"/>
    </row>
    <row r="5331" spans="30:30" x14ac:dyDescent="0.25">
      <c r="AD5331"/>
    </row>
    <row r="5332" spans="30:30" x14ac:dyDescent="0.25">
      <c r="AD5332"/>
    </row>
    <row r="5333" spans="30:30" x14ac:dyDescent="0.25">
      <c r="AD5333"/>
    </row>
    <row r="5334" spans="30:30" x14ac:dyDescent="0.25">
      <c r="AD5334"/>
    </row>
    <row r="5335" spans="30:30" x14ac:dyDescent="0.25">
      <c r="AD5335"/>
    </row>
    <row r="5336" spans="30:30" x14ac:dyDescent="0.25">
      <c r="AD5336"/>
    </row>
    <row r="5337" spans="30:30" x14ac:dyDescent="0.25">
      <c r="AD5337"/>
    </row>
    <row r="5338" spans="30:30" x14ac:dyDescent="0.25">
      <c r="AD5338"/>
    </row>
    <row r="5339" spans="30:30" x14ac:dyDescent="0.25">
      <c r="AD5339"/>
    </row>
    <row r="5340" spans="30:30" x14ac:dyDescent="0.25">
      <c r="AD5340"/>
    </row>
    <row r="5341" spans="30:30" x14ac:dyDescent="0.25">
      <c r="AD5341"/>
    </row>
    <row r="5342" spans="30:30" x14ac:dyDescent="0.25">
      <c r="AD5342"/>
    </row>
    <row r="5343" spans="30:30" x14ac:dyDescent="0.25">
      <c r="AD5343"/>
    </row>
    <row r="5344" spans="30:30" x14ac:dyDescent="0.25">
      <c r="AD5344"/>
    </row>
    <row r="5345" spans="30:30" x14ac:dyDescent="0.25">
      <c r="AD5345"/>
    </row>
    <row r="5346" spans="30:30" x14ac:dyDescent="0.25">
      <c r="AD5346"/>
    </row>
    <row r="5347" spans="30:30" x14ac:dyDescent="0.25">
      <c r="AD5347"/>
    </row>
    <row r="5348" spans="30:30" x14ac:dyDescent="0.25">
      <c r="AD5348"/>
    </row>
    <row r="5349" spans="30:30" x14ac:dyDescent="0.25">
      <c r="AD5349"/>
    </row>
    <row r="5350" spans="30:30" x14ac:dyDescent="0.25">
      <c r="AD5350"/>
    </row>
    <row r="5351" spans="30:30" x14ac:dyDescent="0.25">
      <c r="AD5351"/>
    </row>
    <row r="5352" spans="30:30" x14ac:dyDescent="0.25">
      <c r="AD5352"/>
    </row>
    <row r="5353" spans="30:30" x14ac:dyDescent="0.25">
      <c r="AD5353"/>
    </row>
    <row r="5354" spans="30:30" x14ac:dyDescent="0.25">
      <c r="AD5354"/>
    </row>
    <row r="5355" spans="30:30" x14ac:dyDescent="0.25">
      <c r="AD5355"/>
    </row>
    <row r="5356" spans="30:30" x14ac:dyDescent="0.25">
      <c r="AD5356"/>
    </row>
    <row r="5357" spans="30:30" x14ac:dyDescent="0.25">
      <c r="AD5357"/>
    </row>
    <row r="5358" spans="30:30" x14ac:dyDescent="0.25">
      <c r="AD5358"/>
    </row>
    <row r="5359" spans="30:30" x14ac:dyDescent="0.25">
      <c r="AD5359"/>
    </row>
    <row r="5360" spans="30:30" x14ac:dyDescent="0.25">
      <c r="AD5360"/>
    </row>
    <row r="5361" spans="30:30" x14ac:dyDescent="0.25">
      <c r="AD5361"/>
    </row>
    <row r="5362" spans="30:30" x14ac:dyDescent="0.25">
      <c r="AD5362"/>
    </row>
    <row r="5363" spans="30:30" x14ac:dyDescent="0.25">
      <c r="AD5363"/>
    </row>
    <row r="5364" spans="30:30" x14ac:dyDescent="0.25">
      <c r="AD5364"/>
    </row>
    <row r="5365" spans="30:30" x14ac:dyDescent="0.25">
      <c r="AD5365"/>
    </row>
    <row r="5366" spans="30:30" x14ac:dyDescent="0.25">
      <c r="AD5366"/>
    </row>
    <row r="5367" spans="30:30" x14ac:dyDescent="0.25">
      <c r="AD5367"/>
    </row>
    <row r="5368" spans="30:30" x14ac:dyDescent="0.25">
      <c r="AD5368"/>
    </row>
    <row r="5369" spans="30:30" x14ac:dyDescent="0.25">
      <c r="AD5369"/>
    </row>
    <row r="5370" spans="30:30" x14ac:dyDescent="0.25">
      <c r="AD5370"/>
    </row>
    <row r="5371" spans="30:30" x14ac:dyDescent="0.25">
      <c r="AD5371"/>
    </row>
    <row r="5372" spans="30:30" x14ac:dyDescent="0.25">
      <c r="AD5372"/>
    </row>
    <row r="5373" spans="30:30" x14ac:dyDescent="0.25">
      <c r="AD5373"/>
    </row>
    <row r="5374" spans="30:30" x14ac:dyDescent="0.25">
      <c r="AD5374"/>
    </row>
    <row r="5375" spans="30:30" x14ac:dyDescent="0.25">
      <c r="AD5375"/>
    </row>
    <row r="5376" spans="30:30" x14ac:dyDescent="0.25">
      <c r="AD5376"/>
    </row>
    <row r="5377" spans="30:30" x14ac:dyDescent="0.25">
      <c r="AD5377"/>
    </row>
    <row r="5378" spans="30:30" x14ac:dyDescent="0.25">
      <c r="AD5378"/>
    </row>
    <row r="5379" spans="30:30" x14ac:dyDescent="0.25">
      <c r="AD5379"/>
    </row>
    <row r="5380" spans="30:30" x14ac:dyDescent="0.25">
      <c r="AD5380"/>
    </row>
    <row r="5381" spans="30:30" x14ac:dyDescent="0.25">
      <c r="AD5381"/>
    </row>
    <row r="5382" spans="30:30" x14ac:dyDescent="0.25">
      <c r="AD5382"/>
    </row>
    <row r="5383" spans="30:30" x14ac:dyDescent="0.25">
      <c r="AD5383"/>
    </row>
    <row r="5384" spans="30:30" x14ac:dyDescent="0.25">
      <c r="AD5384"/>
    </row>
    <row r="5385" spans="30:30" x14ac:dyDescent="0.25">
      <c r="AD5385"/>
    </row>
    <row r="5386" spans="30:30" x14ac:dyDescent="0.25">
      <c r="AD5386"/>
    </row>
    <row r="5387" spans="30:30" x14ac:dyDescent="0.25">
      <c r="AD5387"/>
    </row>
    <row r="5388" spans="30:30" x14ac:dyDescent="0.25">
      <c r="AD5388"/>
    </row>
    <row r="5389" spans="30:30" x14ac:dyDescent="0.25">
      <c r="AD5389"/>
    </row>
    <row r="5390" spans="30:30" x14ac:dyDescent="0.25">
      <c r="AD5390"/>
    </row>
    <row r="5391" spans="30:30" x14ac:dyDescent="0.25">
      <c r="AD5391"/>
    </row>
    <row r="5392" spans="30:30" x14ac:dyDescent="0.25">
      <c r="AD5392"/>
    </row>
    <row r="5393" spans="30:30" x14ac:dyDescent="0.25">
      <c r="AD5393"/>
    </row>
    <row r="5394" spans="30:30" x14ac:dyDescent="0.25">
      <c r="AD5394"/>
    </row>
    <row r="5395" spans="30:30" x14ac:dyDescent="0.25">
      <c r="AD5395"/>
    </row>
    <row r="5396" spans="30:30" x14ac:dyDescent="0.25">
      <c r="AD5396"/>
    </row>
    <row r="5397" spans="30:30" x14ac:dyDescent="0.25">
      <c r="AD5397"/>
    </row>
    <row r="5398" spans="30:30" x14ac:dyDescent="0.25">
      <c r="AD5398"/>
    </row>
    <row r="5399" spans="30:30" x14ac:dyDescent="0.25">
      <c r="AD5399"/>
    </row>
    <row r="5400" spans="30:30" x14ac:dyDescent="0.25">
      <c r="AD5400"/>
    </row>
    <row r="5401" spans="30:30" x14ac:dyDescent="0.25">
      <c r="AD5401"/>
    </row>
    <row r="5402" spans="30:30" x14ac:dyDescent="0.25">
      <c r="AD5402"/>
    </row>
    <row r="5403" spans="30:30" x14ac:dyDescent="0.25">
      <c r="AD5403"/>
    </row>
    <row r="5404" spans="30:30" x14ac:dyDescent="0.25">
      <c r="AD5404"/>
    </row>
    <row r="5405" spans="30:30" x14ac:dyDescent="0.25">
      <c r="AD5405"/>
    </row>
    <row r="5406" spans="30:30" x14ac:dyDescent="0.25">
      <c r="AD5406"/>
    </row>
    <row r="5407" spans="30:30" x14ac:dyDescent="0.25">
      <c r="AD5407"/>
    </row>
    <row r="5408" spans="30:30" x14ac:dyDescent="0.25">
      <c r="AD5408"/>
    </row>
    <row r="5409" spans="30:30" x14ac:dyDescent="0.25">
      <c r="AD5409"/>
    </row>
    <row r="5410" spans="30:30" x14ac:dyDescent="0.25">
      <c r="AD5410"/>
    </row>
    <row r="5411" spans="30:30" x14ac:dyDescent="0.25">
      <c r="AD5411"/>
    </row>
    <row r="5412" spans="30:30" x14ac:dyDescent="0.25">
      <c r="AD5412"/>
    </row>
    <row r="5413" spans="30:30" x14ac:dyDescent="0.25">
      <c r="AD5413"/>
    </row>
    <row r="5414" spans="30:30" x14ac:dyDescent="0.25">
      <c r="AD5414"/>
    </row>
    <row r="5415" spans="30:30" x14ac:dyDescent="0.25">
      <c r="AD5415"/>
    </row>
    <row r="5416" spans="30:30" x14ac:dyDescent="0.25">
      <c r="AD5416"/>
    </row>
    <row r="5417" spans="30:30" x14ac:dyDescent="0.25">
      <c r="AD5417"/>
    </row>
    <row r="5418" spans="30:30" x14ac:dyDescent="0.25">
      <c r="AD5418"/>
    </row>
    <row r="5419" spans="30:30" x14ac:dyDescent="0.25">
      <c r="AD5419"/>
    </row>
    <row r="5420" spans="30:30" x14ac:dyDescent="0.25">
      <c r="AD5420"/>
    </row>
    <row r="5421" spans="30:30" x14ac:dyDescent="0.25">
      <c r="AD5421"/>
    </row>
    <row r="5422" spans="30:30" x14ac:dyDescent="0.25">
      <c r="AD5422"/>
    </row>
    <row r="5423" spans="30:30" x14ac:dyDescent="0.25">
      <c r="AD5423"/>
    </row>
    <row r="5424" spans="30:30" x14ac:dyDescent="0.25">
      <c r="AD5424"/>
    </row>
    <row r="5425" spans="30:30" x14ac:dyDescent="0.25">
      <c r="AD5425"/>
    </row>
    <row r="5426" spans="30:30" x14ac:dyDescent="0.25">
      <c r="AD5426"/>
    </row>
    <row r="5427" spans="30:30" x14ac:dyDescent="0.25">
      <c r="AD5427"/>
    </row>
    <row r="5428" spans="30:30" x14ac:dyDescent="0.25">
      <c r="AD5428"/>
    </row>
    <row r="5429" spans="30:30" x14ac:dyDescent="0.25">
      <c r="AD5429"/>
    </row>
    <row r="5430" spans="30:30" x14ac:dyDescent="0.25">
      <c r="AD5430"/>
    </row>
    <row r="5431" spans="30:30" x14ac:dyDescent="0.25">
      <c r="AD5431"/>
    </row>
    <row r="5432" spans="30:30" x14ac:dyDescent="0.25">
      <c r="AD5432"/>
    </row>
    <row r="5433" spans="30:30" x14ac:dyDescent="0.25">
      <c r="AD5433"/>
    </row>
    <row r="5434" spans="30:30" x14ac:dyDescent="0.25">
      <c r="AD5434"/>
    </row>
    <row r="5435" spans="30:30" x14ac:dyDescent="0.25">
      <c r="AD5435"/>
    </row>
    <row r="5436" spans="30:30" x14ac:dyDescent="0.25">
      <c r="AD5436"/>
    </row>
    <row r="5437" spans="30:30" x14ac:dyDescent="0.25">
      <c r="AD5437"/>
    </row>
    <row r="5438" spans="30:30" x14ac:dyDescent="0.25">
      <c r="AD5438"/>
    </row>
    <row r="5439" spans="30:30" x14ac:dyDescent="0.25">
      <c r="AD5439"/>
    </row>
    <row r="5440" spans="30:30" x14ac:dyDescent="0.25">
      <c r="AD5440"/>
    </row>
    <row r="5441" spans="30:30" x14ac:dyDescent="0.25">
      <c r="AD5441"/>
    </row>
    <row r="5442" spans="30:30" x14ac:dyDescent="0.25">
      <c r="AD5442"/>
    </row>
    <row r="5443" spans="30:30" x14ac:dyDescent="0.25">
      <c r="AD5443"/>
    </row>
    <row r="5444" spans="30:30" x14ac:dyDescent="0.25">
      <c r="AD5444"/>
    </row>
    <row r="5445" spans="30:30" x14ac:dyDescent="0.25">
      <c r="AD5445"/>
    </row>
    <row r="5446" spans="30:30" x14ac:dyDescent="0.25">
      <c r="AD5446"/>
    </row>
    <row r="5447" spans="30:30" x14ac:dyDescent="0.25">
      <c r="AD5447"/>
    </row>
    <row r="5448" spans="30:30" x14ac:dyDescent="0.25">
      <c r="AD5448"/>
    </row>
    <row r="5449" spans="30:30" x14ac:dyDescent="0.25">
      <c r="AD5449"/>
    </row>
    <row r="5450" spans="30:30" x14ac:dyDescent="0.25">
      <c r="AD5450"/>
    </row>
    <row r="5451" spans="30:30" x14ac:dyDescent="0.25">
      <c r="AD5451"/>
    </row>
    <row r="5452" spans="30:30" x14ac:dyDescent="0.25">
      <c r="AD5452"/>
    </row>
    <row r="5453" spans="30:30" x14ac:dyDescent="0.25">
      <c r="AD5453"/>
    </row>
    <row r="5454" spans="30:30" x14ac:dyDescent="0.25">
      <c r="AD5454"/>
    </row>
    <row r="5455" spans="30:30" x14ac:dyDescent="0.25">
      <c r="AD5455"/>
    </row>
    <row r="5456" spans="30:30" x14ac:dyDescent="0.25">
      <c r="AD5456"/>
    </row>
    <row r="5457" spans="30:30" x14ac:dyDescent="0.25">
      <c r="AD5457"/>
    </row>
    <row r="5458" spans="30:30" x14ac:dyDescent="0.25">
      <c r="AD5458"/>
    </row>
    <row r="5459" spans="30:30" x14ac:dyDescent="0.25">
      <c r="AD5459"/>
    </row>
    <row r="5460" spans="30:30" x14ac:dyDescent="0.25">
      <c r="AD5460"/>
    </row>
    <row r="5461" spans="30:30" x14ac:dyDescent="0.25">
      <c r="AD5461"/>
    </row>
    <row r="5462" spans="30:30" x14ac:dyDescent="0.25">
      <c r="AD5462"/>
    </row>
    <row r="5463" spans="30:30" x14ac:dyDescent="0.25">
      <c r="AD5463"/>
    </row>
    <row r="5464" spans="30:30" x14ac:dyDescent="0.25">
      <c r="AD5464"/>
    </row>
    <row r="5465" spans="30:30" x14ac:dyDescent="0.25">
      <c r="AD5465"/>
    </row>
    <row r="5466" spans="30:30" x14ac:dyDescent="0.25">
      <c r="AD5466"/>
    </row>
    <row r="5467" spans="30:30" x14ac:dyDescent="0.25">
      <c r="AD5467"/>
    </row>
    <row r="5468" spans="30:30" x14ac:dyDescent="0.25">
      <c r="AD5468"/>
    </row>
    <row r="5469" spans="30:30" x14ac:dyDescent="0.25">
      <c r="AD5469"/>
    </row>
    <row r="5470" spans="30:30" x14ac:dyDescent="0.25">
      <c r="AD5470"/>
    </row>
    <row r="5471" spans="30:30" x14ac:dyDescent="0.25">
      <c r="AD5471"/>
    </row>
    <row r="5472" spans="30:30" x14ac:dyDescent="0.25">
      <c r="AD5472"/>
    </row>
    <row r="5473" spans="30:30" x14ac:dyDescent="0.25">
      <c r="AD5473"/>
    </row>
    <row r="5474" spans="30:30" x14ac:dyDescent="0.25">
      <c r="AD5474"/>
    </row>
    <row r="5475" spans="30:30" x14ac:dyDescent="0.25">
      <c r="AD5475"/>
    </row>
    <row r="5476" spans="30:30" x14ac:dyDescent="0.25">
      <c r="AD5476"/>
    </row>
    <row r="5477" spans="30:30" x14ac:dyDescent="0.25">
      <c r="AD5477"/>
    </row>
    <row r="5478" spans="30:30" x14ac:dyDescent="0.25">
      <c r="AD5478"/>
    </row>
    <row r="5479" spans="30:30" x14ac:dyDescent="0.25">
      <c r="AD5479"/>
    </row>
    <row r="5480" spans="30:30" x14ac:dyDescent="0.25">
      <c r="AD5480"/>
    </row>
    <row r="5481" spans="30:30" x14ac:dyDescent="0.25">
      <c r="AD5481"/>
    </row>
    <row r="5482" spans="30:30" x14ac:dyDescent="0.25">
      <c r="AD5482"/>
    </row>
    <row r="5483" spans="30:30" x14ac:dyDescent="0.25">
      <c r="AD5483"/>
    </row>
    <row r="5484" spans="30:30" x14ac:dyDescent="0.25">
      <c r="AD5484"/>
    </row>
    <row r="5485" spans="30:30" x14ac:dyDescent="0.25">
      <c r="AD5485"/>
    </row>
    <row r="5486" spans="30:30" x14ac:dyDescent="0.25">
      <c r="AD5486"/>
    </row>
    <row r="5487" spans="30:30" x14ac:dyDescent="0.25">
      <c r="AD5487"/>
    </row>
    <row r="5488" spans="30:30" x14ac:dyDescent="0.25">
      <c r="AD5488"/>
    </row>
    <row r="5489" spans="30:30" x14ac:dyDescent="0.25">
      <c r="AD5489"/>
    </row>
    <row r="5490" spans="30:30" x14ac:dyDescent="0.25">
      <c r="AD5490"/>
    </row>
    <row r="5491" spans="30:30" x14ac:dyDescent="0.25">
      <c r="AD5491"/>
    </row>
    <row r="5492" spans="30:30" x14ac:dyDescent="0.25">
      <c r="AD5492"/>
    </row>
    <row r="5493" spans="30:30" x14ac:dyDescent="0.25">
      <c r="AD5493"/>
    </row>
    <row r="5494" spans="30:30" x14ac:dyDescent="0.25">
      <c r="AD5494"/>
    </row>
    <row r="5495" spans="30:30" x14ac:dyDescent="0.25">
      <c r="AD5495"/>
    </row>
    <row r="5496" spans="30:30" x14ac:dyDescent="0.25">
      <c r="AD5496"/>
    </row>
    <row r="5497" spans="30:30" x14ac:dyDescent="0.25">
      <c r="AD5497"/>
    </row>
    <row r="5498" spans="30:30" x14ac:dyDescent="0.25">
      <c r="AD5498"/>
    </row>
    <row r="5499" spans="30:30" x14ac:dyDescent="0.25">
      <c r="AD5499"/>
    </row>
    <row r="5500" spans="30:30" x14ac:dyDescent="0.25">
      <c r="AD5500"/>
    </row>
    <row r="5501" spans="30:30" x14ac:dyDescent="0.25">
      <c r="AD5501"/>
    </row>
    <row r="5502" spans="30:30" x14ac:dyDescent="0.25">
      <c r="AD5502"/>
    </row>
    <row r="5503" spans="30:30" x14ac:dyDescent="0.25">
      <c r="AD5503"/>
    </row>
    <row r="5504" spans="30:30" x14ac:dyDescent="0.25">
      <c r="AD5504"/>
    </row>
    <row r="5505" spans="30:30" x14ac:dyDescent="0.25">
      <c r="AD5505"/>
    </row>
    <row r="5506" spans="30:30" x14ac:dyDescent="0.25">
      <c r="AD5506"/>
    </row>
    <row r="5507" spans="30:30" x14ac:dyDescent="0.25">
      <c r="AD5507"/>
    </row>
    <row r="5508" spans="30:30" x14ac:dyDescent="0.25">
      <c r="AD5508"/>
    </row>
    <row r="5509" spans="30:30" x14ac:dyDescent="0.25">
      <c r="AD5509"/>
    </row>
    <row r="5510" spans="30:30" x14ac:dyDescent="0.25">
      <c r="AD5510"/>
    </row>
    <row r="5511" spans="30:30" x14ac:dyDescent="0.25">
      <c r="AD5511"/>
    </row>
    <row r="5512" spans="30:30" x14ac:dyDescent="0.25">
      <c r="AD5512"/>
    </row>
    <row r="5513" spans="30:30" x14ac:dyDescent="0.25">
      <c r="AD5513"/>
    </row>
    <row r="5514" spans="30:30" x14ac:dyDescent="0.25">
      <c r="AD5514"/>
    </row>
    <row r="5515" spans="30:30" x14ac:dyDescent="0.25">
      <c r="AD5515"/>
    </row>
    <row r="5516" spans="30:30" x14ac:dyDescent="0.25">
      <c r="AD5516"/>
    </row>
    <row r="5517" spans="30:30" x14ac:dyDescent="0.25">
      <c r="AD5517"/>
    </row>
    <row r="5518" spans="30:30" x14ac:dyDescent="0.25">
      <c r="AD5518"/>
    </row>
    <row r="5519" spans="30:30" x14ac:dyDescent="0.25">
      <c r="AD5519"/>
    </row>
    <row r="5520" spans="30:30" x14ac:dyDescent="0.25">
      <c r="AD5520"/>
    </row>
    <row r="5521" spans="30:30" x14ac:dyDescent="0.25">
      <c r="AD5521"/>
    </row>
    <row r="5522" spans="30:30" x14ac:dyDescent="0.25">
      <c r="AD5522"/>
    </row>
    <row r="5523" spans="30:30" x14ac:dyDescent="0.25">
      <c r="AD5523"/>
    </row>
    <row r="5524" spans="30:30" x14ac:dyDescent="0.25">
      <c r="AD5524"/>
    </row>
    <row r="5525" spans="30:30" x14ac:dyDescent="0.25">
      <c r="AD5525"/>
    </row>
    <row r="5526" spans="30:30" x14ac:dyDescent="0.25">
      <c r="AD5526"/>
    </row>
    <row r="5527" spans="30:30" x14ac:dyDescent="0.25">
      <c r="AD5527"/>
    </row>
    <row r="5528" spans="30:30" x14ac:dyDescent="0.25">
      <c r="AD5528"/>
    </row>
    <row r="5529" spans="30:30" x14ac:dyDescent="0.25">
      <c r="AD5529"/>
    </row>
    <row r="5530" spans="30:30" x14ac:dyDescent="0.25">
      <c r="AD5530"/>
    </row>
    <row r="5531" spans="30:30" x14ac:dyDescent="0.25">
      <c r="AD5531"/>
    </row>
    <row r="5532" spans="30:30" x14ac:dyDescent="0.25">
      <c r="AD5532"/>
    </row>
    <row r="5533" spans="30:30" x14ac:dyDescent="0.25">
      <c r="AD5533"/>
    </row>
    <row r="5534" spans="30:30" x14ac:dyDescent="0.25">
      <c r="AD5534"/>
    </row>
    <row r="5535" spans="30:30" x14ac:dyDescent="0.25">
      <c r="AD5535"/>
    </row>
    <row r="5536" spans="30:30" x14ac:dyDescent="0.25">
      <c r="AD5536"/>
    </row>
    <row r="5537" spans="30:30" x14ac:dyDescent="0.25">
      <c r="AD5537"/>
    </row>
    <row r="5538" spans="30:30" x14ac:dyDescent="0.25">
      <c r="AD5538"/>
    </row>
    <row r="5539" spans="30:30" x14ac:dyDescent="0.25">
      <c r="AD5539"/>
    </row>
    <row r="5540" spans="30:30" x14ac:dyDescent="0.25">
      <c r="AD5540"/>
    </row>
    <row r="5541" spans="30:30" x14ac:dyDescent="0.25">
      <c r="AD5541"/>
    </row>
    <row r="5542" spans="30:30" x14ac:dyDescent="0.25">
      <c r="AD5542"/>
    </row>
    <row r="5543" spans="30:30" x14ac:dyDescent="0.25">
      <c r="AD5543"/>
    </row>
    <row r="5544" spans="30:30" x14ac:dyDescent="0.25">
      <c r="AD5544"/>
    </row>
    <row r="5545" spans="30:30" x14ac:dyDescent="0.25">
      <c r="AD5545"/>
    </row>
    <row r="5546" spans="30:30" x14ac:dyDescent="0.25">
      <c r="AD5546"/>
    </row>
    <row r="5547" spans="30:30" x14ac:dyDescent="0.25">
      <c r="AD5547"/>
    </row>
    <row r="5548" spans="30:30" x14ac:dyDescent="0.25">
      <c r="AD5548"/>
    </row>
    <row r="5549" spans="30:30" x14ac:dyDescent="0.25">
      <c r="AD5549"/>
    </row>
    <row r="5550" spans="30:30" x14ac:dyDescent="0.25">
      <c r="AD5550"/>
    </row>
    <row r="5551" spans="30:30" x14ac:dyDescent="0.25">
      <c r="AD5551"/>
    </row>
    <row r="5552" spans="30:30" x14ac:dyDescent="0.25">
      <c r="AD5552"/>
    </row>
    <row r="5553" spans="30:30" x14ac:dyDescent="0.25">
      <c r="AD5553"/>
    </row>
    <row r="5554" spans="30:30" x14ac:dyDescent="0.25">
      <c r="AD5554"/>
    </row>
    <row r="5555" spans="30:30" x14ac:dyDescent="0.25">
      <c r="AD5555"/>
    </row>
    <row r="5556" spans="30:30" x14ac:dyDescent="0.25">
      <c r="AD5556"/>
    </row>
    <row r="5557" spans="30:30" x14ac:dyDescent="0.25">
      <c r="AD5557"/>
    </row>
    <row r="5558" spans="30:30" x14ac:dyDescent="0.25">
      <c r="AD5558"/>
    </row>
    <row r="5559" spans="30:30" x14ac:dyDescent="0.25">
      <c r="AD5559"/>
    </row>
    <row r="5560" spans="30:30" x14ac:dyDescent="0.25">
      <c r="AD5560"/>
    </row>
    <row r="5561" spans="30:30" x14ac:dyDescent="0.25">
      <c r="AD5561"/>
    </row>
    <row r="5562" spans="30:30" x14ac:dyDescent="0.25">
      <c r="AD5562"/>
    </row>
    <row r="5563" spans="30:30" x14ac:dyDescent="0.25">
      <c r="AD5563"/>
    </row>
    <row r="5564" spans="30:30" x14ac:dyDescent="0.25">
      <c r="AD5564"/>
    </row>
    <row r="5565" spans="30:30" x14ac:dyDescent="0.25">
      <c r="AD5565"/>
    </row>
    <row r="5566" spans="30:30" x14ac:dyDescent="0.25">
      <c r="AD5566"/>
    </row>
    <row r="5567" spans="30:30" x14ac:dyDescent="0.25">
      <c r="AD5567"/>
    </row>
    <row r="5568" spans="30:30" x14ac:dyDescent="0.25">
      <c r="AD5568"/>
    </row>
    <row r="5569" spans="30:30" x14ac:dyDescent="0.25">
      <c r="AD5569"/>
    </row>
    <row r="5570" spans="30:30" x14ac:dyDescent="0.25">
      <c r="AD5570"/>
    </row>
    <row r="5571" spans="30:30" x14ac:dyDescent="0.25">
      <c r="AD5571"/>
    </row>
    <row r="5572" spans="30:30" x14ac:dyDescent="0.25">
      <c r="AD5572"/>
    </row>
    <row r="5573" spans="30:30" x14ac:dyDescent="0.25">
      <c r="AD5573"/>
    </row>
    <row r="5574" spans="30:30" x14ac:dyDescent="0.25">
      <c r="AD5574"/>
    </row>
    <row r="5575" spans="30:30" x14ac:dyDescent="0.25">
      <c r="AD5575"/>
    </row>
    <row r="5576" spans="30:30" x14ac:dyDescent="0.25">
      <c r="AD5576"/>
    </row>
    <row r="5577" spans="30:30" x14ac:dyDescent="0.25">
      <c r="AD5577"/>
    </row>
    <row r="5578" spans="30:30" x14ac:dyDescent="0.25">
      <c r="AD5578"/>
    </row>
    <row r="5579" spans="30:30" x14ac:dyDescent="0.25">
      <c r="AD5579"/>
    </row>
    <row r="5580" spans="30:30" x14ac:dyDescent="0.25">
      <c r="AD5580"/>
    </row>
    <row r="5581" spans="30:30" x14ac:dyDescent="0.25">
      <c r="AD5581"/>
    </row>
    <row r="5582" spans="30:30" x14ac:dyDescent="0.25">
      <c r="AD5582"/>
    </row>
    <row r="5583" spans="30:30" x14ac:dyDescent="0.25">
      <c r="AD5583"/>
    </row>
    <row r="5584" spans="30:30" x14ac:dyDescent="0.25">
      <c r="AD5584"/>
    </row>
    <row r="5585" spans="30:30" x14ac:dyDescent="0.25">
      <c r="AD5585"/>
    </row>
    <row r="5586" spans="30:30" x14ac:dyDescent="0.25">
      <c r="AD5586"/>
    </row>
    <row r="5587" spans="30:30" x14ac:dyDescent="0.25">
      <c r="AD5587"/>
    </row>
    <row r="5588" spans="30:30" x14ac:dyDescent="0.25">
      <c r="AD5588"/>
    </row>
    <row r="5589" spans="30:30" x14ac:dyDescent="0.25">
      <c r="AD5589"/>
    </row>
    <row r="5590" spans="30:30" x14ac:dyDescent="0.25">
      <c r="AD5590"/>
    </row>
    <row r="5591" spans="30:30" x14ac:dyDescent="0.25">
      <c r="AD5591"/>
    </row>
    <row r="5592" spans="30:30" x14ac:dyDescent="0.25">
      <c r="AD5592"/>
    </row>
    <row r="5593" spans="30:30" x14ac:dyDescent="0.25">
      <c r="AD5593"/>
    </row>
    <row r="5594" spans="30:30" x14ac:dyDescent="0.25">
      <c r="AD5594"/>
    </row>
    <row r="5595" spans="30:30" x14ac:dyDescent="0.25">
      <c r="AD5595"/>
    </row>
    <row r="5596" spans="30:30" x14ac:dyDescent="0.25">
      <c r="AD5596"/>
    </row>
    <row r="5597" spans="30:30" x14ac:dyDescent="0.25">
      <c r="AD5597"/>
    </row>
    <row r="5598" spans="30:30" x14ac:dyDescent="0.25">
      <c r="AD5598"/>
    </row>
    <row r="5599" spans="30:30" x14ac:dyDescent="0.25">
      <c r="AD5599"/>
    </row>
    <row r="5600" spans="30:30" x14ac:dyDescent="0.25">
      <c r="AD5600"/>
    </row>
    <row r="5601" spans="30:30" x14ac:dyDescent="0.25">
      <c r="AD5601"/>
    </row>
    <row r="5602" spans="30:30" x14ac:dyDescent="0.25">
      <c r="AD5602"/>
    </row>
    <row r="5603" spans="30:30" x14ac:dyDescent="0.25">
      <c r="AD5603"/>
    </row>
    <row r="5604" spans="30:30" x14ac:dyDescent="0.25">
      <c r="AD5604"/>
    </row>
    <row r="5605" spans="30:30" x14ac:dyDescent="0.25">
      <c r="AD5605"/>
    </row>
    <row r="5606" spans="30:30" x14ac:dyDescent="0.25">
      <c r="AD5606"/>
    </row>
    <row r="5607" spans="30:30" x14ac:dyDescent="0.25">
      <c r="AD5607"/>
    </row>
    <row r="5608" spans="30:30" x14ac:dyDescent="0.25">
      <c r="AD5608"/>
    </row>
    <row r="5609" spans="30:30" x14ac:dyDescent="0.25">
      <c r="AD5609"/>
    </row>
    <row r="5610" spans="30:30" x14ac:dyDescent="0.25">
      <c r="AD5610"/>
    </row>
    <row r="5611" spans="30:30" x14ac:dyDescent="0.25">
      <c r="AD5611"/>
    </row>
    <row r="5612" spans="30:30" x14ac:dyDescent="0.25">
      <c r="AD5612"/>
    </row>
    <row r="5613" spans="30:30" x14ac:dyDescent="0.25">
      <c r="AD5613"/>
    </row>
    <row r="5614" spans="30:30" x14ac:dyDescent="0.25">
      <c r="AD5614"/>
    </row>
    <row r="5615" spans="30:30" x14ac:dyDescent="0.25">
      <c r="AD5615"/>
    </row>
    <row r="5616" spans="30:30" x14ac:dyDescent="0.25">
      <c r="AD5616"/>
    </row>
    <row r="5617" spans="30:30" x14ac:dyDescent="0.25">
      <c r="AD5617"/>
    </row>
    <row r="5618" spans="30:30" x14ac:dyDescent="0.25">
      <c r="AD5618"/>
    </row>
    <row r="5619" spans="30:30" x14ac:dyDescent="0.25">
      <c r="AD5619"/>
    </row>
    <row r="5620" spans="30:30" x14ac:dyDescent="0.25">
      <c r="AD5620"/>
    </row>
    <row r="5621" spans="30:30" x14ac:dyDescent="0.25">
      <c r="AD5621"/>
    </row>
    <row r="5622" spans="30:30" x14ac:dyDescent="0.25">
      <c r="AD5622"/>
    </row>
    <row r="5623" spans="30:30" x14ac:dyDescent="0.25">
      <c r="AD5623"/>
    </row>
    <row r="5624" spans="30:30" x14ac:dyDescent="0.25">
      <c r="AD5624"/>
    </row>
    <row r="5625" spans="30:30" x14ac:dyDescent="0.25">
      <c r="AD5625"/>
    </row>
    <row r="5626" spans="30:30" x14ac:dyDescent="0.25">
      <c r="AD5626"/>
    </row>
    <row r="5627" spans="30:30" x14ac:dyDescent="0.25">
      <c r="AD5627"/>
    </row>
    <row r="5628" spans="30:30" x14ac:dyDescent="0.25">
      <c r="AD5628"/>
    </row>
    <row r="5629" spans="30:30" x14ac:dyDescent="0.25">
      <c r="AD5629"/>
    </row>
    <row r="5630" spans="30:30" x14ac:dyDescent="0.25">
      <c r="AD5630"/>
    </row>
    <row r="5631" spans="30:30" x14ac:dyDescent="0.25">
      <c r="AD5631"/>
    </row>
    <row r="5632" spans="30:30" x14ac:dyDescent="0.25">
      <c r="AD5632"/>
    </row>
    <row r="5633" spans="30:30" x14ac:dyDescent="0.25">
      <c r="AD5633"/>
    </row>
    <row r="5634" spans="30:30" x14ac:dyDescent="0.25">
      <c r="AD5634"/>
    </row>
    <row r="5635" spans="30:30" x14ac:dyDescent="0.25">
      <c r="AD5635"/>
    </row>
    <row r="5636" spans="30:30" x14ac:dyDescent="0.25">
      <c r="AD5636"/>
    </row>
    <row r="5637" spans="30:30" x14ac:dyDescent="0.25">
      <c r="AD5637"/>
    </row>
    <row r="5638" spans="30:30" x14ac:dyDescent="0.25">
      <c r="AD5638"/>
    </row>
    <row r="5639" spans="30:30" x14ac:dyDescent="0.25">
      <c r="AD5639"/>
    </row>
    <row r="5640" spans="30:30" x14ac:dyDescent="0.25">
      <c r="AD5640"/>
    </row>
    <row r="5641" spans="30:30" x14ac:dyDescent="0.25">
      <c r="AD5641"/>
    </row>
    <row r="5642" spans="30:30" x14ac:dyDescent="0.25">
      <c r="AD5642"/>
    </row>
    <row r="5643" spans="30:30" x14ac:dyDescent="0.25">
      <c r="AD5643"/>
    </row>
    <row r="5644" spans="30:30" x14ac:dyDescent="0.25">
      <c r="AD5644"/>
    </row>
    <row r="5645" spans="30:30" x14ac:dyDescent="0.25">
      <c r="AD5645"/>
    </row>
    <row r="5646" spans="30:30" x14ac:dyDescent="0.25">
      <c r="AD5646"/>
    </row>
    <row r="5647" spans="30:30" x14ac:dyDescent="0.25">
      <c r="AD5647"/>
    </row>
    <row r="5648" spans="30:30" x14ac:dyDescent="0.25">
      <c r="AD5648"/>
    </row>
    <row r="5649" spans="30:30" x14ac:dyDescent="0.25">
      <c r="AD5649"/>
    </row>
    <row r="5650" spans="30:30" x14ac:dyDescent="0.25">
      <c r="AD5650"/>
    </row>
    <row r="5651" spans="30:30" x14ac:dyDescent="0.25">
      <c r="AD5651"/>
    </row>
    <row r="5652" spans="30:30" x14ac:dyDescent="0.25">
      <c r="AD5652"/>
    </row>
    <row r="5653" spans="30:30" x14ac:dyDescent="0.25">
      <c r="AD5653"/>
    </row>
    <row r="5654" spans="30:30" x14ac:dyDescent="0.25">
      <c r="AD5654"/>
    </row>
    <row r="5655" spans="30:30" x14ac:dyDescent="0.25">
      <c r="AD5655"/>
    </row>
    <row r="5656" spans="30:30" x14ac:dyDescent="0.25">
      <c r="AD5656"/>
    </row>
    <row r="5657" spans="30:30" x14ac:dyDescent="0.25">
      <c r="AD5657"/>
    </row>
    <row r="5658" spans="30:30" x14ac:dyDescent="0.25">
      <c r="AD5658"/>
    </row>
    <row r="5659" spans="30:30" x14ac:dyDescent="0.25">
      <c r="AD5659"/>
    </row>
    <row r="5660" spans="30:30" x14ac:dyDescent="0.25">
      <c r="AD5660"/>
    </row>
    <row r="5661" spans="30:30" x14ac:dyDescent="0.25">
      <c r="AD5661"/>
    </row>
    <row r="5662" spans="30:30" x14ac:dyDescent="0.25">
      <c r="AD5662"/>
    </row>
    <row r="5663" spans="30:30" x14ac:dyDescent="0.25">
      <c r="AD5663"/>
    </row>
    <row r="5664" spans="30:30" x14ac:dyDescent="0.25">
      <c r="AD5664"/>
    </row>
    <row r="5665" spans="30:30" x14ac:dyDescent="0.25">
      <c r="AD5665"/>
    </row>
    <row r="5666" spans="30:30" x14ac:dyDescent="0.25">
      <c r="AD5666"/>
    </row>
    <row r="5667" spans="30:30" x14ac:dyDescent="0.25">
      <c r="AD5667"/>
    </row>
    <row r="5668" spans="30:30" x14ac:dyDescent="0.25">
      <c r="AD5668"/>
    </row>
    <row r="5669" spans="30:30" x14ac:dyDescent="0.25">
      <c r="AD5669"/>
    </row>
    <row r="5670" spans="30:30" x14ac:dyDescent="0.25">
      <c r="AD5670"/>
    </row>
    <row r="5671" spans="30:30" x14ac:dyDescent="0.25">
      <c r="AD5671"/>
    </row>
    <row r="5672" spans="30:30" x14ac:dyDescent="0.25">
      <c r="AD5672"/>
    </row>
    <row r="5673" spans="30:30" x14ac:dyDescent="0.25">
      <c r="AD5673"/>
    </row>
    <row r="5674" spans="30:30" x14ac:dyDescent="0.25">
      <c r="AD5674"/>
    </row>
    <row r="5675" spans="30:30" x14ac:dyDescent="0.25">
      <c r="AD5675"/>
    </row>
    <row r="5676" spans="30:30" x14ac:dyDescent="0.25">
      <c r="AD5676"/>
    </row>
    <row r="5677" spans="30:30" x14ac:dyDescent="0.25">
      <c r="AD5677"/>
    </row>
    <row r="5678" spans="30:30" x14ac:dyDescent="0.25">
      <c r="AD5678"/>
    </row>
    <row r="5679" spans="30:30" x14ac:dyDescent="0.25">
      <c r="AD5679"/>
    </row>
    <row r="5680" spans="30:30" x14ac:dyDescent="0.25">
      <c r="AD5680"/>
    </row>
    <row r="5681" spans="30:30" x14ac:dyDescent="0.25">
      <c r="AD5681"/>
    </row>
    <row r="5682" spans="30:30" x14ac:dyDescent="0.25">
      <c r="AD5682"/>
    </row>
    <row r="5683" spans="30:30" x14ac:dyDescent="0.25">
      <c r="AD5683"/>
    </row>
    <row r="5684" spans="30:30" x14ac:dyDescent="0.25">
      <c r="AD5684"/>
    </row>
    <row r="5685" spans="30:30" x14ac:dyDescent="0.25">
      <c r="AD5685"/>
    </row>
    <row r="5686" spans="30:30" x14ac:dyDescent="0.25">
      <c r="AD5686"/>
    </row>
    <row r="5687" spans="30:30" x14ac:dyDescent="0.25">
      <c r="AD5687"/>
    </row>
    <row r="5688" spans="30:30" x14ac:dyDescent="0.25">
      <c r="AD5688"/>
    </row>
    <row r="5689" spans="30:30" x14ac:dyDescent="0.25">
      <c r="AD5689"/>
    </row>
    <row r="5690" spans="30:30" x14ac:dyDescent="0.25">
      <c r="AD5690"/>
    </row>
    <row r="5691" spans="30:30" x14ac:dyDescent="0.25">
      <c r="AD5691"/>
    </row>
    <row r="5692" spans="30:30" x14ac:dyDescent="0.25">
      <c r="AD5692"/>
    </row>
    <row r="5693" spans="30:30" x14ac:dyDescent="0.25">
      <c r="AD5693"/>
    </row>
    <row r="5694" spans="30:30" x14ac:dyDescent="0.25">
      <c r="AD5694"/>
    </row>
    <row r="5695" spans="30:30" x14ac:dyDescent="0.25">
      <c r="AD5695"/>
    </row>
    <row r="5696" spans="30:30" x14ac:dyDescent="0.25">
      <c r="AD5696"/>
    </row>
    <row r="5697" spans="30:30" x14ac:dyDescent="0.25">
      <c r="AD5697"/>
    </row>
    <row r="5698" spans="30:30" x14ac:dyDescent="0.25">
      <c r="AD5698"/>
    </row>
    <row r="5699" spans="30:30" x14ac:dyDescent="0.25">
      <c r="AD5699"/>
    </row>
    <row r="5700" spans="30:30" x14ac:dyDescent="0.25">
      <c r="AD5700"/>
    </row>
    <row r="5701" spans="30:30" x14ac:dyDescent="0.25">
      <c r="AD5701"/>
    </row>
    <row r="5702" spans="30:30" x14ac:dyDescent="0.25">
      <c r="AD5702"/>
    </row>
    <row r="5703" spans="30:30" x14ac:dyDescent="0.25">
      <c r="AD5703"/>
    </row>
    <row r="5704" spans="30:30" x14ac:dyDescent="0.25">
      <c r="AD5704"/>
    </row>
    <row r="5705" spans="30:30" x14ac:dyDescent="0.25">
      <c r="AD5705"/>
    </row>
    <row r="5706" spans="30:30" x14ac:dyDescent="0.25">
      <c r="AD5706"/>
    </row>
    <row r="5707" spans="30:30" x14ac:dyDescent="0.25">
      <c r="AD5707"/>
    </row>
    <row r="5708" spans="30:30" x14ac:dyDescent="0.25">
      <c r="AD5708"/>
    </row>
    <row r="5709" spans="30:30" x14ac:dyDescent="0.25">
      <c r="AD5709"/>
    </row>
    <row r="5710" spans="30:30" x14ac:dyDescent="0.25">
      <c r="AD5710"/>
    </row>
    <row r="5711" spans="30:30" x14ac:dyDescent="0.25">
      <c r="AD5711"/>
    </row>
    <row r="5712" spans="30:30" x14ac:dyDescent="0.25">
      <c r="AD5712"/>
    </row>
    <row r="5713" spans="30:30" x14ac:dyDescent="0.25">
      <c r="AD5713"/>
    </row>
    <row r="5714" spans="30:30" x14ac:dyDescent="0.25">
      <c r="AD5714"/>
    </row>
    <row r="5715" spans="30:30" x14ac:dyDescent="0.25">
      <c r="AD5715"/>
    </row>
    <row r="5716" spans="30:30" x14ac:dyDescent="0.25">
      <c r="AD5716"/>
    </row>
    <row r="5717" spans="30:30" x14ac:dyDescent="0.25">
      <c r="AD5717"/>
    </row>
    <row r="5718" spans="30:30" x14ac:dyDescent="0.25">
      <c r="AD5718"/>
    </row>
    <row r="5719" spans="30:30" x14ac:dyDescent="0.25">
      <c r="AD5719"/>
    </row>
    <row r="5720" spans="30:30" x14ac:dyDescent="0.25">
      <c r="AD5720"/>
    </row>
    <row r="5721" spans="30:30" x14ac:dyDescent="0.25">
      <c r="AD5721"/>
    </row>
    <row r="5722" spans="30:30" x14ac:dyDescent="0.25">
      <c r="AD5722"/>
    </row>
    <row r="5723" spans="30:30" x14ac:dyDescent="0.25">
      <c r="AD5723"/>
    </row>
    <row r="5724" spans="30:30" x14ac:dyDescent="0.25">
      <c r="AD5724"/>
    </row>
    <row r="5725" spans="30:30" x14ac:dyDescent="0.25">
      <c r="AD5725"/>
    </row>
    <row r="5726" spans="30:30" x14ac:dyDescent="0.25">
      <c r="AD5726"/>
    </row>
    <row r="5727" spans="30:30" x14ac:dyDescent="0.25">
      <c r="AD5727"/>
    </row>
    <row r="5728" spans="30:30" x14ac:dyDescent="0.25">
      <c r="AD5728"/>
    </row>
    <row r="5729" spans="30:30" x14ac:dyDescent="0.25">
      <c r="AD5729"/>
    </row>
    <row r="5730" spans="30:30" x14ac:dyDescent="0.25">
      <c r="AD5730"/>
    </row>
    <row r="5731" spans="30:30" x14ac:dyDescent="0.25">
      <c r="AD5731"/>
    </row>
    <row r="5732" spans="30:30" x14ac:dyDescent="0.25">
      <c r="AD5732"/>
    </row>
    <row r="5733" spans="30:30" x14ac:dyDescent="0.25">
      <c r="AD5733"/>
    </row>
    <row r="5734" spans="30:30" x14ac:dyDescent="0.25">
      <c r="AD5734"/>
    </row>
    <row r="5735" spans="30:30" x14ac:dyDescent="0.25">
      <c r="AD5735"/>
    </row>
    <row r="5736" spans="30:30" x14ac:dyDescent="0.25">
      <c r="AD5736"/>
    </row>
    <row r="5737" spans="30:30" x14ac:dyDescent="0.25">
      <c r="AD5737"/>
    </row>
    <row r="5738" spans="30:30" x14ac:dyDescent="0.25">
      <c r="AD5738"/>
    </row>
    <row r="5739" spans="30:30" x14ac:dyDescent="0.25">
      <c r="AD5739"/>
    </row>
    <row r="5740" spans="30:30" x14ac:dyDescent="0.25">
      <c r="AD5740"/>
    </row>
    <row r="5741" spans="30:30" x14ac:dyDescent="0.25">
      <c r="AD5741"/>
    </row>
    <row r="5742" spans="30:30" x14ac:dyDescent="0.25">
      <c r="AD5742"/>
    </row>
    <row r="5743" spans="30:30" x14ac:dyDescent="0.25">
      <c r="AD5743"/>
    </row>
    <row r="5744" spans="30:30" x14ac:dyDescent="0.25">
      <c r="AD5744"/>
    </row>
    <row r="5745" spans="30:30" x14ac:dyDescent="0.25">
      <c r="AD5745"/>
    </row>
    <row r="5746" spans="30:30" x14ac:dyDescent="0.25">
      <c r="AD5746"/>
    </row>
    <row r="5747" spans="30:30" x14ac:dyDescent="0.25">
      <c r="AD5747"/>
    </row>
    <row r="5748" spans="30:30" x14ac:dyDescent="0.25">
      <c r="AD5748"/>
    </row>
    <row r="5749" spans="30:30" x14ac:dyDescent="0.25">
      <c r="AD5749"/>
    </row>
    <row r="5750" spans="30:30" x14ac:dyDescent="0.25">
      <c r="AD5750"/>
    </row>
    <row r="5751" spans="30:30" x14ac:dyDescent="0.25">
      <c r="AD5751"/>
    </row>
    <row r="5752" spans="30:30" x14ac:dyDescent="0.25">
      <c r="AD5752"/>
    </row>
    <row r="5753" spans="30:30" x14ac:dyDescent="0.25">
      <c r="AD5753"/>
    </row>
    <row r="5754" spans="30:30" x14ac:dyDescent="0.25">
      <c r="AD5754"/>
    </row>
    <row r="5755" spans="30:30" x14ac:dyDescent="0.25">
      <c r="AD5755"/>
    </row>
    <row r="5756" spans="30:30" x14ac:dyDescent="0.25">
      <c r="AD5756"/>
    </row>
    <row r="5757" spans="30:30" x14ac:dyDescent="0.25">
      <c r="AD5757"/>
    </row>
    <row r="5758" spans="30:30" x14ac:dyDescent="0.25">
      <c r="AD5758"/>
    </row>
    <row r="5759" spans="30:30" x14ac:dyDescent="0.25">
      <c r="AD5759"/>
    </row>
    <row r="5760" spans="30:30" x14ac:dyDescent="0.25">
      <c r="AD5760"/>
    </row>
    <row r="5761" spans="30:30" x14ac:dyDescent="0.25">
      <c r="AD5761"/>
    </row>
    <row r="5762" spans="30:30" x14ac:dyDescent="0.25">
      <c r="AD5762"/>
    </row>
    <row r="5763" spans="30:30" x14ac:dyDescent="0.25">
      <c r="AD5763"/>
    </row>
    <row r="5764" spans="30:30" x14ac:dyDescent="0.25">
      <c r="AD5764"/>
    </row>
    <row r="5765" spans="30:30" x14ac:dyDescent="0.25">
      <c r="AD5765"/>
    </row>
    <row r="5766" spans="30:30" x14ac:dyDescent="0.25">
      <c r="AD5766"/>
    </row>
    <row r="5767" spans="30:30" x14ac:dyDescent="0.25">
      <c r="AD5767"/>
    </row>
    <row r="5768" spans="30:30" x14ac:dyDescent="0.25">
      <c r="AD5768"/>
    </row>
    <row r="5769" spans="30:30" x14ac:dyDescent="0.25">
      <c r="AD5769"/>
    </row>
    <row r="5770" spans="30:30" x14ac:dyDescent="0.25">
      <c r="AD5770"/>
    </row>
    <row r="5771" spans="30:30" x14ac:dyDescent="0.25">
      <c r="AD5771"/>
    </row>
    <row r="5772" spans="30:30" x14ac:dyDescent="0.25">
      <c r="AD5772"/>
    </row>
    <row r="5773" spans="30:30" x14ac:dyDescent="0.25">
      <c r="AD5773"/>
    </row>
    <row r="5774" spans="30:30" x14ac:dyDescent="0.25">
      <c r="AD5774"/>
    </row>
    <row r="5775" spans="30:30" x14ac:dyDescent="0.25">
      <c r="AD5775"/>
    </row>
    <row r="5776" spans="30:30" x14ac:dyDescent="0.25">
      <c r="AD5776"/>
    </row>
    <row r="5777" spans="30:30" x14ac:dyDescent="0.25">
      <c r="AD5777"/>
    </row>
    <row r="5778" spans="30:30" x14ac:dyDescent="0.25">
      <c r="AD5778"/>
    </row>
    <row r="5779" spans="30:30" x14ac:dyDescent="0.25">
      <c r="AD5779"/>
    </row>
    <row r="5780" spans="30:30" x14ac:dyDescent="0.25">
      <c r="AD5780"/>
    </row>
    <row r="5781" spans="30:30" x14ac:dyDescent="0.25">
      <c r="AD5781"/>
    </row>
    <row r="5782" spans="30:30" x14ac:dyDescent="0.25">
      <c r="AD5782"/>
    </row>
    <row r="5783" spans="30:30" x14ac:dyDescent="0.25">
      <c r="AD5783"/>
    </row>
    <row r="5784" spans="30:30" x14ac:dyDescent="0.25">
      <c r="AD5784"/>
    </row>
    <row r="5785" spans="30:30" x14ac:dyDescent="0.25">
      <c r="AD5785"/>
    </row>
    <row r="5786" spans="30:30" x14ac:dyDescent="0.25">
      <c r="AD5786"/>
    </row>
    <row r="5787" spans="30:30" x14ac:dyDescent="0.25">
      <c r="AD5787"/>
    </row>
    <row r="5788" spans="30:30" x14ac:dyDescent="0.25">
      <c r="AD5788"/>
    </row>
    <row r="5789" spans="30:30" x14ac:dyDescent="0.25">
      <c r="AD5789"/>
    </row>
    <row r="5790" spans="30:30" x14ac:dyDescent="0.25">
      <c r="AD5790"/>
    </row>
    <row r="5791" spans="30:30" x14ac:dyDescent="0.25">
      <c r="AD5791"/>
    </row>
    <row r="5792" spans="30:30" x14ac:dyDescent="0.25">
      <c r="AD5792"/>
    </row>
    <row r="5793" spans="30:30" x14ac:dyDescent="0.25">
      <c r="AD5793"/>
    </row>
    <row r="5794" spans="30:30" x14ac:dyDescent="0.25">
      <c r="AD5794"/>
    </row>
    <row r="5795" spans="30:30" x14ac:dyDescent="0.25">
      <c r="AD5795"/>
    </row>
    <row r="5796" spans="30:30" x14ac:dyDescent="0.25">
      <c r="AD5796"/>
    </row>
    <row r="5797" spans="30:30" x14ac:dyDescent="0.25">
      <c r="AD5797"/>
    </row>
    <row r="5798" spans="30:30" x14ac:dyDescent="0.25">
      <c r="AD5798"/>
    </row>
    <row r="5799" spans="30:30" x14ac:dyDescent="0.25">
      <c r="AD5799"/>
    </row>
    <row r="5800" spans="30:30" x14ac:dyDescent="0.25">
      <c r="AD5800"/>
    </row>
    <row r="5801" spans="30:30" x14ac:dyDescent="0.25">
      <c r="AD5801"/>
    </row>
    <row r="5802" spans="30:30" x14ac:dyDescent="0.25">
      <c r="AD5802"/>
    </row>
    <row r="5803" spans="30:30" x14ac:dyDescent="0.25">
      <c r="AD5803"/>
    </row>
    <row r="5804" spans="30:30" x14ac:dyDescent="0.25">
      <c r="AD5804"/>
    </row>
    <row r="5805" spans="30:30" x14ac:dyDescent="0.25">
      <c r="AD5805"/>
    </row>
    <row r="5806" spans="30:30" x14ac:dyDescent="0.25">
      <c r="AD5806"/>
    </row>
    <row r="5807" spans="30:30" x14ac:dyDescent="0.25">
      <c r="AD5807"/>
    </row>
    <row r="5808" spans="30:30" x14ac:dyDescent="0.25">
      <c r="AD5808"/>
    </row>
    <row r="5809" spans="30:30" x14ac:dyDescent="0.25">
      <c r="AD5809"/>
    </row>
    <row r="5810" spans="30:30" x14ac:dyDescent="0.25">
      <c r="AD5810"/>
    </row>
    <row r="5811" spans="30:30" x14ac:dyDescent="0.25">
      <c r="AD5811"/>
    </row>
    <row r="5812" spans="30:30" x14ac:dyDescent="0.25">
      <c r="AD5812"/>
    </row>
    <row r="5813" spans="30:30" x14ac:dyDescent="0.25">
      <c r="AD5813"/>
    </row>
    <row r="5814" spans="30:30" x14ac:dyDescent="0.25">
      <c r="AD5814"/>
    </row>
    <row r="5815" spans="30:30" x14ac:dyDescent="0.25">
      <c r="AD5815"/>
    </row>
    <row r="5816" spans="30:30" x14ac:dyDescent="0.25">
      <c r="AD5816"/>
    </row>
    <row r="5817" spans="30:30" x14ac:dyDescent="0.25">
      <c r="AD5817"/>
    </row>
    <row r="5818" spans="30:30" x14ac:dyDescent="0.25">
      <c r="AD5818"/>
    </row>
    <row r="5819" spans="30:30" x14ac:dyDescent="0.25">
      <c r="AD5819"/>
    </row>
    <row r="5820" spans="30:30" x14ac:dyDescent="0.25">
      <c r="AD5820"/>
    </row>
    <row r="5821" spans="30:30" x14ac:dyDescent="0.25">
      <c r="AD5821"/>
    </row>
    <row r="5822" spans="30:30" x14ac:dyDescent="0.25">
      <c r="AD5822"/>
    </row>
    <row r="5823" spans="30:30" x14ac:dyDescent="0.25">
      <c r="AD5823"/>
    </row>
    <row r="5824" spans="30:30" x14ac:dyDescent="0.25">
      <c r="AD5824"/>
    </row>
    <row r="5825" spans="30:30" x14ac:dyDescent="0.25">
      <c r="AD5825"/>
    </row>
    <row r="5826" spans="30:30" x14ac:dyDescent="0.25">
      <c r="AD5826"/>
    </row>
    <row r="5827" spans="30:30" x14ac:dyDescent="0.25">
      <c r="AD5827"/>
    </row>
    <row r="5828" spans="30:30" x14ac:dyDescent="0.25">
      <c r="AD5828"/>
    </row>
    <row r="5829" spans="30:30" x14ac:dyDescent="0.25">
      <c r="AD5829"/>
    </row>
    <row r="5830" spans="30:30" x14ac:dyDescent="0.25">
      <c r="AD5830"/>
    </row>
    <row r="5831" spans="30:30" x14ac:dyDescent="0.25">
      <c r="AD5831"/>
    </row>
    <row r="5832" spans="30:30" x14ac:dyDescent="0.25">
      <c r="AD5832"/>
    </row>
    <row r="5833" spans="30:30" x14ac:dyDescent="0.25">
      <c r="AD5833"/>
    </row>
    <row r="5834" spans="30:30" x14ac:dyDescent="0.25">
      <c r="AD5834"/>
    </row>
    <row r="5835" spans="30:30" x14ac:dyDescent="0.25">
      <c r="AD5835"/>
    </row>
    <row r="5836" spans="30:30" x14ac:dyDescent="0.25">
      <c r="AD5836"/>
    </row>
    <row r="5837" spans="30:30" x14ac:dyDescent="0.25">
      <c r="AD5837"/>
    </row>
    <row r="5838" spans="30:30" x14ac:dyDescent="0.25">
      <c r="AD5838"/>
    </row>
    <row r="5839" spans="30:30" x14ac:dyDescent="0.25">
      <c r="AD5839"/>
    </row>
    <row r="5840" spans="30:30" x14ac:dyDescent="0.25">
      <c r="AD5840"/>
    </row>
    <row r="5841" spans="30:30" x14ac:dyDescent="0.25">
      <c r="AD5841"/>
    </row>
    <row r="5842" spans="30:30" x14ac:dyDescent="0.25">
      <c r="AD5842"/>
    </row>
    <row r="5843" spans="30:30" x14ac:dyDescent="0.25">
      <c r="AD5843"/>
    </row>
    <row r="5844" spans="30:30" x14ac:dyDescent="0.25">
      <c r="AD5844"/>
    </row>
    <row r="5845" spans="30:30" x14ac:dyDescent="0.25">
      <c r="AD5845"/>
    </row>
    <row r="5846" spans="30:30" x14ac:dyDescent="0.25">
      <c r="AD5846"/>
    </row>
    <row r="5847" spans="30:30" x14ac:dyDescent="0.25">
      <c r="AD5847"/>
    </row>
    <row r="5848" spans="30:30" x14ac:dyDescent="0.25">
      <c r="AD5848"/>
    </row>
    <row r="5849" spans="30:30" x14ac:dyDescent="0.25">
      <c r="AD5849"/>
    </row>
    <row r="5850" spans="30:30" x14ac:dyDescent="0.25">
      <c r="AD5850"/>
    </row>
    <row r="5851" spans="30:30" x14ac:dyDescent="0.25">
      <c r="AD5851"/>
    </row>
    <row r="5852" spans="30:30" x14ac:dyDescent="0.25">
      <c r="AD5852"/>
    </row>
    <row r="5853" spans="30:30" x14ac:dyDescent="0.25">
      <c r="AD5853"/>
    </row>
    <row r="5854" spans="30:30" x14ac:dyDescent="0.25">
      <c r="AD5854"/>
    </row>
    <row r="5855" spans="30:30" x14ac:dyDescent="0.25">
      <c r="AD5855"/>
    </row>
    <row r="5856" spans="30:30" x14ac:dyDescent="0.25">
      <c r="AD5856"/>
    </row>
    <row r="5857" spans="30:30" x14ac:dyDescent="0.25">
      <c r="AD5857"/>
    </row>
    <row r="5858" spans="30:30" x14ac:dyDescent="0.25">
      <c r="AD5858"/>
    </row>
    <row r="5859" spans="30:30" x14ac:dyDescent="0.25">
      <c r="AD5859"/>
    </row>
    <row r="5860" spans="30:30" x14ac:dyDescent="0.25">
      <c r="AD5860"/>
    </row>
    <row r="5861" spans="30:30" x14ac:dyDescent="0.25">
      <c r="AD5861"/>
    </row>
    <row r="5862" spans="30:30" x14ac:dyDescent="0.25">
      <c r="AD5862"/>
    </row>
    <row r="5863" spans="30:30" x14ac:dyDescent="0.25">
      <c r="AD5863"/>
    </row>
    <row r="5864" spans="30:30" x14ac:dyDescent="0.25">
      <c r="AD5864"/>
    </row>
    <row r="5865" spans="30:30" x14ac:dyDescent="0.25">
      <c r="AD5865"/>
    </row>
    <row r="5866" spans="30:30" x14ac:dyDescent="0.25">
      <c r="AD5866"/>
    </row>
    <row r="5867" spans="30:30" x14ac:dyDescent="0.25">
      <c r="AD5867"/>
    </row>
    <row r="5868" spans="30:30" x14ac:dyDescent="0.25">
      <c r="AD5868"/>
    </row>
    <row r="5869" spans="30:30" x14ac:dyDescent="0.25">
      <c r="AD5869"/>
    </row>
    <row r="5870" spans="30:30" x14ac:dyDescent="0.25">
      <c r="AD5870"/>
    </row>
    <row r="5871" spans="30:30" x14ac:dyDescent="0.25">
      <c r="AD5871"/>
    </row>
    <row r="5872" spans="30:30" x14ac:dyDescent="0.25">
      <c r="AD5872"/>
    </row>
    <row r="5873" spans="30:30" x14ac:dyDescent="0.25">
      <c r="AD5873"/>
    </row>
    <row r="5874" spans="30:30" x14ac:dyDescent="0.25">
      <c r="AD5874"/>
    </row>
    <row r="5875" spans="30:30" x14ac:dyDescent="0.25">
      <c r="AD5875"/>
    </row>
    <row r="5876" spans="30:30" x14ac:dyDescent="0.25">
      <c r="AD5876"/>
    </row>
    <row r="5877" spans="30:30" x14ac:dyDescent="0.25">
      <c r="AD5877"/>
    </row>
    <row r="5878" spans="30:30" x14ac:dyDescent="0.25">
      <c r="AD5878"/>
    </row>
    <row r="5879" spans="30:30" x14ac:dyDescent="0.25">
      <c r="AD5879"/>
    </row>
    <row r="5880" spans="30:30" x14ac:dyDescent="0.25">
      <c r="AD5880"/>
    </row>
    <row r="5881" spans="30:30" x14ac:dyDescent="0.25">
      <c r="AD5881"/>
    </row>
    <row r="5882" spans="30:30" x14ac:dyDescent="0.25">
      <c r="AD5882"/>
    </row>
    <row r="5883" spans="30:30" x14ac:dyDescent="0.25">
      <c r="AD5883"/>
    </row>
    <row r="5884" spans="30:30" x14ac:dyDescent="0.25">
      <c r="AD5884"/>
    </row>
    <row r="5885" spans="30:30" x14ac:dyDescent="0.25">
      <c r="AD5885"/>
    </row>
    <row r="5886" spans="30:30" x14ac:dyDescent="0.25">
      <c r="AD5886"/>
    </row>
    <row r="5887" spans="30:30" x14ac:dyDescent="0.25">
      <c r="AD5887"/>
    </row>
    <row r="5888" spans="30:30" x14ac:dyDescent="0.25">
      <c r="AD5888"/>
    </row>
    <row r="5889" spans="30:30" x14ac:dyDescent="0.25">
      <c r="AD5889"/>
    </row>
    <row r="5890" spans="30:30" x14ac:dyDescent="0.25">
      <c r="AD5890"/>
    </row>
    <row r="5891" spans="30:30" x14ac:dyDescent="0.25">
      <c r="AD5891"/>
    </row>
    <row r="5892" spans="30:30" x14ac:dyDescent="0.25">
      <c r="AD5892"/>
    </row>
    <row r="5893" spans="30:30" x14ac:dyDescent="0.25">
      <c r="AD5893"/>
    </row>
    <row r="5894" spans="30:30" x14ac:dyDescent="0.25">
      <c r="AD5894"/>
    </row>
    <row r="5895" spans="30:30" x14ac:dyDescent="0.25">
      <c r="AD5895"/>
    </row>
    <row r="5896" spans="30:30" x14ac:dyDescent="0.25">
      <c r="AD5896"/>
    </row>
    <row r="5897" spans="30:30" x14ac:dyDescent="0.25">
      <c r="AD5897"/>
    </row>
    <row r="5898" spans="30:30" x14ac:dyDescent="0.25">
      <c r="AD5898"/>
    </row>
    <row r="5899" spans="30:30" x14ac:dyDescent="0.25">
      <c r="AD5899"/>
    </row>
    <row r="5900" spans="30:30" x14ac:dyDescent="0.25">
      <c r="AD5900"/>
    </row>
    <row r="5901" spans="30:30" x14ac:dyDescent="0.25">
      <c r="AD5901"/>
    </row>
    <row r="5902" spans="30:30" x14ac:dyDescent="0.25">
      <c r="AD5902"/>
    </row>
    <row r="5903" spans="30:30" x14ac:dyDescent="0.25">
      <c r="AD5903"/>
    </row>
    <row r="5904" spans="30:30" x14ac:dyDescent="0.25">
      <c r="AD5904"/>
    </row>
    <row r="5905" spans="30:30" x14ac:dyDescent="0.25">
      <c r="AD5905"/>
    </row>
    <row r="5906" spans="30:30" x14ac:dyDescent="0.25">
      <c r="AD5906"/>
    </row>
    <row r="5907" spans="30:30" x14ac:dyDescent="0.25">
      <c r="AD5907"/>
    </row>
    <row r="5908" spans="30:30" x14ac:dyDescent="0.25">
      <c r="AD5908"/>
    </row>
    <row r="5909" spans="30:30" x14ac:dyDescent="0.25">
      <c r="AD5909"/>
    </row>
    <row r="5910" spans="30:30" x14ac:dyDescent="0.25">
      <c r="AD5910"/>
    </row>
    <row r="5911" spans="30:30" x14ac:dyDescent="0.25">
      <c r="AD5911"/>
    </row>
    <row r="5912" spans="30:30" x14ac:dyDescent="0.25">
      <c r="AD5912"/>
    </row>
    <row r="5913" spans="30:30" x14ac:dyDescent="0.25">
      <c r="AD5913"/>
    </row>
    <row r="5914" spans="30:30" x14ac:dyDescent="0.25">
      <c r="AD5914"/>
    </row>
    <row r="5915" spans="30:30" x14ac:dyDescent="0.25">
      <c r="AD5915"/>
    </row>
    <row r="5916" spans="30:30" x14ac:dyDescent="0.25">
      <c r="AD5916"/>
    </row>
    <row r="5917" spans="30:30" x14ac:dyDescent="0.25">
      <c r="AD5917"/>
    </row>
    <row r="5918" spans="30:30" x14ac:dyDescent="0.25">
      <c r="AD5918"/>
    </row>
    <row r="5919" spans="30:30" x14ac:dyDescent="0.25">
      <c r="AD5919"/>
    </row>
    <row r="5920" spans="30:30" x14ac:dyDescent="0.25">
      <c r="AD5920"/>
    </row>
    <row r="5921" spans="30:30" x14ac:dyDescent="0.25">
      <c r="AD5921"/>
    </row>
    <row r="5922" spans="30:30" x14ac:dyDescent="0.25">
      <c r="AD5922"/>
    </row>
    <row r="5923" spans="30:30" x14ac:dyDescent="0.25">
      <c r="AD5923"/>
    </row>
    <row r="5924" spans="30:30" x14ac:dyDescent="0.25">
      <c r="AD5924"/>
    </row>
    <row r="5925" spans="30:30" x14ac:dyDescent="0.25">
      <c r="AD5925"/>
    </row>
    <row r="5926" spans="30:30" x14ac:dyDescent="0.25">
      <c r="AD5926"/>
    </row>
    <row r="5927" spans="30:30" x14ac:dyDescent="0.25">
      <c r="AD5927"/>
    </row>
    <row r="5928" spans="30:30" x14ac:dyDescent="0.25">
      <c r="AD5928"/>
    </row>
    <row r="5929" spans="30:30" x14ac:dyDescent="0.25">
      <c r="AD5929"/>
    </row>
    <row r="5930" spans="30:30" x14ac:dyDescent="0.25">
      <c r="AD5930"/>
    </row>
    <row r="5931" spans="30:30" x14ac:dyDescent="0.25">
      <c r="AD5931"/>
    </row>
    <row r="5932" spans="30:30" x14ac:dyDescent="0.25">
      <c r="AD5932"/>
    </row>
    <row r="5933" spans="30:30" x14ac:dyDescent="0.25">
      <c r="AD5933"/>
    </row>
    <row r="5934" spans="30:30" x14ac:dyDescent="0.25">
      <c r="AD5934"/>
    </row>
    <row r="5935" spans="30:30" x14ac:dyDescent="0.25">
      <c r="AD5935"/>
    </row>
    <row r="5936" spans="30:30" x14ac:dyDescent="0.25">
      <c r="AD5936"/>
    </row>
    <row r="5937" spans="30:30" x14ac:dyDescent="0.25">
      <c r="AD5937"/>
    </row>
    <row r="5938" spans="30:30" x14ac:dyDescent="0.25">
      <c r="AD5938"/>
    </row>
    <row r="5939" spans="30:30" x14ac:dyDescent="0.25">
      <c r="AD5939"/>
    </row>
    <row r="5940" spans="30:30" x14ac:dyDescent="0.25">
      <c r="AD5940"/>
    </row>
    <row r="5941" spans="30:30" x14ac:dyDescent="0.25">
      <c r="AD5941"/>
    </row>
    <row r="5942" spans="30:30" x14ac:dyDescent="0.25">
      <c r="AD5942"/>
    </row>
    <row r="5943" spans="30:30" x14ac:dyDescent="0.25">
      <c r="AD5943"/>
    </row>
    <row r="5944" spans="30:30" x14ac:dyDescent="0.25">
      <c r="AD5944"/>
    </row>
    <row r="5945" spans="30:30" x14ac:dyDescent="0.25">
      <c r="AD5945"/>
    </row>
    <row r="5946" spans="30:30" x14ac:dyDescent="0.25">
      <c r="AD5946"/>
    </row>
    <row r="5947" spans="30:30" x14ac:dyDescent="0.25">
      <c r="AD5947"/>
    </row>
    <row r="5948" spans="30:30" x14ac:dyDescent="0.25">
      <c r="AD5948"/>
    </row>
    <row r="5949" spans="30:30" x14ac:dyDescent="0.25">
      <c r="AD5949"/>
    </row>
    <row r="5950" spans="30:30" x14ac:dyDescent="0.25">
      <c r="AD5950"/>
    </row>
    <row r="5951" spans="30:30" x14ac:dyDescent="0.25">
      <c r="AD5951"/>
    </row>
    <row r="5952" spans="30:30" x14ac:dyDescent="0.25">
      <c r="AD5952"/>
    </row>
    <row r="5953" spans="30:30" x14ac:dyDescent="0.25">
      <c r="AD5953"/>
    </row>
    <row r="5954" spans="30:30" x14ac:dyDescent="0.25">
      <c r="AD5954"/>
    </row>
    <row r="5955" spans="30:30" x14ac:dyDescent="0.25">
      <c r="AD5955"/>
    </row>
    <row r="5956" spans="30:30" x14ac:dyDescent="0.25">
      <c r="AD5956"/>
    </row>
    <row r="5957" spans="30:30" x14ac:dyDescent="0.25">
      <c r="AD5957"/>
    </row>
    <row r="5958" spans="30:30" x14ac:dyDescent="0.25">
      <c r="AD5958"/>
    </row>
    <row r="5959" spans="30:30" x14ac:dyDescent="0.25">
      <c r="AD5959"/>
    </row>
    <row r="5960" spans="30:30" x14ac:dyDescent="0.25">
      <c r="AD5960"/>
    </row>
    <row r="5961" spans="30:30" x14ac:dyDescent="0.25">
      <c r="AD5961"/>
    </row>
    <row r="5962" spans="30:30" x14ac:dyDescent="0.25">
      <c r="AD5962"/>
    </row>
    <row r="5963" spans="30:30" x14ac:dyDescent="0.25">
      <c r="AD5963"/>
    </row>
    <row r="5964" spans="30:30" x14ac:dyDescent="0.25">
      <c r="AD5964"/>
    </row>
    <row r="5965" spans="30:30" x14ac:dyDescent="0.25">
      <c r="AD5965"/>
    </row>
    <row r="5966" spans="30:30" x14ac:dyDescent="0.25">
      <c r="AD5966"/>
    </row>
    <row r="5967" spans="30:30" x14ac:dyDescent="0.25">
      <c r="AD5967"/>
    </row>
    <row r="5968" spans="30:30" x14ac:dyDescent="0.25">
      <c r="AD5968"/>
    </row>
    <row r="5969" spans="30:30" x14ac:dyDescent="0.25">
      <c r="AD5969"/>
    </row>
    <row r="5970" spans="30:30" x14ac:dyDescent="0.25">
      <c r="AD5970"/>
    </row>
    <row r="5971" spans="30:30" x14ac:dyDescent="0.25">
      <c r="AD5971"/>
    </row>
    <row r="5972" spans="30:30" x14ac:dyDescent="0.25">
      <c r="AD5972"/>
    </row>
    <row r="5973" spans="30:30" x14ac:dyDescent="0.25">
      <c r="AD5973"/>
    </row>
    <row r="5974" spans="30:30" x14ac:dyDescent="0.25">
      <c r="AD5974"/>
    </row>
    <row r="5975" spans="30:30" x14ac:dyDescent="0.25">
      <c r="AD5975"/>
    </row>
    <row r="5976" spans="30:30" x14ac:dyDescent="0.25">
      <c r="AD5976"/>
    </row>
    <row r="5977" spans="30:30" x14ac:dyDescent="0.25">
      <c r="AD5977"/>
    </row>
    <row r="5978" spans="30:30" x14ac:dyDescent="0.25">
      <c r="AD5978"/>
    </row>
    <row r="5979" spans="30:30" x14ac:dyDescent="0.25">
      <c r="AD5979"/>
    </row>
    <row r="5980" spans="30:30" x14ac:dyDescent="0.25">
      <c r="AD5980"/>
    </row>
    <row r="5981" spans="30:30" x14ac:dyDescent="0.25">
      <c r="AD5981"/>
    </row>
    <row r="5982" spans="30:30" x14ac:dyDescent="0.25">
      <c r="AD5982"/>
    </row>
    <row r="5983" spans="30:30" x14ac:dyDescent="0.25">
      <c r="AD5983"/>
    </row>
    <row r="5984" spans="30:30" x14ac:dyDescent="0.25">
      <c r="AD5984"/>
    </row>
    <row r="5985" spans="30:30" x14ac:dyDescent="0.25">
      <c r="AD5985"/>
    </row>
    <row r="5986" spans="30:30" x14ac:dyDescent="0.25">
      <c r="AD5986"/>
    </row>
    <row r="5987" spans="30:30" x14ac:dyDescent="0.25">
      <c r="AD5987"/>
    </row>
    <row r="5988" spans="30:30" x14ac:dyDescent="0.25">
      <c r="AD5988"/>
    </row>
    <row r="5989" spans="30:30" x14ac:dyDescent="0.25">
      <c r="AD5989"/>
    </row>
    <row r="5990" spans="30:30" x14ac:dyDescent="0.25">
      <c r="AD5990"/>
    </row>
    <row r="5991" spans="30:30" x14ac:dyDescent="0.25">
      <c r="AD5991"/>
    </row>
    <row r="5992" spans="30:30" x14ac:dyDescent="0.25">
      <c r="AD5992"/>
    </row>
    <row r="5993" spans="30:30" x14ac:dyDescent="0.25">
      <c r="AD5993"/>
    </row>
    <row r="5994" spans="30:30" x14ac:dyDescent="0.25">
      <c r="AD5994"/>
    </row>
    <row r="5995" spans="30:30" x14ac:dyDescent="0.25">
      <c r="AD5995"/>
    </row>
    <row r="5996" spans="30:30" x14ac:dyDescent="0.25">
      <c r="AD5996"/>
    </row>
    <row r="5997" spans="30:30" x14ac:dyDescent="0.25">
      <c r="AD5997"/>
    </row>
    <row r="5998" spans="30:30" x14ac:dyDescent="0.25">
      <c r="AD5998"/>
    </row>
    <row r="5999" spans="30:30" x14ac:dyDescent="0.25">
      <c r="AD5999"/>
    </row>
    <row r="6000" spans="30:30" x14ac:dyDescent="0.25">
      <c r="AD6000"/>
    </row>
    <row r="6001" spans="30:30" x14ac:dyDescent="0.25">
      <c r="AD6001"/>
    </row>
    <row r="6002" spans="30:30" x14ac:dyDescent="0.25">
      <c r="AD6002"/>
    </row>
    <row r="6003" spans="30:30" x14ac:dyDescent="0.25">
      <c r="AD6003"/>
    </row>
    <row r="6004" spans="30:30" x14ac:dyDescent="0.25">
      <c r="AD6004"/>
    </row>
    <row r="6005" spans="30:30" x14ac:dyDescent="0.25">
      <c r="AD6005"/>
    </row>
    <row r="6006" spans="30:30" x14ac:dyDescent="0.25">
      <c r="AD6006"/>
    </row>
    <row r="6007" spans="30:30" x14ac:dyDescent="0.25">
      <c r="AD6007"/>
    </row>
    <row r="6008" spans="30:30" x14ac:dyDescent="0.25">
      <c r="AD6008"/>
    </row>
    <row r="6009" spans="30:30" x14ac:dyDescent="0.25">
      <c r="AD6009"/>
    </row>
    <row r="6010" spans="30:30" x14ac:dyDescent="0.25">
      <c r="AD6010"/>
    </row>
    <row r="6011" spans="30:30" x14ac:dyDescent="0.25">
      <c r="AD6011"/>
    </row>
    <row r="6012" spans="30:30" x14ac:dyDescent="0.25">
      <c r="AD6012"/>
    </row>
    <row r="6013" spans="30:30" x14ac:dyDescent="0.25">
      <c r="AD6013"/>
    </row>
    <row r="6014" spans="30:30" x14ac:dyDescent="0.25">
      <c r="AD6014"/>
    </row>
    <row r="6015" spans="30:30" x14ac:dyDescent="0.25">
      <c r="AD6015"/>
    </row>
    <row r="6016" spans="30:30" x14ac:dyDescent="0.25">
      <c r="AD6016"/>
    </row>
    <row r="6017" spans="30:30" x14ac:dyDescent="0.25">
      <c r="AD6017"/>
    </row>
    <row r="6018" spans="30:30" x14ac:dyDescent="0.25">
      <c r="AD6018"/>
    </row>
    <row r="6019" spans="30:30" x14ac:dyDescent="0.25">
      <c r="AD6019"/>
    </row>
    <row r="6020" spans="30:30" x14ac:dyDescent="0.25">
      <c r="AD6020"/>
    </row>
    <row r="6021" spans="30:30" x14ac:dyDescent="0.25">
      <c r="AD6021"/>
    </row>
    <row r="6022" spans="30:30" x14ac:dyDescent="0.25">
      <c r="AD6022"/>
    </row>
    <row r="6023" spans="30:30" x14ac:dyDescent="0.25">
      <c r="AD6023"/>
    </row>
    <row r="6024" spans="30:30" x14ac:dyDescent="0.25">
      <c r="AD6024"/>
    </row>
    <row r="6025" spans="30:30" x14ac:dyDescent="0.25">
      <c r="AD6025"/>
    </row>
    <row r="6026" spans="30:30" x14ac:dyDescent="0.25">
      <c r="AD6026"/>
    </row>
    <row r="6027" spans="30:30" x14ac:dyDescent="0.25">
      <c r="AD6027"/>
    </row>
    <row r="6028" spans="30:30" x14ac:dyDescent="0.25">
      <c r="AD6028"/>
    </row>
    <row r="6029" spans="30:30" x14ac:dyDescent="0.25">
      <c r="AD6029"/>
    </row>
    <row r="6030" spans="30:30" x14ac:dyDescent="0.25">
      <c r="AD6030"/>
    </row>
    <row r="6031" spans="30:30" x14ac:dyDescent="0.25">
      <c r="AD6031"/>
    </row>
    <row r="6032" spans="30:30" x14ac:dyDescent="0.25">
      <c r="AD6032"/>
    </row>
    <row r="6033" spans="30:30" x14ac:dyDescent="0.25">
      <c r="AD6033"/>
    </row>
    <row r="6034" spans="30:30" x14ac:dyDescent="0.25">
      <c r="AD6034"/>
    </row>
    <row r="6035" spans="30:30" x14ac:dyDescent="0.25">
      <c r="AD6035"/>
    </row>
    <row r="6036" spans="30:30" x14ac:dyDescent="0.25">
      <c r="AD6036"/>
    </row>
    <row r="6037" spans="30:30" x14ac:dyDescent="0.25">
      <c r="AD6037"/>
    </row>
    <row r="6038" spans="30:30" x14ac:dyDescent="0.25">
      <c r="AD6038"/>
    </row>
    <row r="6039" spans="30:30" x14ac:dyDescent="0.25">
      <c r="AD6039"/>
    </row>
    <row r="6040" spans="30:30" x14ac:dyDescent="0.25">
      <c r="AD6040"/>
    </row>
    <row r="6041" spans="30:30" x14ac:dyDescent="0.25">
      <c r="AD6041"/>
    </row>
    <row r="6042" spans="30:30" x14ac:dyDescent="0.25">
      <c r="AD6042"/>
    </row>
    <row r="6043" spans="30:30" x14ac:dyDescent="0.25">
      <c r="AD6043"/>
    </row>
    <row r="6044" spans="30:30" x14ac:dyDescent="0.25">
      <c r="AD6044"/>
    </row>
    <row r="6045" spans="30:30" x14ac:dyDescent="0.25">
      <c r="AD6045"/>
    </row>
    <row r="6046" spans="30:30" x14ac:dyDescent="0.25">
      <c r="AD6046"/>
    </row>
    <row r="6047" spans="30:30" x14ac:dyDescent="0.25">
      <c r="AD6047"/>
    </row>
    <row r="6048" spans="30:30" x14ac:dyDescent="0.25">
      <c r="AD6048"/>
    </row>
    <row r="6049" spans="30:30" x14ac:dyDescent="0.25">
      <c r="AD6049"/>
    </row>
    <row r="6050" spans="30:30" x14ac:dyDescent="0.25">
      <c r="AD6050"/>
    </row>
    <row r="6051" spans="30:30" x14ac:dyDescent="0.25">
      <c r="AD6051"/>
    </row>
    <row r="6052" spans="30:30" x14ac:dyDescent="0.25">
      <c r="AD6052"/>
    </row>
    <row r="6053" spans="30:30" x14ac:dyDescent="0.25">
      <c r="AD6053"/>
    </row>
    <row r="6054" spans="30:30" x14ac:dyDescent="0.25">
      <c r="AD6054"/>
    </row>
    <row r="6055" spans="30:30" x14ac:dyDescent="0.25">
      <c r="AD6055"/>
    </row>
    <row r="6056" spans="30:30" x14ac:dyDescent="0.25">
      <c r="AD6056"/>
    </row>
    <row r="6057" spans="30:30" x14ac:dyDescent="0.25">
      <c r="AD6057"/>
    </row>
    <row r="6058" spans="30:30" x14ac:dyDescent="0.25">
      <c r="AD6058"/>
    </row>
    <row r="6059" spans="30:30" x14ac:dyDescent="0.25">
      <c r="AD6059"/>
    </row>
    <row r="6060" spans="30:30" x14ac:dyDescent="0.25">
      <c r="AD6060"/>
    </row>
    <row r="6061" spans="30:30" x14ac:dyDescent="0.25">
      <c r="AD6061"/>
    </row>
    <row r="6062" spans="30:30" x14ac:dyDescent="0.25">
      <c r="AD6062"/>
    </row>
    <row r="6063" spans="30:30" x14ac:dyDescent="0.25">
      <c r="AD6063"/>
    </row>
    <row r="6064" spans="30:30" x14ac:dyDescent="0.25">
      <c r="AD6064"/>
    </row>
    <row r="6065" spans="30:30" x14ac:dyDescent="0.25">
      <c r="AD6065"/>
    </row>
    <row r="6066" spans="30:30" x14ac:dyDescent="0.25">
      <c r="AD6066"/>
    </row>
    <row r="6067" spans="30:30" x14ac:dyDescent="0.25">
      <c r="AD6067"/>
    </row>
    <row r="6068" spans="30:30" x14ac:dyDescent="0.25">
      <c r="AD6068"/>
    </row>
    <row r="6069" spans="30:30" x14ac:dyDescent="0.25">
      <c r="AD6069"/>
    </row>
    <row r="6070" spans="30:30" x14ac:dyDescent="0.25">
      <c r="AD6070"/>
    </row>
    <row r="6071" spans="30:30" x14ac:dyDescent="0.25">
      <c r="AD6071"/>
    </row>
    <row r="6072" spans="30:30" x14ac:dyDescent="0.25">
      <c r="AD6072"/>
    </row>
    <row r="6073" spans="30:30" x14ac:dyDescent="0.25">
      <c r="AD6073"/>
    </row>
    <row r="6074" spans="30:30" x14ac:dyDescent="0.25">
      <c r="AD6074"/>
    </row>
    <row r="6075" spans="30:30" x14ac:dyDescent="0.25">
      <c r="AD6075"/>
    </row>
    <row r="6076" spans="30:30" x14ac:dyDescent="0.25">
      <c r="AD6076"/>
    </row>
    <row r="6077" spans="30:30" x14ac:dyDescent="0.25">
      <c r="AD6077"/>
    </row>
    <row r="6078" spans="30:30" x14ac:dyDescent="0.25">
      <c r="AD6078"/>
    </row>
    <row r="6079" spans="30:30" x14ac:dyDescent="0.25">
      <c r="AD6079"/>
    </row>
    <row r="6080" spans="30:30" x14ac:dyDescent="0.25">
      <c r="AD6080"/>
    </row>
    <row r="6081" spans="30:30" x14ac:dyDescent="0.25">
      <c r="AD6081"/>
    </row>
    <row r="6082" spans="30:30" x14ac:dyDescent="0.25">
      <c r="AD6082"/>
    </row>
    <row r="6083" spans="30:30" x14ac:dyDescent="0.25">
      <c r="AD6083"/>
    </row>
    <row r="6084" spans="30:30" x14ac:dyDescent="0.25">
      <c r="AD6084"/>
    </row>
    <row r="6085" spans="30:30" x14ac:dyDescent="0.25">
      <c r="AD6085"/>
    </row>
    <row r="6086" spans="30:30" x14ac:dyDescent="0.25">
      <c r="AD6086"/>
    </row>
    <row r="6087" spans="30:30" x14ac:dyDescent="0.25">
      <c r="AD6087"/>
    </row>
    <row r="6088" spans="30:30" x14ac:dyDescent="0.25">
      <c r="AD6088"/>
    </row>
    <row r="6089" spans="30:30" x14ac:dyDescent="0.25">
      <c r="AD6089"/>
    </row>
    <row r="6090" spans="30:30" x14ac:dyDescent="0.25">
      <c r="AD6090"/>
    </row>
    <row r="6091" spans="30:30" x14ac:dyDescent="0.25">
      <c r="AD6091"/>
    </row>
    <row r="6092" spans="30:30" x14ac:dyDescent="0.25">
      <c r="AD6092"/>
    </row>
    <row r="6093" spans="30:30" x14ac:dyDescent="0.25">
      <c r="AD6093"/>
    </row>
    <row r="6094" spans="30:30" x14ac:dyDescent="0.25">
      <c r="AD6094"/>
    </row>
    <row r="6095" spans="30:30" x14ac:dyDescent="0.25">
      <c r="AD6095"/>
    </row>
    <row r="6096" spans="30:30" x14ac:dyDescent="0.25">
      <c r="AD6096"/>
    </row>
    <row r="6097" spans="30:30" x14ac:dyDescent="0.25">
      <c r="AD6097"/>
    </row>
    <row r="6098" spans="30:30" x14ac:dyDescent="0.25">
      <c r="AD6098"/>
    </row>
    <row r="6099" spans="30:30" x14ac:dyDescent="0.25">
      <c r="AD6099"/>
    </row>
    <row r="6100" spans="30:30" x14ac:dyDescent="0.25">
      <c r="AD6100"/>
    </row>
    <row r="6101" spans="30:30" x14ac:dyDescent="0.25">
      <c r="AD6101"/>
    </row>
    <row r="6102" spans="30:30" x14ac:dyDescent="0.25">
      <c r="AD6102"/>
    </row>
    <row r="6103" spans="30:30" x14ac:dyDescent="0.25">
      <c r="AD6103"/>
    </row>
    <row r="6104" spans="30:30" x14ac:dyDescent="0.25">
      <c r="AD6104"/>
    </row>
    <row r="6105" spans="30:30" x14ac:dyDescent="0.25">
      <c r="AD6105"/>
    </row>
    <row r="6106" spans="30:30" x14ac:dyDescent="0.25">
      <c r="AD6106"/>
    </row>
    <row r="6107" spans="30:30" x14ac:dyDescent="0.25">
      <c r="AD6107"/>
    </row>
    <row r="6108" spans="30:30" x14ac:dyDescent="0.25">
      <c r="AD6108"/>
    </row>
    <row r="6109" spans="30:30" x14ac:dyDescent="0.25">
      <c r="AD6109"/>
    </row>
    <row r="6110" spans="30:30" x14ac:dyDescent="0.25">
      <c r="AD6110"/>
    </row>
    <row r="6111" spans="30:30" x14ac:dyDescent="0.25">
      <c r="AD6111"/>
    </row>
    <row r="6112" spans="30:30" x14ac:dyDescent="0.25">
      <c r="AD6112"/>
    </row>
    <row r="6113" spans="30:30" x14ac:dyDescent="0.25">
      <c r="AD6113"/>
    </row>
    <row r="6114" spans="30:30" x14ac:dyDescent="0.25">
      <c r="AD6114"/>
    </row>
    <row r="6115" spans="30:30" x14ac:dyDescent="0.25">
      <c r="AD6115"/>
    </row>
    <row r="6116" spans="30:30" x14ac:dyDescent="0.25">
      <c r="AD6116"/>
    </row>
    <row r="6117" spans="30:30" x14ac:dyDescent="0.25">
      <c r="AD6117"/>
    </row>
    <row r="6118" spans="30:30" x14ac:dyDescent="0.25">
      <c r="AD6118"/>
    </row>
    <row r="6119" spans="30:30" x14ac:dyDescent="0.25">
      <c r="AD6119"/>
    </row>
    <row r="6120" spans="30:30" x14ac:dyDescent="0.25">
      <c r="AD6120"/>
    </row>
    <row r="6121" spans="30:30" x14ac:dyDescent="0.25">
      <c r="AD6121"/>
    </row>
    <row r="6122" spans="30:30" x14ac:dyDescent="0.25">
      <c r="AD6122"/>
    </row>
    <row r="6123" spans="30:30" x14ac:dyDescent="0.25">
      <c r="AD6123"/>
    </row>
    <row r="6124" spans="30:30" x14ac:dyDescent="0.25">
      <c r="AD6124"/>
    </row>
    <row r="6125" spans="30:30" x14ac:dyDescent="0.25">
      <c r="AD6125"/>
    </row>
    <row r="6126" spans="30:30" x14ac:dyDescent="0.25">
      <c r="AD6126"/>
    </row>
    <row r="6127" spans="30:30" x14ac:dyDescent="0.25">
      <c r="AD6127"/>
    </row>
    <row r="6128" spans="30:30" x14ac:dyDescent="0.25">
      <c r="AD6128"/>
    </row>
    <row r="6129" spans="30:30" x14ac:dyDescent="0.25">
      <c r="AD6129"/>
    </row>
    <row r="6130" spans="30:30" x14ac:dyDescent="0.25">
      <c r="AD6130"/>
    </row>
    <row r="6131" spans="30:30" x14ac:dyDescent="0.25">
      <c r="AD6131"/>
    </row>
    <row r="6132" spans="30:30" x14ac:dyDescent="0.25">
      <c r="AD6132"/>
    </row>
    <row r="6133" spans="30:30" x14ac:dyDescent="0.25">
      <c r="AD6133"/>
    </row>
    <row r="6134" spans="30:30" x14ac:dyDescent="0.25">
      <c r="AD6134"/>
    </row>
    <row r="6135" spans="30:30" x14ac:dyDescent="0.25">
      <c r="AD6135"/>
    </row>
    <row r="6136" spans="30:30" x14ac:dyDescent="0.25">
      <c r="AD6136"/>
    </row>
    <row r="6137" spans="30:30" x14ac:dyDescent="0.25">
      <c r="AD6137"/>
    </row>
    <row r="6138" spans="30:30" x14ac:dyDescent="0.25">
      <c r="AD6138"/>
    </row>
    <row r="6139" spans="30:30" x14ac:dyDescent="0.25">
      <c r="AD6139"/>
    </row>
    <row r="6140" spans="30:30" x14ac:dyDescent="0.25">
      <c r="AD6140"/>
    </row>
    <row r="6141" spans="30:30" x14ac:dyDescent="0.25">
      <c r="AD6141"/>
    </row>
    <row r="6142" spans="30:30" x14ac:dyDescent="0.25">
      <c r="AD6142"/>
    </row>
    <row r="6143" spans="30:30" x14ac:dyDescent="0.25">
      <c r="AD6143"/>
    </row>
    <row r="6144" spans="30:30" x14ac:dyDescent="0.25">
      <c r="AD6144"/>
    </row>
    <row r="6145" spans="30:30" x14ac:dyDescent="0.25">
      <c r="AD6145"/>
    </row>
    <row r="6146" spans="30:30" x14ac:dyDescent="0.25">
      <c r="AD6146"/>
    </row>
    <row r="6147" spans="30:30" x14ac:dyDescent="0.25">
      <c r="AD6147"/>
    </row>
    <row r="6148" spans="30:30" x14ac:dyDescent="0.25">
      <c r="AD6148"/>
    </row>
    <row r="6149" spans="30:30" x14ac:dyDescent="0.25">
      <c r="AD6149"/>
    </row>
    <row r="6150" spans="30:30" x14ac:dyDescent="0.25">
      <c r="AD6150"/>
    </row>
    <row r="6151" spans="30:30" x14ac:dyDescent="0.25">
      <c r="AD6151"/>
    </row>
    <row r="6152" spans="30:30" x14ac:dyDescent="0.25">
      <c r="AD6152"/>
    </row>
    <row r="6153" spans="30:30" x14ac:dyDescent="0.25">
      <c r="AD6153"/>
    </row>
    <row r="6154" spans="30:30" x14ac:dyDescent="0.25">
      <c r="AD6154"/>
    </row>
    <row r="6155" spans="30:30" x14ac:dyDescent="0.25">
      <c r="AD6155"/>
    </row>
    <row r="6156" spans="30:30" x14ac:dyDescent="0.25">
      <c r="AD6156"/>
    </row>
    <row r="6157" spans="30:30" x14ac:dyDescent="0.25">
      <c r="AD6157"/>
    </row>
    <row r="6158" spans="30:30" x14ac:dyDescent="0.25">
      <c r="AD6158"/>
    </row>
    <row r="6159" spans="30:30" x14ac:dyDescent="0.25">
      <c r="AD6159"/>
    </row>
    <row r="6160" spans="30:30" x14ac:dyDescent="0.25">
      <c r="AD6160"/>
    </row>
    <row r="6161" spans="30:30" x14ac:dyDescent="0.25">
      <c r="AD6161"/>
    </row>
    <row r="6162" spans="30:30" x14ac:dyDescent="0.25">
      <c r="AD6162"/>
    </row>
    <row r="6163" spans="30:30" x14ac:dyDescent="0.25">
      <c r="AD6163"/>
    </row>
    <row r="6164" spans="30:30" x14ac:dyDescent="0.25">
      <c r="AD6164"/>
    </row>
    <row r="6165" spans="30:30" x14ac:dyDescent="0.25">
      <c r="AD6165"/>
    </row>
    <row r="6166" spans="30:30" x14ac:dyDescent="0.25">
      <c r="AD6166"/>
    </row>
    <row r="6167" spans="30:30" x14ac:dyDescent="0.25">
      <c r="AD6167"/>
    </row>
    <row r="6168" spans="30:30" x14ac:dyDescent="0.25">
      <c r="AD6168"/>
    </row>
    <row r="6169" spans="30:30" x14ac:dyDescent="0.25">
      <c r="AD6169"/>
    </row>
    <row r="6170" spans="30:30" x14ac:dyDescent="0.25">
      <c r="AD6170"/>
    </row>
    <row r="6171" spans="30:30" x14ac:dyDescent="0.25">
      <c r="AD6171"/>
    </row>
    <row r="6172" spans="30:30" x14ac:dyDescent="0.25">
      <c r="AD6172"/>
    </row>
    <row r="6173" spans="30:30" x14ac:dyDescent="0.25">
      <c r="AD6173"/>
    </row>
    <row r="6174" spans="30:30" x14ac:dyDescent="0.25">
      <c r="AD6174"/>
    </row>
    <row r="6175" spans="30:30" x14ac:dyDescent="0.25">
      <c r="AD6175"/>
    </row>
    <row r="6176" spans="30:30" x14ac:dyDescent="0.25">
      <c r="AD6176"/>
    </row>
    <row r="6177" spans="30:30" x14ac:dyDescent="0.25">
      <c r="AD6177"/>
    </row>
    <row r="6178" spans="30:30" x14ac:dyDescent="0.25">
      <c r="AD6178"/>
    </row>
    <row r="6179" spans="30:30" x14ac:dyDescent="0.25">
      <c r="AD6179"/>
    </row>
    <row r="6180" spans="30:30" x14ac:dyDescent="0.25">
      <c r="AD6180"/>
    </row>
    <row r="6181" spans="30:30" x14ac:dyDescent="0.25">
      <c r="AD6181"/>
    </row>
    <row r="6182" spans="30:30" x14ac:dyDescent="0.25">
      <c r="AD6182"/>
    </row>
    <row r="6183" spans="30:30" x14ac:dyDescent="0.25">
      <c r="AD6183"/>
    </row>
    <row r="6184" spans="30:30" x14ac:dyDescent="0.25">
      <c r="AD6184"/>
    </row>
    <row r="6185" spans="30:30" x14ac:dyDescent="0.25">
      <c r="AD6185"/>
    </row>
    <row r="6186" spans="30:30" x14ac:dyDescent="0.25">
      <c r="AD6186"/>
    </row>
    <row r="6187" spans="30:30" x14ac:dyDescent="0.25">
      <c r="AD6187"/>
    </row>
    <row r="6188" spans="30:30" x14ac:dyDescent="0.25">
      <c r="AD6188"/>
    </row>
    <row r="6189" spans="30:30" x14ac:dyDescent="0.25">
      <c r="AD6189"/>
    </row>
    <row r="6190" spans="30:30" x14ac:dyDescent="0.25">
      <c r="AD6190"/>
    </row>
    <row r="6191" spans="30:30" x14ac:dyDescent="0.25">
      <c r="AD6191"/>
    </row>
    <row r="6192" spans="30:30" x14ac:dyDescent="0.25">
      <c r="AD6192"/>
    </row>
    <row r="6193" spans="30:30" x14ac:dyDescent="0.25">
      <c r="AD6193"/>
    </row>
    <row r="6194" spans="30:30" x14ac:dyDescent="0.25">
      <c r="AD6194"/>
    </row>
    <row r="6195" spans="30:30" x14ac:dyDescent="0.25">
      <c r="AD6195"/>
    </row>
    <row r="6196" spans="30:30" x14ac:dyDescent="0.25">
      <c r="AD6196"/>
    </row>
    <row r="6197" spans="30:30" x14ac:dyDescent="0.25">
      <c r="AD6197"/>
    </row>
    <row r="6198" spans="30:30" x14ac:dyDescent="0.25">
      <c r="AD6198"/>
    </row>
    <row r="6199" spans="30:30" x14ac:dyDescent="0.25">
      <c r="AD6199"/>
    </row>
    <row r="6200" spans="30:30" x14ac:dyDescent="0.25">
      <c r="AD6200"/>
    </row>
    <row r="6201" spans="30:30" x14ac:dyDescent="0.25">
      <c r="AD6201"/>
    </row>
    <row r="6202" spans="30:30" x14ac:dyDescent="0.25">
      <c r="AD6202"/>
    </row>
    <row r="6203" spans="30:30" x14ac:dyDescent="0.25">
      <c r="AD6203"/>
    </row>
    <row r="6204" spans="30:30" x14ac:dyDescent="0.25">
      <c r="AD6204"/>
    </row>
    <row r="6205" spans="30:30" x14ac:dyDescent="0.25">
      <c r="AD6205"/>
    </row>
    <row r="6206" spans="30:30" x14ac:dyDescent="0.25">
      <c r="AD6206"/>
    </row>
    <row r="6207" spans="30:30" x14ac:dyDescent="0.25">
      <c r="AD6207"/>
    </row>
    <row r="6208" spans="30:30" x14ac:dyDescent="0.25">
      <c r="AD6208"/>
    </row>
    <row r="6209" spans="30:30" x14ac:dyDescent="0.25">
      <c r="AD6209"/>
    </row>
    <row r="6210" spans="30:30" x14ac:dyDescent="0.25">
      <c r="AD6210"/>
    </row>
    <row r="6211" spans="30:30" x14ac:dyDescent="0.25">
      <c r="AD6211"/>
    </row>
    <row r="6212" spans="30:30" x14ac:dyDescent="0.25">
      <c r="AD6212"/>
    </row>
    <row r="6213" spans="30:30" x14ac:dyDescent="0.25">
      <c r="AD6213"/>
    </row>
    <row r="6214" spans="30:30" x14ac:dyDescent="0.25">
      <c r="AD6214"/>
    </row>
    <row r="6215" spans="30:30" x14ac:dyDescent="0.25">
      <c r="AD6215"/>
    </row>
    <row r="6216" spans="30:30" x14ac:dyDescent="0.25">
      <c r="AD6216"/>
    </row>
    <row r="6217" spans="30:30" x14ac:dyDescent="0.25">
      <c r="AD6217"/>
    </row>
    <row r="6218" spans="30:30" x14ac:dyDescent="0.25">
      <c r="AD6218"/>
    </row>
    <row r="6219" spans="30:30" x14ac:dyDescent="0.25">
      <c r="AD6219"/>
    </row>
    <row r="6220" spans="30:30" x14ac:dyDescent="0.25">
      <c r="AD6220"/>
    </row>
    <row r="6221" spans="30:30" x14ac:dyDescent="0.25">
      <c r="AD6221"/>
    </row>
    <row r="6222" spans="30:30" x14ac:dyDescent="0.25">
      <c r="AD6222"/>
    </row>
    <row r="6223" spans="30:30" x14ac:dyDescent="0.25">
      <c r="AD6223"/>
    </row>
    <row r="6224" spans="30:30" x14ac:dyDescent="0.25">
      <c r="AD6224"/>
    </row>
    <row r="6225" spans="30:30" x14ac:dyDescent="0.25">
      <c r="AD6225"/>
    </row>
    <row r="6226" spans="30:30" x14ac:dyDescent="0.25">
      <c r="AD6226"/>
    </row>
    <row r="6227" spans="30:30" x14ac:dyDescent="0.25">
      <c r="AD6227"/>
    </row>
    <row r="6228" spans="30:30" x14ac:dyDescent="0.25">
      <c r="AD6228"/>
    </row>
    <row r="6229" spans="30:30" x14ac:dyDescent="0.25">
      <c r="AD6229"/>
    </row>
    <row r="6230" spans="30:30" x14ac:dyDescent="0.25">
      <c r="AD6230"/>
    </row>
    <row r="6231" spans="30:30" x14ac:dyDescent="0.25">
      <c r="AD6231"/>
    </row>
    <row r="6232" spans="30:30" x14ac:dyDescent="0.25">
      <c r="AD6232"/>
    </row>
    <row r="6233" spans="30:30" x14ac:dyDescent="0.25">
      <c r="AD6233"/>
    </row>
    <row r="6234" spans="30:30" x14ac:dyDescent="0.25">
      <c r="AD6234"/>
    </row>
    <row r="6235" spans="30:30" x14ac:dyDescent="0.25">
      <c r="AD6235"/>
    </row>
    <row r="6236" spans="30:30" x14ac:dyDescent="0.25">
      <c r="AD6236"/>
    </row>
    <row r="6237" spans="30:30" x14ac:dyDescent="0.25">
      <c r="AD6237"/>
    </row>
    <row r="6238" spans="30:30" x14ac:dyDescent="0.25">
      <c r="AD6238"/>
    </row>
    <row r="6239" spans="30:30" x14ac:dyDescent="0.25">
      <c r="AD6239"/>
    </row>
    <row r="6240" spans="30:30" x14ac:dyDescent="0.25">
      <c r="AD6240"/>
    </row>
    <row r="6241" spans="30:30" x14ac:dyDescent="0.25">
      <c r="AD6241"/>
    </row>
    <row r="6242" spans="30:30" x14ac:dyDescent="0.25">
      <c r="AD6242"/>
    </row>
    <row r="6243" spans="30:30" x14ac:dyDescent="0.25">
      <c r="AD6243"/>
    </row>
    <row r="6244" spans="30:30" x14ac:dyDescent="0.25">
      <c r="AD6244"/>
    </row>
    <row r="6245" spans="30:30" x14ac:dyDescent="0.25">
      <c r="AD6245"/>
    </row>
    <row r="6246" spans="30:30" x14ac:dyDescent="0.25">
      <c r="AD6246"/>
    </row>
    <row r="6247" spans="30:30" x14ac:dyDescent="0.25">
      <c r="AD6247"/>
    </row>
    <row r="6248" spans="30:30" x14ac:dyDescent="0.25">
      <c r="AD6248"/>
    </row>
    <row r="6249" spans="30:30" x14ac:dyDescent="0.25">
      <c r="AD6249"/>
    </row>
    <row r="6250" spans="30:30" x14ac:dyDescent="0.25">
      <c r="AD6250"/>
    </row>
    <row r="6251" spans="30:30" x14ac:dyDescent="0.25">
      <c r="AD6251"/>
    </row>
    <row r="6252" spans="30:30" x14ac:dyDescent="0.25">
      <c r="AD6252"/>
    </row>
    <row r="6253" spans="30:30" x14ac:dyDescent="0.25">
      <c r="AD6253"/>
    </row>
    <row r="6254" spans="30:30" x14ac:dyDescent="0.25">
      <c r="AD6254"/>
    </row>
    <row r="6255" spans="30:30" x14ac:dyDescent="0.25">
      <c r="AD6255"/>
    </row>
    <row r="6256" spans="30:30" x14ac:dyDescent="0.25">
      <c r="AD6256"/>
    </row>
    <row r="6257" spans="30:30" x14ac:dyDescent="0.25">
      <c r="AD6257"/>
    </row>
    <row r="6258" spans="30:30" x14ac:dyDescent="0.25">
      <c r="AD6258"/>
    </row>
    <row r="6259" spans="30:30" x14ac:dyDescent="0.25">
      <c r="AD6259"/>
    </row>
    <row r="6260" spans="30:30" x14ac:dyDescent="0.25">
      <c r="AD6260"/>
    </row>
    <row r="6261" spans="30:30" x14ac:dyDescent="0.25">
      <c r="AD6261"/>
    </row>
    <row r="6262" spans="30:30" x14ac:dyDescent="0.25">
      <c r="AD6262"/>
    </row>
    <row r="6263" spans="30:30" x14ac:dyDescent="0.25">
      <c r="AD6263"/>
    </row>
    <row r="6264" spans="30:30" x14ac:dyDescent="0.25">
      <c r="AD6264"/>
    </row>
    <row r="6265" spans="30:30" x14ac:dyDescent="0.25">
      <c r="AD6265"/>
    </row>
    <row r="6266" spans="30:30" x14ac:dyDescent="0.25">
      <c r="AD6266"/>
    </row>
    <row r="6267" spans="30:30" x14ac:dyDescent="0.25">
      <c r="AD6267"/>
    </row>
    <row r="6268" spans="30:30" x14ac:dyDescent="0.25">
      <c r="AD6268"/>
    </row>
    <row r="6269" spans="30:30" x14ac:dyDescent="0.25">
      <c r="AD6269"/>
    </row>
    <row r="6270" spans="30:30" x14ac:dyDescent="0.25">
      <c r="AD6270"/>
    </row>
    <row r="6271" spans="30:30" x14ac:dyDescent="0.25">
      <c r="AD6271"/>
    </row>
    <row r="6272" spans="30:30" x14ac:dyDescent="0.25">
      <c r="AD6272"/>
    </row>
    <row r="6273" spans="30:30" x14ac:dyDescent="0.25">
      <c r="AD6273"/>
    </row>
    <row r="6274" spans="30:30" x14ac:dyDescent="0.25">
      <c r="AD6274"/>
    </row>
    <row r="6275" spans="30:30" x14ac:dyDescent="0.25">
      <c r="AD6275"/>
    </row>
    <row r="6276" spans="30:30" x14ac:dyDescent="0.25">
      <c r="AD6276"/>
    </row>
    <row r="6277" spans="30:30" x14ac:dyDescent="0.25">
      <c r="AD6277"/>
    </row>
    <row r="6278" spans="30:30" x14ac:dyDescent="0.25">
      <c r="AD6278"/>
    </row>
    <row r="6279" spans="30:30" x14ac:dyDescent="0.25">
      <c r="AD6279"/>
    </row>
    <row r="6280" spans="30:30" x14ac:dyDescent="0.25">
      <c r="AD6280"/>
    </row>
    <row r="6281" spans="30:30" x14ac:dyDescent="0.25">
      <c r="AD6281"/>
    </row>
    <row r="6282" spans="30:30" x14ac:dyDescent="0.25">
      <c r="AD6282"/>
    </row>
    <row r="6283" spans="30:30" x14ac:dyDescent="0.25">
      <c r="AD6283"/>
    </row>
    <row r="6284" spans="30:30" x14ac:dyDescent="0.25">
      <c r="AD6284"/>
    </row>
    <row r="6285" spans="30:30" x14ac:dyDescent="0.25">
      <c r="AD6285"/>
    </row>
    <row r="6286" spans="30:30" x14ac:dyDescent="0.25">
      <c r="AD6286"/>
    </row>
    <row r="6287" spans="30:30" x14ac:dyDescent="0.25">
      <c r="AD6287"/>
    </row>
    <row r="6288" spans="30:30" x14ac:dyDescent="0.25">
      <c r="AD6288"/>
    </row>
    <row r="6289" spans="30:30" x14ac:dyDescent="0.25">
      <c r="AD6289"/>
    </row>
    <row r="6290" spans="30:30" x14ac:dyDescent="0.25">
      <c r="AD6290"/>
    </row>
    <row r="6291" spans="30:30" x14ac:dyDescent="0.25">
      <c r="AD6291"/>
    </row>
    <row r="6292" spans="30:30" x14ac:dyDescent="0.25">
      <c r="AD6292"/>
    </row>
    <row r="6293" spans="30:30" x14ac:dyDescent="0.25">
      <c r="AD6293"/>
    </row>
    <row r="6294" spans="30:30" x14ac:dyDescent="0.25">
      <c r="AD6294"/>
    </row>
    <row r="6295" spans="30:30" x14ac:dyDescent="0.25">
      <c r="AD6295"/>
    </row>
    <row r="6296" spans="30:30" x14ac:dyDescent="0.25">
      <c r="AD6296"/>
    </row>
    <row r="6297" spans="30:30" x14ac:dyDescent="0.25">
      <c r="AD6297"/>
    </row>
    <row r="6298" spans="30:30" x14ac:dyDescent="0.25">
      <c r="AD6298"/>
    </row>
    <row r="6299" spans="30:30" x14ac:dyDescent="0.25">
      <c r="AD6299"/>
    </row>
    <row r="6300" spans="30:30" x14ac:dyDescent="0.25">
      <c r="AD6300"/>
    </row>
    <row r="6301" spans="30:30" x14ac:dyDescent="0.25">
      <c r="AD6301"/>
    </row>
    <row r="6302" spans="30:30" x14ac:dyDescent="0.25">
      <c r="AD6302"/>
    </row>
    <row r="6303" spans="30:30" x14ac:dyDescent="0.25">
      <c r="AD6303"/>
    </row>
    <row r="6304" spans="30:30" x14ac:dyDescent="0.25">
      <c r="AD6304"/>
    </row>
    <row r="6305" spans="30:30" x14ac:dyDescent="0.25">
      <c r="AD6305"/>
    </row>
    <row r="6306" spans="30:30" x14ac:dyDescent="0.25">
      <c r="AD6306"/>
    </row>
    <row r="6307" spans="30:30" x14ac:dyDescent="0.25">
      <c r="AD6307"/>
    </row>
    <row r="6308" spans="30:30" x14ac:dyDescent="0.25">
      <c r="AD6308"/>
    </row>
    <row r="6309" spans="30:30" x14ac:dyDescent="0.25">
      <c r="AD6309"/>
    </row>
    <row r="6310" spans="30:30" x14ac:dyDescent="0.25">
      <c r="AD6310"/>
    </row>
    <row r="6311" spans="30:30" x14ac:dyDescent="0.25">
      <c r="AD6311"/>
    </row>
    <row r="6312" spans="30:30" x14ac:dyDescent="0.25">
      <c r="AD6312"/>
    </row>
    <row r="6313" spans="30:30" x14ac:dyDescent="0.25">
      <c r="AD6313"/>
    </row>
    <row r="6314" spans="30:30" x14ac:dyDescent="0.25">
      <c r="AD6314"/>
    </row>
    <row r="6315" spans="30:30" x14ac:dyDescent="0.25">
      <c r="AD6315"/>
    </row>
    <row r="6316" spans="30:30" x14ac:dyDescent="0.25">
      <c r="AD6316"/>
    </row>
    <row r="6317" spans="30:30" x14ac:dyDescent="0.25">
      <c r="AD6317"/>
    </row>
    <row r="6318" spans="30:30" x14ac:dyDescent="0.25">
      <c r="AD6318"/>
    </row>
    <row r="6319" spans="30:30" x14ac:dyDescent="0.25">
      <c r="AD6319"/>
    </row>
    <row r="6320" spans="30:30" x14ac:dyDescent="0.25">
      <c r="AD6320"/>
    </row>
    <row r="6321" spans="30:30" x14ac:dyDescent="0.25">
      <c r="AD6321"/>
    </row>
    <row r="6322" spans="30:30" x14ac:dyDescent="0.25">
      <c r="AD6322"/>
    </row>
    <row r="6323" spans="30:30" x14ac:dyDescent="0.25">
      <c r="AD6323"/>
    </row>
    <row r="6324" spans="30:30" x14ac:dyDescent="0.25">
      <c r="AD6324"/>
    </row>
    <row r="6325" spans="30:30" x14ac:dyDescent="0.25">
      <c r="AD6325"/>
    </row>
    <row r="6326" spans="30:30" x14ac:dyDescent="0.25">
      <c r="AD6326"/>
    </row>
    <row r="6327" spans="30:30" x14ac:dyDescent="0.25">
      <c r="AD6327"/>
    </row>
    <row r="6328" spans="30:30" x14ac:dyDescent="0.25">
      <c r="AD6328"/>
    </row>
    <row r="6329" spans="30:30" x14ac:dyDescent="0.25">
      <c r="AD6329"/>
    </row>
    <row r="6330" spans="30:30" x14ac:dyDescent="0.25">
      <c r="AD6330"/>
    </row>
    <row r="6331" spans="30:30" x14ac:dyDescent="0.25">
      <c r="AD6331"/>
    </row>
    <row r="6332" spans="30:30" x14ac:dyDescent="0.25">
      <c r="AD6332"/>
    </row>
    <row r="6333" spans="30:30" x14ac:dyDescent="0.25">
      <c r="AD6333"/>
    </row>
    <row r="6334" spans="30:30" x14ac:dyDescent="0.25">
      <c r="AD6334"/>
    </row>
    <row r="6335" spans="30:30" x14ac:dyDescent="0.25">
      <c r="AD6335"/>
    </row>
    <row r="6336" spans="30:30" x14ac:dyDescent="0.25">
      <c r="AD6336"/>
    </row>
    <row r="6337" spans="30:30" x14ac:dyDescent="0.25">
      <c r="AD6337"/>
    </row>
    <row r="6338" spans="30:30" x14ac:dyDescent="0.25">
      <c r="AD6338"/>
    </row>
    <row r="6339" spans="30:30" x14ac:dyDescent="0.25">
      <c r="AD6339"/>
    </row>
    <row r="6340" spans="30:30" x14ac:dyDescent="0.25">
      <c r="AD6340"/>
    </row>
    <row r="6341" spans="30:30" x14ac:dyDescent="0.25">
      <c r="AD6341"/>
    </row>
    <row r="6342" spans="30:30" x14ac:dyDescent="0.25">
      <c r="AD6342"/>
    </row>
    <row r="6343" spans="30:30" x14ac:dyDescent="0.25">
      <c r="AD6343"/>
    </row>
    <row r="6344" spans="30:30" x14ac:dyDescent="0.25">
      <c r="AD6344"/>
    </row>
    <row r="6345" spans="30:30" x14ac:dyDescent="0.25">
      <c r="AD6345"/>
    </row>
    <row r="6346" spans="30:30" x14ac:dyDescent="0.25">
      <c r="AD6346"/>
    </row>
    <row r="6347" spans="30:30" x14ac:dyDescent="0.25">
      <c r="AD6347"/>
    </row>
    <row r="6348" spans="30:30" x14ac:dyDescent="0.25">
      <c r="AD6348"/>
    </row>
    <row r="6349" spans="30:30" x14ac:dyDescent="0.25">
      <c r="AD6349"/>
    </row>
    <row r="6350" spans="30:30" x14ac:dyDescent="0.25">
      <c r="AD6350"/>
    </row>
    <row r="6351" spans="30:30" x14ac:dyDescent="0.25">
      <c r="AD6351"/>
    </row>
    <row r="6352" spans="30:30" x14ac:dyDescent="0.25">
      <c r="AD6352"/>
    </row>
    <row r="6353" spans="30:30" x14ac:dyDescent="0.25">
      <c r="AD6353"/>
    </row>
    <row r="6354" spans="30:30" x14ac:dyDescent="0.25">
      <c r="AD6354"/>
    </row>
    <row r="6355" spans="30:30" x14ac:dyDescent="0.25">
      <c r="AD6355"/>
    </row>
    <row r="6356" spans="30:30" x14ac:dyDescent="0.25">
      <c r="AD6356"/>
    </row>
    <row r="6357" spans="30:30" x14ac:dyDescent="0.25">
      <c r="AD6357"/>
    </row>
    <row r="6358" spans="30:30" x14ac:dyDescent="0.25">
      <c r="AD6358"/>
    </row>
    <row r="6359" spans="30:30" x14ac:dyDescent="0.25">
      <c r="AD6359"/>
    </row>
    <row r="6360" spans="30:30" x14ac:dyDescent="0.25">
      <c r="AD6360"/>
    </row>
    <row r="6361" spans="30:30" x14ac:dyDescent="0.25">
      <c r="AD6361"/>
    </row>
    <row r="6362" spans="30:30" x14ac:dyDescent="0.25">
      <c r="AD6362"/>
    </row>
    <row r="6363" spans="30:30" x14ac:dyDescent="0.25">
      <c r="AD6363"/>
    </row>
    <row r="6364" spans="30:30" x14ac:dyDescent="0.25">
      <c r="AD6364"/>
    </row>
    <row r="6365" spans="30:30" x14ac:dyDescent="0.25">
      <c r="AD6365"/>
    </row>
    <row r="6366" spans="30:30" x14ac:dyDescent="0.25">
      <c r="AD6366"/>
    </row>
    <row r="6367" spans="30:30" x14ac:dyDescent="0.25">
      <c r="AD6367"/>
    </row>
    <row r="6368" spans="30:30" x14ac:dyDescent="0.25">
      <c r="AD6368"/>
    </row>
    <row r="6369" spans="30:30" x14ac:dyDescent="0.25">
      <c r="AD6369"/>
    </row>
    <row r="6370" spans="30:30" x14ac:dyDescent="0.25">
      <c r="AD6370"/>
    </row>
    <row r="6371" spans="30:30" x14ac:dyDescent="0.25">
      <c r="AD6371"/>
    </row>
    <row r="6372" spans="30:30" x14ac:dyDescent="0.25">
      <c r="AD6372"/>
    </row>
    <row r="6373" spans="30:30" x14ac:dyDescent="0.25">
      <c r="AD6373"/>
    </row>
    <row r="6374" spans="30:30" x14ac:dyDescent="0.25">
      <c r="AD6374"/>
    </row>
    <row r="6375" spans="30:30" x14ac:dyDescent="0.25">
      <c r="AD6375"/>
    </row>
    <row r="6376" spans="30:30" x14ac:dyDescent="0.25">
      <c r="AD6376"/>
    </row>
    <row r="6377" spans="30:30" x14ac:dyDescent="0.25">
      <c r="AD6377"/>
    </row>
    <row r="6378" spans="30:30" x14ac:dyDescent="0.25">
      <c r="AD6378"/>
    </row>
    <row r="6379" spans="30:30" x14ac:dyDescent="0.25">
      <c r="AD6379"/>
    </row>
    <row r="6380" spans="30:30" x14ac:dyDescent="0.25">
      <c r="AD6380"/>
    </row>
    <row r="6381" spans="30:30" x14ac:dyDescent="0.25">
      <c r="AD6381"/>
    </row>
    <row r="6382" spans="30:30" x14ac:dyDescent="0.25">
      <c r="AD6382"/>
    </row>
    <row r="6383" spans="30:30" x14ac:dyDescent="0.25">
      <c r="AD6383"/>
    </row>
    <row r="6384" spans="30:30" x14ac:dyDescent="0.25">
      <c r="AD6384"/>
    </row>
    <row r="6385" spans="30:30" x14ac:dyDescent="0.25">
      <c r="AD6385"/>
    </row>
    <row r="6386" spans="30:30" x14ac:dyDescent="0.25">
      <c r="AD6386"/>
    </row>
    <row r="6387" spans="30:30" x14ac:dyDescent="0.25">
      <c r="AD6387"/>
    </row>
    <row r="6388" spans="30:30" x14ac:dyDescent="0.25">
      <c r="AD6388"/>
    </row>
    <row r="6389" spans="30:30" x14ac:dyDescent="0.25">
      <c r="AD6389"/>
    </row>
    <row r="6390" spans="30:30" x14ac:dyDescent="0.25">
      <c r="AD6390"/>
    </row>
    <row r="6391" spans="30:30" x14ac:dyDescent="0.25">
      <c r="AD6391"/>
    </row>
    <row r="6392" spans="30:30" x14ac:dyDescent="0.25">
      <c r="AD6392"/>
    </row>
    <row r="6393" spans="30:30" x14ac:dyDescent="0.25">
      <c r="AD6393"/>
    </row>
    <row r="6394" spans="30:30" x14ac:dyDescent="0.25">
      <c r="AD6394"/>
    </row>
    <row r="6395" spans="30:30" x14ac:dyDescent="0.25">
      <c r="AD6395"/>
    </row>
    <row r="6396" spans="30:30" x14ac:dyDescent="0.25">
      <c r="AD6396"/>
    </row>
    <row r="6397" spans="30:30" x14ac:dyDescent="0.25">
      <c r="AD6397"/>
    </row>
    <row r="6398" spans="30:30" x14ac:dyDescent="0.25">
      <c r="AD6398"/>
    </row>
    <row r="6399" spans="30:30" x14ac:dyDescent="0.25">
      <c r="AD6399"/>
    </row>
    <row r="6400" spans="30:30" x14ac:dyDescent="0.25">
      <c r="AD6400"/>
    </row>
    <row r="6401" spans="30:30" x14ac:dyDescent="0.25">
      <c r="AD6401"/>
    </row>
    <row r="6402" spans="30:30" x14ac:dyDescent="0.25">
      <c r="AD6402"/>
    </row>
    <row r="6403" spans="30:30" x14ac:dyDescent="0.25">
      <c r="AD6403"/>
    </row>
    <row r="6404" spans="30:30" x14ac:dyDescent="0.25">
      <c r="AD6404"/>
    </row>
    <row r="6405" spans="30:30" x14ac:dyDescent="0.25">
      <c r="AD6405"/>
    </row>
    <row r="6406" spans="30:30" x14ac:dyDescent="0.25">
      <c r="AD6406"/>
    </row>
    <row r="6407" spans="30:30" x14ac:dyDescent="0.25">
      <c r="AD6407"/>
    </row>
    <row r="6408" spans="30:30" x14ac:dyDescent="0.25">
      <c r="AD6408"/>
    </row>
    <row r="6409" spans="30:30" x14ac:dyDescent="0.25">
      <c r="AD6409"/>
    </row>
    <row r="6410" spans="30:30" x14ac:dyDescent="0.25">
      <c r="AD6410"/>
    </row>
    <row r="6411" spans="30:30" x14ac:dyDescent="0.25">
      <c r="AD6411"/>
    </row>
    <row r="6412" spans="30:30" x14ac:dyDescent="0.25">
      <c r="AD6412"/>
    </row>
    <row r="6413" spans="30:30" x14ac:dyDescent="0.25">
      <c r="AD6413"/>
    </row>
    <row r="6414" spans="30:30" x14ac:dyDescent="0.25">
      <c r="AD6414"/>
    </row>
    <row r="6415" spans="30:30" x14ac:dyDescent="0.25">
      <c r="AD6415"/>
    </row>
    <row r="6416" spans="30:30" x14ac:dyDescent="0.25">
      <c r="AD6416"/>
    </row>
    <row r="6417" spans="30:30" x14ac:dyDescent="0.25">
      <c r="AD6417"/>
    </row>
    <row r="6418" spans="30:30" x14ac:dyDescent="0.25">
      <c r="AD6418"/>
    </row>
    <row r="6419" spans="30:30" x14ac:dyDescent="0.25">
      <c r="AD6419"/>
    </row>
    <row r="6420" spans="30:30" x14ac:dyDescent="0.25">
      <c r="AD6420"/>
    </row>
    <row r="6421" spans="30:30" x14ac:dyDescent="0.25">
      <c r="AD6421"/>
    </row>
    <row r="6422" spans="30:30" x14ac:dyDescent="0.25">
      <c r="AD6422"/>
    </row>
    <row r="6423" spans="30:30" x14ac:dyDescent="0.25">
      <c r="AD6423"/>
    </row>
    <row r="6424" spans="30:30" x14ac:dyDescent="0.25">
      <c r="AD6424"/>
    </row>
    <row r="6425" spans="30:30" x14ac:dyDescent="0.25">
      <c r="AD6425"/>
    </row>
    <row r="6426" spans="30:30" x14ac:dyDescent="0.25">
      <c r="AD6426"/>
    </row>
    <row r="6427" spans="30:30" x14ac:dyDescent="0.25">
      <c r="AD6427"/>
    </row>
    <row r="6428" spans="30:30" x14ac:dyDescent="0.25">
      <c r="AD6428"/>
    </row>
    <row r="6429" spans="30:30" x14ac:dyDescent="0.25">
      <c r="AD6429"/>
    </row>
    <row r="6430" spans="30:30" x14ac:dyDescent="0.25">
      <c r="AD6430"/>
    </row>
    <row r="6431" spans="30:30" x14ac:dyDescent="0.25">
      <c r="AD6431"/>
    </row>
    <row r="6432" spans="30:30" x14ac:dyDescent="0.25">
      <c r="AD6432"/>
    </row>
    <row r="6433" spans="30:30" x14ac:dyDescent="0.25">
      <c r="AD6433"/>
    </row>
    <row r="6434" spans="30:30" x14ac:dyDescent="0.25">
      <c r="AD6434"/>
    </row>
    <row r="6435" spans="30:30" x14ac:dyDescent="0.25">
      <c r="AD6435"/>
    </row>
    <row r="6436" spans="30:30" x14ac:dyDescent="0.25">
      <c r="AD6436"/>
    </row>
    <row r="6437" spans="30:30" x14ac:dyDescent="0.25">
      <c r="AD6437"/>
    </row>
    <row r="6438" spans="30:30" x14ac:dyDescent="0.25">
      <c r="AD6438"/>
    </row>
    <row r="6439" spans="30:30" x14ac:dyDescent="0.25">
      <c r="AD6439"/>
    </row>
    <row r="6440" spans="30:30" x14ac:dyDescent="0.25">
      <c r="AD6440"/>
    </row>
    <row r="6441" spans="30:30" x14ac:dyDescent="0.25">
      <c r="AD6441"/>
    </row>
    <row r="6442" spans="30:30" x14ac:dyDescent="0.25">
      <c r="AD6442"/>
    </row>
    <row r="6443" spans="30:30" x14ac:dyDescent="0.25">
      <c r="AD6443"/>
    </row>
    <row r="6444" spans="30:30" x14ac:dyDescent="0.25">
      <c r="AD6444"/>
    </row>
    <row r="6445" spans="30:30" x14ac:dyDescent="0.25">
      <c r="AD6445"/>
    </row>
    <row r="6446" spans="30:30" x14ac:dyDescent="0.25">
      <c r="AD6446"/>
    </row>
    <row r="6447" spans="30:30" x14ac:dyDescent="0.25">
      <c r="AD6447"/>
    </row>
    <row r="6448" spans="30:30" x14ac:dyDescent="0.25">
      <c r="AD6448"/>
    </row>
    <row r="6449" spans="30:30" x14ac:dyDescent="0.25">
      <c r="AD6449"/>
    </row>
    <row r="6450" spans="30:30" x14ac:dyDescent="0.25">
      <c r="AD6450"/>
    </row>
    <row r="6451" spans="30:30" x14ac:dyDescent="0.25">
      <c r="AD6451"/>
    </row>
    <row r="6452" spans="30:30" x14ac:dyDescent="0.25">
      <c r="AD6452"/>
    </row>
    <row r="6453" spans="30:30" x14ac:dyDescent="0.25">
      <c r="AD6453"/>
    </row>
    <row r="6454" spans="30:30" x14ac:dyDescent="0.25">
      <c r="AD6454"/>
    </row>
    <row r="6455" spans="30:30" x14ac:dyDescent="0.25">
      <c r="AD6455"/>
    </row>
    <row r="6456" spans="30:30" x14ac:dyDescent="0.25">
      <c r="AD6456"/>
    </row>
    <row r="6457" spans="30:30" x14ac:dyDescent="0.25">
      <c r="AD6457"/>
    </row>
    <row r="6458" spans="30:30" x14ac:dyDescent="0.25">
      <c r="AD6458"/>
    </row>
    <row r="6459" spans="30:30" x14ac:dyDescent="0.25">
      <c r="AD6459"/>
    </row>
    <row r="6460" spans="30:30" x14ac:dyDescent="0.25">
      <c r="AD6460"/>
    </row>
    <row r="6461" spans="30:30" x14ac:dyDescent="0.25">
      <c r="AD6461"/>
    </row>
    <row r="6462" spans="30:30" x14ac:dyDescent="0.25">
      <c r="AD6462"/>
    </row>
    <row r="6463" spans="30:30" x14ac:dyDescent="0.25">
      <c r="AD6463"/>
    </row>
    <row r="6464" spans="30:30" x14ac:dyDescent="0.25">
      <c r="AD6464"/>
    </row>
    <row r="6465" spans="30:30" x14ac:dyDescent="0.25">
      <c r="AD6465"/>
    </row>
    <row r="6466" spans="30:30" x14ac:dyDescent="0.25">
      <c r="AD6466"/>
    </row>
    <row r="6467" spans="30:30" x14ac:dyDescent="0.25">
      <c r="AD6467"/>
    </row>
    <row r="6468" spans="30:30" x14ac:dyDescent="0.25">
      <c r="AD6468"/>
    </row>
    <row r="6469" spans="30:30" x14ac:dyDescent="0.25">
      <c r="AD6469"/>
    </row>
    <row r="6470" spans="30:30" x14ac:dyDescent="0.25">
      <c r="AD6470"/>
    </row>
    <row r="6471" spans="30:30" x14ac:dyDescent="0.25">
      <c r="AD6471"/>
    </row>
    <row r="6472" spans="30:30" x14ac:dyDescent="0.25">
      <c r="AD6472"/>
    </row>
    <row r="6473" spans="30:30" x14ac:dyDescent="0.25">
      <c r="AD6473"/>
    </row>
    <row r="6474" spans="30:30" x14ac:dyDescent="0.25">
      <c r="AD6474"/>
    </row>
    <row r="6475" spans="30:30" x14ac:dyDescent="0.25">
      <c r="AD6475"/>
    </row>
    <row r="6476" spans="30:30" x14ac:dyDescent="0.25">
      <c r="AD6476"/>
    </row>
    <row r="6477" spans="30:30" x14ac:dyDescent="0.25">
      <c r="AD6477"/>
    </row>
    <row r="6478" spans="30:30" x14ac:dyDescent="0.25">
      <c r="AD6478"/>
    </row>
    <row r="6479" spans="30:30" x14ac:dyDescent="0.25">
      <c r="AD6479"/>
    </row>
    <row r="6480" spans="30:30" x14ac:dyDescent="0.25">
      <c r="AD6480"/>
    </row>
    <row r="6481" spans="30:30" x14ac:dyDescent="0.25">
      <c r="AD6481"/>
    </row>
    <row r="6482" spans="30:30" x14ac:dyDescent="0.25">
      <c r="AD6482"/>
    </row>
    <row r="6483" spans="30:30" x14ac:dyDescent="0.25">
      <c r="AD6483"/>
    </row>
    <row r="6484" spans="30:30" x14ac:dyDescent="0.25">
      <c r="AD6484"/>
    </row>
    <row r="6485" spans="30:30" x14ac:dyDescent="0.25">
      <c r="AD6485"/>
    </row>
    <row r="6486" spans="30:30" x14ac:dyDescent="0.25">
      <c r="AD6486"/>
    </row>
    <row r="6487" spans="30:30" x14ac:dyDescent="0.25">
      <c r="AD6487"/>
    </row>
    <row r="6488" spans="30:30" x14ac:dyDescent="0.25">
      <c r="AD6488"/>
    </row>
    <row r="6489" spans="30:30" x14ac:dyDescent="0.25">
      <c r="AD6489"/>
    </row>
    <row r="6490" spans="30:30" x14ac:dyDescent="0.25">
      <c r="AD6490"/>
    </row>
    <row r="6491" spans="30:30" x14ac:dyDescent="0.25">
      <c r="AD6491"/>
    </row>
    <row r="6492" spans="30:30" x14ac:dyDescent="0.25">
      <c r="AD6492"/>
    </row>
    <row r="6493" spans="30:30" x14ac:dyDescent="0.25">
      <c r="AD6493"/>
    </row>
    <row r="6494" spans="30:30" x14ac:dyDescent="0.25">
      <c r="AD6494"/>
    </row>
    <row r="6495" spans="30:30" x14ac:dyDescent="0.25">
      <c r="AD6495"/>
    </row>
    <row r="6496" spans="30:30" x14ac:dyDescent="0.25">
      <c r="AD6496"/>
    </row>
    <row r="6497" spans="30:30" x14ac:dyDescent="0.25">
      <c r="AD6497"/>
    </row>
    <row r="6498" spans="30:30" x14ac:dyDescent="0.25">
      <c r="AD6498"/>
    </row>
    <row r="6499" spans="30:30" x14ac:dyDescent="0.25">
      <c r="AD6499"/>
    </row>
    <row r="6500" spans="30:30" x14ac:dyDescent="0.25">
      <c r="AD6500"/>
    </row>
    <row r="6501" spans="30:30" x14ac:dyDescent="0.25">
      <c r="AD6501"/>
    </row>
    <row r="6502" spans="30:30" x14ac:dyDescent="0.25">
      <c r="AD6502"/>
    </row>
    <row r="6503" spans="30:30" x14ac:dyDescent="0.25">
      <c r="AD6503"/>
    </row>
    <row r="6504" spans="30:30" x14ac:dyDescent="0.25">
      <c r="AD6504"/>
    </row>
    <row r="6505" spans="30:30" x14ac:dyDescent="0.25">
      <c r="AD6505"/>
    </row>
    <row r="6506" spans="30:30" x14ac:dyDescent="0.25">
      <c r="AD6506"/>
    </row>
    <row r="6507" spans="30:30" x14ac:dyDescent="0.25">
      <c r="AD6507"/>
    </row>
    <row r="6508" spans="30:30" x14ac:dyDescent="0.25">
      <c r="AD6508"/>
    </row>
    <row r="6509" spans="30:30" x14ac:dyDescent="0.25">
      <c r="AD6509"/>
    </row>
    <row r="6510" spans="30:30" x14ac:dyDescent="0.25">
      <c r="AD6510"/>
    </row>
    <row r="6511" spans="30:30" x14ac:dyDescent="0.25">
      <c r="AD6511"/>
    </row>
    <row r="6512" spans="30:30" x14ac:dyDescent="0.25">
      <c r="AD6512"/>
    </row>
    <row r="6513" spans="30:30" x14ac:dyDescent="0.25">
      <c r="AD6513"/>
    </row>
    <row r="6514" spans="30:30" x14ac:dyDescent="0.25">
      <c r="AD6514"/>
    </row>
    <row r="6515" spans="30:30" x14ac:dyDescent="0.25">
      <c r="AD6515"/>
    </row>
    <row r="6516" spans="30:30" x14ac:dyDescent="0.25">
      <c r="AD6516"/>
    </row>
    <row r="6517" spans="30:30" x14ac:dyDescent="0.25">
      <c r="AD6517"/>
    </row>
    <row r="6518" spans="30:30" x14ac:dyDescent="0.25">
      <c r="AD6518"/>
    </row>
    <row r="6519" spans="30:30" x14ac:dyDescent="0.25">
      <c r="AD6519"/>
    </row>
    <row r="6520" spans="30:30" x14ac:dyDescent="0.25">
      <c r="AD6520"/>
    </row>
    <row r="6521" spans="30:30" x14ac:dyDescent="0.25">
      <c r="AD6521"/>
    </row>
    <row r="6522" spans="30:30" x14ac:dyDescent="0.25">
      <c r="AD6522"/>
    </row>
    <row r="6523" spans="30:30" x14ac:dyDescent="0.25">
      <c r="AD6523"/>
    </row>
    <row r="6524" spans="30:30" x14ac:dyDescent="0.25">
      <c r="AD6524"/>
    </row>
    <row r="6525" spans="30:30" x14ac:dyDescent="0.25">
      <c r="AD6525"/>
    </row>
    <row r="6526" spans="30:30" x14ac:dyDescent="0.25">
      <c r="AD6526"/>
    </row>
    <row r="6527" spans="30:30" x14ac:dyDescent="0.25">
      <c r="AD6527"/>
    </row>
    <row r="6528" spans="30:30" x14ac:dyDescent="0.25">
      <c r="AD6528"/>
    </row>
    <row r="6529" spans="30:30" x14ac:dyDescent="0.25">
      <c r="AD6529"/>
    </row>
    <row r="6530" spans="30:30" x14ac:dyDescent="0.25">
      <c r="AD6530"/>
    </row>
    <row r="6531" spans="30:30" x14ac:dyDescent="0.25">
      <c r="AD6531"/>
    </row>
    <row r="6532" spans="30:30" x14ac:dyDescent="0.25">
      <c r="AD6532"/>
    </row>
    <row r="6533" spans="30:30" x14ac:dyDescent="0.25">
      <c r="AD6533"/>
    </row>
    <row r="6534" spans="30:30" x14ac:dyDescent="0.25">
      <c r="AD6534"/>
    </row>
    <row r="6535" spans="30:30" x14ac:dyDescent="0.25">
      <c r="AD6535"/>
    </row>
    <row r="6536" spans="30:30" x14ac:dyDescent="0.25">
      <c r="AD6536"/>
    </row>
    <row r="6537" spans="30:30" x14ac:dyDescent="0.25">
      <c r="AD6537"/>
    </row>
    <row r="6538" spans="30:30" x14ac:dyDescent="0.25">
      <c r="AD6538"/>
    </row>
    <row r="6539" spans="30:30" x14ac:dyDescent="0.25">
      <c r="AD6539"/>
    </row>
    <row r="6540" spans="30:30" x14ac:dyDescent="0.25">
      <c r="AD6540"/>
    </row>
    <row r="6541" spans="30:30" x14ac:dyDescent="0.25">
      <c r="AD6541"/>
    </row>
    <row r="6542" spans="30:30" x14ac:dyDescent="0.25">
      <c r="AD6542"/>
    </row>
    <row r="6543" spans="30:30" x14ac:dyDescent="0.25">
      <c r="AD6543"/>
    </row>
    <row r="6544" spans="30:30" x14ac:dyDescent="0.25">
      <c r="AD6544"/>
    </row>
    <row r="6545" spans="30:30" x14ac:dyDescent="0.25">
      <c r="AD6545"/>
    </row>
    <row r="6546" spans="30:30" x14ac:dyDescent="0.25">
      <c r="AD6546"/>
    </row>
    <row r="6547" spans="30:30" x14ac:dyDescent="0.25">
      <c r="AD6547"/>
    </row>
    <row r="6548" spans="30:30" x14ac:dyDescent="0.25">
      <c r="AD6548"/>
    </row>
    <row r="6549" spans="30:30" x14ac:dyDescent="0.25">
      <c r="AD6549"/>
    </row>
    <row r="6550" spans="30:30" x14ac:dyDescent="0.25">
      <c r="AD6550"/>
    </row>
    <row r="6551" spans="30:30" x14ac:dyDescent="0.25">
      <c r="AD6551"/>
    </row>
    <row r="6552" spans="30:30" x14ac:dyDescent="0.25">
      <c r="AD6552"/>
    </row>
    <row r="6553" spans="30:30" x14ac:dyDescent="0.25">
      <c r="AD6553"/>
    </row>
    <row r="6554" spans="30:30" x14ac:dyDescent="0.25">
      <c r="AD6554"/>
    </row>
    <row r="6555" spans="30:30" x14ac:dyDescent="0.25">
      <c r="AD6555"/>
    </row>
    <row r="6556" spans="30:30" x14ac:dyDescent="0.25">
      <c r="AD6556"/>
    </row>
    <row r="6557" spans="30:30" x14ac:dyDescent="0.25">
      <c r="AD6557"/>
    </row>
    <row r="6558" spans="30:30" x14ac:dyDescent="0.25">
      <c r="AD6558"/>
    </row>
    <row r="6559" spans="30:30" x14ac:dyDescent="0.25">
      <c r="AD6559"/>
    </row>
    <row r="6560" spans="30:30" x14ac:dyDescent="0.25">
      <c r="AD6560"/>
    </row>
    <row r="6561" spans="30:30" x14ac:dyDescent="0.25">
      <c r="AD6561"/>
    </row>
    <row r="6562" spans="30:30" x14ac:dyDescent="0.25">
      <c r="AD6562"/>
    </row>
    <row r="6563" spans="30:30" x14ac:dyDescent="0.25">
      <c r="AD6563"/>
    </row>
    <row r="6564" spans="30:30" x14ac:dyDescent="0.25">
      <c r="AD6564"/>
    </row>
    <row r="6565" spans="30:30" x14ac:dyDescent="0.25">
      <c r="AD6565"/>
    </row>
    <row r="6566" spans="30:30" x14ac:dyDescent="0.25">
      <c r="AD6566"/>
    </row>
    <row r="6567" spans="30:30" x14ac:dyDescent="0.25">
      <c r="AD6567"/>
    </row>
    <row r="6568" spans="30:30" x14ac:dyDescent="0.25">
      <c r="AD6568"/>
    </row>
    <row r="6569" spans="30:30" x14ac:dyDescent="0.25">
      <c r="AD6569"/>
    </row>
    <row r="6570" spans="30:30" x14ac:dyDescent="0.25">
      <c r="AD6570"/>
    </row>
    <row r="6571" spans="30:30" x14ac:dyDescent="0.25">
      <c r="AD6571"/>
    </row>
    <row r="6572" spans="30:30" x14ac:dyDescent="0.25">
      <c r="AD6572"/>
    </row>
    <row r="6573" spans="30:30" x14ac:dyDescent="0.25">
      <c r="AD6573"/>
    </row>
    <row r="6574" spans="30:30" x14ac:dyDescent="0.25">
      <c r="AD6574"/>
    </row>
    <row r="6575" spans="30:30" x14ac:dyDescent="0.25">
      <c r="AD6575"/>
    </row>
    <row r="6576" spans="30:30" x14ac:dyDescent="0.25">
      <c r="AD6576"/>
    </row>
    <row r="6577" spans="30:30" x14ac:dyDescent="0.25">
      <c r="AD6577"/>
    </row>
    <row r="6578" spans="30:30" x14ac:dyDescent="0.25">
      <c r="AD6578"/>
    </row>
    <row r="6579" spans="30:30" x14ac:dyDescent="0.25">
      <c r="AD6579"/>
    </row>
    <row r="6580" spans="30:30" x14ac:dyDescent="0.25">
      <c r="AD6580"/>
    </row>
    <row r="6581" spans="30:30" x14ac:dyDescent="0.25">
      <c r="AD6581"/>
    </row>
    <row r="6582" spans="30:30" x14ac:dyDescent="0.25">
      <c r="AD6582"/>
    </row>
    <row r="6583" spans="30:30" x14ac:dyDescent="0.25">
      <c r="AD6583"/>
    </row>
    <row r="6584" spans="30:30" x14ac:dyDescent="0.25">
      <c r="AD6584"/>
    </row>
    <row r="6585" spans="30:30" x14ac:dyDescent="0.25">
      <c r="AD6585"/>
    </row>
    <row r="6586" spans="30:30" x14ac:dyDescent="0.25">
      <c r="AD6586"/>
    </row>
    <row r="6587" spans="30:30" x14ac:dyDescent="0.25">
      <c r="AD6587"/>
    </row>
    <row r="6588" spans="30:30" x14ac:dyDescent="0.25">
      <c r="AD6588"/>
    </row>
    <row r="6589" spans="30:30" x14ac:dyDescent="0.25">
      <c r="AD6589"/>
    </row>
    <row r="6590" spans="30:30" x14ac:dyDescent="0.25">
      <c r="AD6590"/>
    </row>
    <row r="6591" spans="30:30" x14ac:dyDescent="0.25">
      <c r="AD6591"/>
    </row>
    <row r="6592" spans="30:30" x14ac:dyDescent="0.25">
      <c r="AD6592"/>
    </row>
    <row r="6593" spans="30:30" x14ac:dyDescent="0.25">
      <c r="AD6593"/>
    </row>
    <row r="6594" spans="30:30" x14ac:dyDescent="0.25">
      <c r="AD6594"/>
    </row>
    <row r="6595" spans="30:30" x14ac:dyDescent="0.25">
      <c r="AD6595"/>
    </row>
    <row r="6596" spans="30:30" x14ac:dyDescent="0.25">
      <c r="AD6596"/>
    </row>
    <row r="6597" spans="30:30" x14ac:dyDescent="0.25">
      <c r="AD6597"/>
    </row>
    <row r="6598" spans="30:30" x14ac:dyDescent="0.25">
      <c r="AD6598"/>
    </row>
    <row r="6599" spans="30:30" x14ac:dyDescent="0.25">
      <c r="AD6599"/>
    </row>
    <row r="6600" spans="30:30" x14ac:dyDescent="0.25">
      <c r="AD6600"/>
    </row>
    <row r="6601" spans="30:30" x14ac:dyDescent="0.25">
      <c r="AD6601"/>
    </row>
    <row r="6602" spans="30:30" x14ac:dyDescent="0.25">
      <c r="AD6602"/>
    </row>
    <row r="6603" spans="30:30" x14ac:dyDescent="0.25">
      <c r="AD6603"/>
    </row>
    <row r="6604" spans="30:30" x14ac:dyDescent="0.25">
      <c r="AD6604"/>
    </row>
    <row r="6605" spans="30:30" x14ac:dyDescent="0.25">
      <c r="AD6605"/>
    </row>
    <row r="6606" spans="30:30" x14ac:dyDescent="0.25">
      <c r="AD6606"/>
    </row>
    <row r="6607" spans="30:30" x14ac:dyDescent="0.25">
      <c r="AD6607"/>
    </row>
    <row r="6608" spans="30:30" x14ac:dyDescent="0.25">
      <c r="AD6608"/>
    </row>
    <row r="6609" spans="30:30" x14ac:dyDescent="0.25">
      <c r="AD6609"/>
    </row>
    <row r="6610" spans="30:30" x14ac:dyDescent="0.25">
      <c r="AD6610"/>
    </row>
    <row r="6611" spans="30:30" x14ac:dyDescent="0.25">
      <c r="AD6611"/>
    </row>
    <row r="6612" spans="30:30" x14ac:dyDescent="0.25">
      <c r="AD6612"/>
    </row>
    <row r="6613" spans="30:30" x14ac:dyDescent="0.25">
      <c r="AD6613"/>
    </row>
    <row r="6614" spans="30:30" x14ac:dyDescent="0.25">
      <c r="AD6614"/>
    </row>
    <row r="6615" spans="30:30" x14ac:dyDescent="0.25">
      <c r="AD6615"/>
    </row>
    <row r="6616" spans="30:30" x14ac:dyDescent="0.25">
      <c r="AD6616"/>
    </row>
    <row r="6617" spans="30:30" x14ac:dyDescent="0.25">
      <c r="AD6617"/>
    </row>
    <row r="6618" spans="30:30" x14ac:dyDescent="0.25">
      <c r="AD6618"/>
    </row>
    <row r="6619" spans="30:30" x14ac:dyDescent="0.25">
      <c r="AD6619"/>
    </row>
    <row r="6620" spans="30:30" x14ac:dyDescent="0.25">
      <c r="AD6620"/>
    </row>
    <row r="6621" spans="30:30" x14ac:dyDescent="0.25">
      <c r="AD6621"/>
    </row>
    <row r="6622" spans="30:30" x14ac:dyDescent="0.25">
      <c r="AD6622"/>
    </row>
    <row r="6623" spans="30:30" x14ac:dyDescent="0.25">
      <c r="AD6623"/>
    </row>
    <row r="6624" spans="30:30" x14ac:dyDescent="0.25">
      <c r="AD6624"/>
    </row>
    <row r="6625" spans="30:30" x14ac:dyDescent="0.25">
      <c r="AD6625"/>
    </row>
    <row r="6626" spans="30:30" x14ac:dyDescent="0.25">
      <c r="AD6626"/>
    </row>
    <row r="6627" spans="30:30" x14ac:dyDescent="0.25">
      <c r="AD6627"/>
    </row>
    <row r="6628" spans="30:30" x14ac:dyDescent="0.25">
      <c r="AD6628"/>
    </row>
    <row r="6629" spans="30:30" x14ac:dyDescent="0.25">
      <c r="AD6629"/>
    </row>
    <row r="6630" spans="30:30" x14ac:dyDescent="0.25">
      <c r="AD6630"/>
    </row>
    <row r="6631" spans="30:30" x14ac:dyDescent="0.25">
      <c r="AD6631"/>
    </row>
    <row r="6632" spans="30:30" x14ac:dyDescent="0.25">
      <c r="AD6632"/>
    </row>
    <row r="6633" spans="30:30" x14ac:dyDescent="0.25">
      <c r="AD6633"/>
    </row>
    <row r="6634" spans="30:30" x14ac:dyDescent="0.25">
      <c r="AD6634"/>
    </row>
    <row r="6635" spans="30:30" x14ac:dyDescent="0.25">
      <c r="AD6635"/>
    </row>
    <row r="6636" spans="30:30" x14ac:dyDescent="0.25">
      <c r="AD6636"/>
    </row>
    <row r="6637" spans="30:30" x14ac:dyDescent="0.25">
      <c r="AD6637"/>
    </row>
    <row r="6638" spans="30:30" x14ac:dyDescent="0.25">
      <c r="AD6638"/>
    </row>
    <row r="6639" spans="30:30" x14ac:dyDescent="0.25">
      <c r="AD6639"/>
    </row>
    <row r="6640" spans="30:30" x14ac:dyDescent="0.25">
      <c r="AD6640"/>
    </row>
    <row r="6641" spans="30:30" x14ac:dyDescent="0.25">
      <c r="AD6641"/>
    </row>
    <row r="6642" spans="30:30" x14ac:dyDescent="0.25">
      <c r="AD6642"/>
    </row>
    <row r="6643" spans="30:30" x14ac:dyDescent="0.25">
      <c r="AD6643"/>
    </row>
    <row r="6644" spans="30:30" x14ac:dyDescent="0.25">
      <c r="AD6644"/>
    </row>
    <row r="6645" spans="30:30" x14ac:dyDescent="0.25">
      <c r="AD6645"/>
    </row>
    <row r="6646" spans="30:30" x14ac:dyDescent="0.25">
      <c r="AD6646"/>
    </row>
    <row r="6647" spans="30:30" x14ac:dyDescent="0.25">
      <c r="AD6647"/>
    </row>
    <row r="6648" spans="30:30" x14ac:dyDescent="0.25">
      <c r="AD6648"/>
    </row>
    <row r="6649" spans="30:30" x14ac:dyDescent="0.25">
      <c r="AD6649"/>
    </row>
    <row r="6650" spans="30:30" x14ac:dyDescent="0.25">
      <c r="AD6650"/>
    </row>
    <row r="6651" spans="30:30" x14ac:dyDescent="0.25">
      <c r="AD6651"/>
    </row>
    <row r="6652" spans="30:30" x14ac:dyDescent="0.25">
      <c r="AD6652"/>
    </row>
    <row r="6653" spans="30:30" x14ac:dyDescent="0.25">
      <c r="AD6653"/>
    </row>
    <row r="6654" spans="30:30" x14ac:dyDescent="0.25">
      <c r="AD6654"/>
    </row>
    <row r="6655" spans="30:30" x14ac:dyDescent="0.25">
      <c r="AD6655"/>
    </row>
    <row r="6656" spans="30:30" x14ac:dyDescent="0.25">
      <c r="AD6656"/>
    </row>
    <row r="6657" spans="30:30" x14ac:dyDescent="0.25">
      <c r="AD6657"/>
    </row>
    <row r="6658" spans="30:30" x14ac:dyDescent="0.25">
      <c r="AD6658"/>
    </row>
    <row r="6659" spans="30:30" x14ac:dyDescent="0.25">
      <c r="AD6659"/>
    </row>
    <row r="6660" spans="30:30" x14ac:dyDescent="0.25">
      <c r="AD6660"/>
    </row>
    <row r="6661" spans="30:30" x14ac:dyDescent="0.25">
      <c r="AD6661"/>
    </row>
    <row r="6662" spans="30:30" x14ac:dyDescent="0.25">
      <c r="AD6662"/>
    </row>
    <row r="6663" spans="30:30" x14ac:dyDescent="0.25">
      <c r="AD6663"/>
    </row>
    <row r="6664" spans="30:30" x14ac:dyDescent="0.25">
      <c r="AD6664"/>
    </row>
    <row r="6665" spans="30:30" x14ac:dyDescent="0.25">
      <c r="AD6665"/>
    </row>
    <row r="6666" spans="30:30" x14ac:dyDescent="0.25">
      <c r="AD6666"/>
    </row>
    <row r="6667" spans="30:30" x14ac:dyDescent="0.25">
      <c r="AD6667"/>
    </row>
    <row r="6668" spans="30:30" x14ac:dyDescent="0.25">
      <c r="AD6668"/>
    </row>
    <row r="6669" spans="30:30" x14ac:dyDescent="0.25">
      <c r="AD6669"/>
    </row>
    <row r="6670" spans="30:30" x14ac:dyDescent="0.25">
      <c r="AD6670"/>
    </row>
    <row r="6671" spans="30:30" x14ac:dyDescent="0.25">
      <c r="AD6671"/>
    </row>
    <row r="6672" spans="30:30" x14ac:dyDescent="0.25">
      <c r="AD6672"/>
    </row>
    <row r="6673" spans="30:30" x14ac:dyDescent="0.25">
      <c r="AD6673"/>
    </row>
    <row r="6674" spans="30:30" x14ac:dyDescent="0.25">
      <c r="AD6674"/>
    </row>
    <row r="6675" spans="30:30" x14ac:dyDescent="0.25">
      <c r="AD6675"/>
    </row>
    <row r="6676" spans="30:30" x14ac:dyDescent="0.25">
      <c r="AD6676"/>
    </row>
    <row r="6677" spans="30:30" x14ac:dyDescent="0.25">
      <c r="AD6677"/>
    </row>
    <row r="6678" spans="30:30" x14ac:dyDescent="0.25">
      <c r="AD6678"/>
    </row>
    <row r="6679" spans="30:30" x14ac:dyDescent="0.25">
      <c r="AD6679"/>
    </row>
    <row r="6680" spans="30:30" x14ac:dyDescent="0.25">
      <c r="AD6680"/>
    </row>
    <row r="6681" spans="30:30" x14ac:dyDescent="0.25">
      <c r="AD6681"/>
    </row>
    <row r="6682" spans="30:30" x14ac:dyDescent="0.25">
      <c r="AD6682"/>
    </row>
    <row r="6683" spans="30:30" x14ac:dyDescent="0.25">
      <c r="AD6683"/>
    </row>
    <row r="6684" spans="30:30" x14ac:dyDescent="0.25">
      <c r="AD6684"/>
    </row>
    <row r="6685" spans="30:30" x14ac:dyDescent="0.25">
      <c r="AD6685"/>
    </row>
    <row r="6686" spans="30:30" x14ac:dyDescent="0.25">
      <c r="AD6686"/>
    </row>
    <row r="6687" spans="30:30" x14ac:dyDescent="0.25">
      <c r="AD6687"/>
    </row>
    <row r="6688" spans="30:30" x14ac:dyDescent="0.25">
      <c r="AD6688"/>
    </row>
    <row r="6689" spans="30:30" x14ac:dyDescent="0.25">
      <c r="AD6689"/>
    </row>
    <row r="6690" spans="30:30" x14ac:dyDescent="0.25">
      <c r="AD6690"/>
    </row>
    <row r="6691" spans="30:30" x14ac:dyDescent="0.25">
      <c r="AD6691"/>
    </row>
    <row r="6692" spans="30:30" x14ac:dyDescent="0.25">
      <c r="AD6692"/>
    </row>
    <row r="6693" spans="30:30" x14ac:dyDescent="0.25">
      <c r="AD6693"/>
    </row>
    <row r="6694" spans="30:30" x14ac:dyDescent="0.25">
      <c r="AD6694"/>
    </row>
    <row r="6695" spans="30:30" x14ac:dyDescent="0.25">
      <c r="AD6695"/>
    </row>
    <row r="6696" spans="30:30" x14ac:dyDescent="0.25">
      <c r="AD6696"/>
    </row>
    <row r="6697" spans="30:30" x14ac:dyDescent="0.25">
      <c r="AD6697"/>
    </row>
    <row r="6698" spans="30:30" x14ac:dyDescent="0.25">
      <c r="AD6698"/>
    </row>
    <row r="6699" spans="30:30" x14ac:dyDescent="0.25">
      <c r="AD6699"/>
    </row>
    <row r="6700" spans="30:30" x14ac:dyDescent="0.25">
      <c r="AD6700"/>
    </row>
    <row r="6701" spans="30:30" x14ac:dyDescent="0.25">
      <c r="AD6701"/>
    </row>
    <row r="6702" spans="30:30" x14ac:dyDescent="0.25">
      <c r="AD6702"/>
    </row>
    <row r="6703" spans="30:30" x14ac:dyDescent="0.25">
      <c r="AD6703"/>
    </row>
    <row r="6704" spans="30:30" x14ac:dyDescent="0.25">
      <c r="AD6704"/>
    </row>
    <row r="6705" spans="30:30" x14ac:dyDescent="0.25">
      <c r="AD6705"/>
    </row>
    <row r="6706" spans="30:30" x14ac:dyDescent="0.25">
      <c r="AD6706"/>
    </row>
    <row r="6707" spans="30:30" x14ac:dyDescent="0.25">
      <c r="AD6707"/>
    </row>
    <row r="6708" spans="30:30" x14ac:dyDescent="0.25">
      <c r="AD6708"/>
    </row>
    <row r="6709" spans="30:30" x14ac:dyDescent="0.25">
      <c r="AD6709"/>
    </row>
    <row r="6710" spans="30:30" x14ac:dyDescent="0.25">
      <c r="AD6710"/>
    </row>
    <row r="6711" spans="30:30" x14ac:dyDescent="0.25">
      <c r="AD6711"/>
    </row>
    <row r="6712" spans="30:30" x14ac:dyDescent="0.25">
      <c r="AD6712"/>
    </row>
    <row r="6713" spans="30:30" x14ac:dyDescent="0.25">
      <c r="AD6713"/>
    </row>
    <row r="6714" spans="30:30" x14ac:dyDescent="0.25">
      <c r="AD6714"/>
    </row>
    <row r="6715" spans="30:30" x14ac:dyDescent="0.25">
      <c r="AD6715"/>
    </row>
    <row r="6716" spans="30:30" x14ac:dyDescent="0.25">
      <c r="AD6716"/>
    </row>
    <row r="6717" spans="30:30" x14ac:dyDescent="0.25">
      <c r="AD6717"/>
    </row>
    <row r="6718" spans="30:30" x14ac:dyDescent="0.25">
      <c r="AD6718"/>
    </row>
    <row r="6719" spans="30:30" x14ac:dyDescent="0.25">
      <c r="AD6719"/>
    </row>
    <row r="6720" spans="30:30" x14ac:dyDescent="0.25">
      <c r="AD6720"/>
    </row>
    <row r="6721" spans="30:30" x14ac:dyDescent="0.25">
      <c r="AD6721"/>
    </row>
    <row r="6722" spans="30:30" x14ac:dyDescent="0.25">
      <c r="AD6722"/>
    </row>
    <row r="6723" spans="30:30" x14ac:dyDescent="0.25">
      <c r="AD6723"/>
    </row>
    <row r="6724" spans="30:30" x14ac:dyDescent="0.25">
      <c r="AD6724"/>
    </row>
    <row r="6725" spans="30:30" x14ac:dyDescent="0.25">
      <c r="AD6725"/>
    </row>
    <row r="6726" spans="30:30" x14ac:dyDescent="0.25">
      <c r="AD6726"/>
    </row>
    <row r="6727" spans="30:30" x14ac:dyDescent="0.25">
      <c r="AD6727"/>
    </row>
    <row r="6728" spans="30:30" x14ac:dyDescent="0.25">
      <c r="AD6728"/>
    </row>
    <row r="6729" spans="30:30" x14ac:dyDescent="0.25">
      <c r="AD6729"/>
    </row>
    <row r="6730" spans="30:30" x14ac:dyDescent="0.25">
      <c r="AD6730"/>
    </row>
    <row r="6731" spans="30:30" x14ac:dyDescent="0.25">
      <c r="AD6731"/>
    </row>
    <row r="6732" spans="30:30" x14ac:dyDescent="0.25">
      <c r="AD6732"/>
    </row>
    <row r="6733" spans="30:30" x14ac:dyDescent="0.25">
      <c r="AD6733"/>
    </row>
    <row r="6734" spans="30:30" x14ac:dyDescent="0.25">
      <c r="AD6734"/>
    </row>
    <row r="6735" spans="30:30" x14ac:dyDescent="0.25">
      <c r="AD6735"/>
    </row>
    <row r="6736" spans="30:30" x14ac:dyDescent="0.25">
      <c r="AD6736"/>
    </row>
    <row r="6737" spans="30:30" x14ac:dyDescent="0.25">
      <c r="AD6737"/>
    </row>
    <row r="6738" spans="30:30" x14ac:dyDescent="0.25">
      <c r="AD6738"/>
    </row>
    <row r="6739" spans="30:30" x14ac:dyDescent="0.25">
      <c r="AD6739"/>
    </row>
    <row r="6740" spans="30:30" x14ac:dyDescent="0.25">
      <c r="AD6740"/>
    </row>
    <row r="6741" spans="30:30" x14ac:dyDescent="0.25">
      <c r="AD6741"/>
    </row>
    <row r="6742" spans="30:30" x14ac:dyDescent="0.25">
      <c r="AD6742"/>
    </row>
    <row r="6743" spans="30:30" x14ac:dyDescent="0.25">
      <c r="AD6743"/>
    </row>
    <row r="6744" spans="30:30" x14ac:dyDescent="0.25">
      <c r="AD6744"/>
    </row>
    <row r="6745" spans="30:30" x14ac:dyDescent="0.25">
      <c r="AD6745"/>
    </row>
    <row r="6746" spans="30:30" x14ac:dyDescent="0.25">
      <c r="AD6746"/>
    </row>
    <row r="6747" spans="30:30" x14ac:dyDescent="0.25">
      <c r="AD6747"/>
    </row>
    <row r="6748" spans="30:30" x14ac:dyDescent="0.25">
      <c r="AD6748"/>
    </row>
    <row r="6749" spans="30:30" x14ac:dyDescent="0.25">
      <c r="AD6749"/>
    </row>
    <row r="6750" spans="30:30" x14ac:dyDescent="0.25">
      <c r="AD6750"/>
    </row>
    <row r="6751" spans="30:30" x14ac:dyDescent="0.25">
      <c r="AD6751"/>
    </row>
    <row r="6752" spans="30:30" x14ac:dyDescent="0.25">
      <c r="AD6752"/>
    </row>
    <row r="6753" spans="30:30" x14ac:dyDescent="0.25">
      <c r="AD6753"/>
    </row>
    <row r="6754" spans="30:30" x14ac:dyDescent="0.25">
      <c r="AD6754"/>
    </row>
    <row r="6755" spans="30:30" x14ac:dyDescent="0.25">
      <c r="AD6755"/>
    </row>
    <row r="6756" spans="30:30" x14ac:dyDescent="0.25">
      <c r="AD6756"/>
    </row>
    <row r="6757" spans="30:30" x14ac:dyDescent="0.25">
      <c r="AD6757"/>
    </row>
    <row r="6758" spans="30:30" x14ac:dyDescent="0.25">
      <c r="AD6758"/>
    </row>
    <row r="6759" spans="30:30" x14ac:dyDescent="0.25">
      <c r="AD6759"/>
    </row>
    <row r="6760" spans="30:30" x14ac:dyDescent="0.25">
      <c r="AD6760"/>
    </row>
    <row r="6761" spans="30:30" x14ac:dyDescent="0.25">
      <c r="AD6761"/>
    </row>
    <row r="6762" spans="30:30" x14ac:dyDescent="0.25">
      <c r="AD6762"/>
    </row>
    <row r="6763" spans="30:30" x14ac:dyDescent="0.25">
      <c r="AD6763"/>
    </row>
    <row r="6764" spans="30:30" x14ac:dyDescent="0.25">
      <c r="AD6764"/>
    </row>
    <row r="6765" spans="30:30" x14ac:dyDescent="0.25">
      <c r="AD6765"/>
    </row>
    <row r="6766" spans="30:30" x14ac:dyDescent="0.25">
      <c r="AD6766"/>
    </row>
    <row r="6767" spans="30:30" x14ac:dyDescent="0.25">
      <c r="AD6767"/>
    </row>
    <row r="6768" spans="30:30" x14ac:dyDescent="0.25">
      <c r="AD6768"/>
    </row>
    <row r="6769" spans="30:30" x14ac:dyDescent="0.25">
      <c r="AD6769"/>
    </row>
    <row r="6770" spans="30:30" x14ac:dyDescent="0.25">
      <c r="AD6770"/>
    </row>
    <row r="6771" spans="30:30" x14ac:dyDescent="0.25">
      <c r="AD6771"/>
    </row>
    <row r="6772" spans="30:30" x14ac:dyDescent="0.25">
      <c r="AD6772"/>
    </row>
    <row r="6773" spans="30:30" x14ac:dyDescent="0.25">
      <c r="AD6773"/>
    </row>
    <row r="6774" spans="30:30" x14ac:dyDescent="0.25">
      <c r="AD6774"/>
    </row>
    <row r="6775" spans="30:30" x14ac:dyDescent="0.25">
      <c r="AD6775"/>
    </row>
    <row r="6776" spans="30:30" x14ac:dyDescent="0.25">
      <c r="AD6776"/>
    </row>
    <row r="6777" spans="30:30" x14ac:dyDescent="0.25">
      <c r="AD6777"/>
    </row>
    <row r="6778" spans="30:30" x14ac:dyDescent="0.25">
      <c r="AD6778"/>
    </row>
    <row r="6779" spans="30:30" x14ac:dyDescent="0.25">
      <c r="AD6779"/>
    </row>
    <row r="6780" spans="30:30" x14ac:dyDescent="0.25">
      <c r="AD6780"/>
    </row>
    <row r="6781" spans="30:30" x14ac:dyDescent="0.25">
      <c r="AD6781"/>
    </row>
    <row r="6782" spans="30:30" x14ac:dyDescent="0.25">
      <c r="AD6782"/>
    </row>
    <row r="6783" spans="30:30" x14ac:dyDescent="0.25">
      <c r="AD6783"/>
    </row>
    <row r="6784" spans="30:30" x14ac:dyDescent="0.25">
      <c r="AD6784"/>
    </row>
    <row r="6785" spans="30:30" x14ac:dyDescent="0.25">
      <c r="AD6785"/>
    </row>
    <row r="6786" spans="30:30" x14ac:dyDescent="0.25">
      <c r="AD6786"/>
    </row>
    <row r="6787" spans="30:30" x14ac:dyDescent="0.25">
      <c r="AD6787"/>
    </row>
    <row r="6788" spans="30:30" x14ac:dyDescent="0.25">
      <c r="AD6788"/>
    </row>
    <row r="6789" spans="30:30" x14ac:dyDescent="0.25">
      <c r="AD6789"/>
    </row>
    <row r="6790" spans="30:30" x14ac:dyDescent="0.25">
      <c r="AD6790"/>
    </row>
    <row r="6791" spans="30:30" x14ac:dyDescent="0.25">
      <c r="AD6791"/>
    </row>
    <row r="6792" spans="30:30" x14ac:dyDescent="0.25">
      <c r="AD6792"/>
    </row>
    <row r="6793" spans="30:30" x14ac:dyDescent="0.25">
      <c r="AD6793"/>
    </row>
    <row r="6794" spans="30:30" x14ac:dyDescent="0.25">
      <c r="AD6794"/>
    </row>
    <row r="6795" spans="30:30" x14ac:dyDescent="0.25">
      <c r="AD6795"/>
    </row>
    <row r="6796" spans="30:30" x14ac:dyDescent="0.25">
      <c r="AD6796"/>
    </row>
    <row r="6797" spans="30:30" x14ac:dyDescent="0.25">
      <c r="AD6797"/>
    </row>
    <row r="6798" spans="30:30" x14ac:dyDescent="0.25">
      <c r="AD6798"/>
    </row>
    <row r="6799" spans="30:30" x14ac:dyDescent="0.25">
      <c r="AD6799"/>
    </row>
    <row r="6800" spans="30:30" x14ac:dyDescent="0.25">
      <c r="AD6800"/>
    </row>
    <row r="6801" spans="30:30" x14ac:dyDescent="0.25">
      <c r="AD6801"/>
    </row>
    <row r="6802" spans="30:30" x14ac:dyDescent="0.25">
      <c r="AD6802"/>
    </row>
    <row r="6803" spans="30:30" x14ac:dyDescent="0.25">
      <c r="AD6803"/>
    </row>
    <row r="6804" spans="30:30" x14ac:dyDescent="0.25">
      <c r="AD6804"/>
    </row>
    <row r="6805" spans="30:30" x14ac:dyDescent="0.25">
      <c r="AD6805"/>
    </row>
    <row r="6806" spans="30:30" x14ac:dyDescent="0.25">
      <c r="AD6806"/>
    </row>
    <row r="6807" spans="30:30" x14ac:dyDescent="0.25">
      <c r="AD6807"/>
    </row>
    <row r="6808" spans="30:30" x14ac:dyDescent="0.25">
      <c r="AD6808"/>
    </row>
    <row r="6809" spans="30:30" x14ac:dyDescent="0.25">
      <c r="AD6809"/>
    </row>
    <row r="6810" spans="30:30" x14ac:dyDescent="0.25">
      <c r="AD6810"/>
    </row>
    <row r="6811" spans="30:30" x14ac:dyDescent="0.25">
      <c r="AD6811"/>
    </row>
    <row r="6812" spans="30:30" x14ac:dyDescent="0.25">
      <c r="AD6812"/>
    </row>
    <row r="6813" spans="30:30" x14ac:dyDescent="0.25">
      <c r="AD6813"/>
    </row>
    <row r="6814" spans="30:30" x14ac:dyDescent="0.25">
      <c r="AD6814"/>
    </row>
    <row r="6815" spans="30:30" x14ac:dyDescent="0.25">
      <c r="AD6815"/>
    </row>
    <row r="6816" spans="30:30" x14ac:dyDescent="0.25">
      <c r="AD6816"/>
    </row>
    <row r="6817" spans="30:30" x14ac:dyDescent="0.25">
      <c r="AD6817"/>
    </row>
    <row r="6818" spans="30:30" x14ac:dyDescent="0.25">
      <c r="AD6818"/>
    </row>
    <row r="6819" spans="30:30" x14ac:dyDescent="0.25">
      <c r="AD6819"/>
    </row>
    <row r="6820" spans="30:30" x14ac:dyDescent="0.25">
      <c r="AD6820"/>
    </row>
    <row r="6821" spans="30:30" x14ac:dyDescent="0.25">
      <c r="AD6821"/>
    </row>
    <row r="6822" spans="30:30" x14ac:dyDescent="0.25">
      <c r="AD6822"/>
    </row>
    <row r="6823" spans="30:30" x14ac:dyDescent="0.25">
      <c r="AD6823"/>
    </row>
    <row r="6824" spans="30:30" x14ac:dyDescent="0.25">
      <c r="AD6824"/>
    </row>
    <row r="6825" spans="30:30" x14ac:dyDescent="0.25">
      <c r="AD6825"/>
    </row>
    <row r="6826" spans="30:30" x14ac:dyDescent="0.25">
      <c r="AD6826"/>
    </row>
    <row r="6827" spans="30:30" x14ac:dyDescent="0.25">
      <c r="AD6827"/>
    </row>
    <row r="6828" spans="30:30" x14ac:dyDescent="0.25">
      <c r="AD6828"/>
    </row>
    <row r="6829" spans="30:30" x14ac:dyDescent="0.25">
      <c r="AD6829"/>
    </row>
    <row r="6830" spans="30:30" x14ac:dyDescent="0.25">
      <c r="AD6830"/>
    </row>
    <row r="6831" spans="30:30" x14ac:dyDescent="0.25">
      <c r="AD6831"/>
    </row>
    <row r="6832" spans="30:30" x14ac:dyDescent="0.25">
      <c r="AD6832"/>
    </row>
    <row r="6833" spans="30:30" x14ac:dyDescent="0.25">
      <c r="AD6833"/>
    </row>
    <row r="6834" spans="30:30" x14ac:dyDescent="0.25">
      <c r="AD6834"/>
    </row>
    <row r="6835" spans="30:30" x14ac:dyDescent="0.25">
      <c r="AD6835"/>
    </row>
    <row r="6836" spans="30:30" x14ac:dyDescent="0.25">
      <c r="AD6836"/>
    </row>
    <row r="6837" spans="30:30" x14ac:dyDescent="0.25">
      <c r="AD6837"/>
    </row>
    <row r="6838" spans="30:30" x14ac:dyDescent="0.25">
      <c r="AD6838"/>
    </row>
    <row r="6839" spans="30:30" x14ac:dyDescent="0.25">
      <c r="AD6839"/>
    </row>
    <row r="6840" spans="30:30" x14ac:dyDescent="0.25">
      <c r="AD6840"/>
    </row>
    <row r="6841" spans="30:30" x14ac:dyDescent="0.25">
      <c r="AD6841"/>
    </row>
    <row r="6842" spans="30:30" x14ac:dyDescent="0.25">
      <c r="AD6842"/>
    </row>
    <row r="6843" spans="30:30" x14ac:dyDescent="0.25">
      <c r="AD6843"/>
    </row>
    <row r="6844" spans="30:30" x14ac:dyDescent="0.25">
      <c r="AD6844"/>
    </row>
    <row r="6845" spans="30:30" x14ac:dyDescent="0.25">
      <c r="AD6845"/>
    </row>
    <row r="6846" spans="30:30" x14ac:dyDescent="0.25">
      <c r="AD6846"/>
    </row>
    <row r="6847" spans="30:30" x14ac:dyDescent="0.25">
      <c r="AD6847"/>
    </row>
    <row r="6848" spans="30:30" x14ac:dyDescent="0.25">
      <c r="AD6848"/>
    </row>
    <row r="6849" spans="30:30" x14ac:dyDescent="0.25">
      <c r="AD6849"/>
    </row>
    <row r="6850" spans="30:30" x14ac:dyDescent="0.25">
      <c r="AD6850"/>
    </row>
    <row r="6851" spans="30:30" x14ac:dyDescent="0.25">
      <c r="AD6851"/>
    </row>
    <row r="6852" spans="30:30" x14ac:dyDescent="0.25">
      <c r="AD6852"/>
    </row>
    <row r="6853" spans="30:30" x14ac:dyDescent="0.25">
      <c r="AD6853"/>
    </row>
    <row r="6854" spans="30:30" x14ac:dyDescent="0.25">
      <c r="AD6854"/>
    </row>
    <row r="6855" spans="30:30" x14ac:dyDescent="0.25">
      <c r="AD6855"/>
    </row>
    <row r="6856" spans="30:30" x14ac:dyDescent="0.25">
      <c r="AD6856"/>
    </row>
    <row r="6857" spans="30:30" x14ac:dyDescent="0.25">
      <c r="AD6857"/>
    </row>
    <row r="6858" spans="30:30" x14ac:dyDescent="0.25">
      <c r="AD6858"/>
    </row>
    <row r="6859" spans="30:30" x14ac:dyDescent="0.25">
      <c r="AD6859"/>
    </row>
    <row r="6860" spans="30:30" x14ac:dyDescent="0.25">
      <c r="AD6860"/>
    </row>
    <row r="6861" spans="30:30" x14ac:dyDescent="0.25">
      <c r="AD6861"/>
    </row>
    <row r="6862" spans="30:30" x14ac:dyDescent="0.25">
      <c r="AD6862"/>
    </row>
    <row r="6863" spans="30:30" x14ac:dyDescent="0.25">
      <c r="AD6863"/>
    </row>
    <row r="6864" spans="30:30" x14ac:dyDescent="0.25">
      <c r="AD6864"/>
    </row>
    <row r="6865" spans="30:30" x14ac:dyDescent="0.25">
      <c r="AD6865"/>
    </row>
    <row r="6866" spans="30:30" x14ac:dyDescent="0.25">
      <c r="AD6866"/>
    </row>
    <row r="6867" spans="30:30" x14ac:dyDescent="0.25">
      <c r="AD6867"/>
    </row>
    <row r="6868" spans="30:30" x14ac:dyDescent="0.25">
      <c r="AD6868"/>
    </row>
    <row r="6869" spans="30:30" x14ac:dyDescent="0.25">
      <c r="AD6869"/>
    </row>
    <row r="6870" spans="30:30" x14ac:dyDescent="0.25">
      <c r="AD6870"/>
    </row>
    <row r="6871" spans="30:30" x14ac:dyDescent="0.25">
      <c r="AD6871"/>
    </row>
    <row r="6872" spans="30:30" x14ac:dyDescent="0.25">
      <c r="AD6872"/>
    </row>
    <row r="6873" spans="30:30" x14ac:dyDescent="0.25">
      <c r="AD6873"/>
    </row>
    <row r="6874" spans="30:30" x14ac:dyDescent="0.25">
      <c r="AD6874"/>
    </row>
    <row r="6875" spans="30:30" x14ac:dyDescent="0.25">
      <c r="AD6875"/>
    </row>
    <row r="6876" spans="30:30" x14ac:dyDescent="0.25">
      <c r="AD6876"/>
    </row>
    <row r="6877" spans="30:30" x14ac:dyDescent="0.25">
      <c r="AD6877"/>
    </row>
    <row r="6878" spans="30:30" x14ac:dyDescent="0.25">
      <c r="AD6878"/>
    </row>
    <row r="6879" spans="30:30" x14ac:dyDescent="0.25">
      <c r="AD6879"/>
    </row>
    <row r="6880" spans="30:30" x14ac:dyDescent="0.25">
      <c r="AD6880"/>
    </row>
    <row r="6881" spans="30:30" x14ac:dyDescent="0.25">
      <c r="AD6881"/>
    </row>
    <row r="6882" spans="30:30" x14ac:dyDescent="0.25">
      <c r="AD6882"/>
    </row>
    <row r="6883" spans="30:30" x14ac:dyDescent="0.25">
      <c r="AD6883"/>
    </row>
    <row r="6884" spans="30:30" x14ac:dyDescent="0.25">
      <c r="AD6884"/>
    </row>
    <row r="6885" spans="30:30" x14ac:dyDescent="0.25">
      <c r="AD6885"/>
    </row>
    <row r="6886" spans="30:30" x14ac:dyDescent="0.25">
      <c r="AD6886"/>
    </row>
    <row r="6887" spans="30:30" x14ac:dyDescent="0.25">
      <c r="AD6887"/>
    </row>
    <row r="6888" spans="30:30" x14ac:dyDescent="0.25">
      <c r="AD6888"/>
    </row>
    <row r="6889" spans="30:30" x14ac:dyDescent="0.25">
      <c r="AD6889"/>
    </row>
    <row r="6890" spans="30:30" x14ac:dyDescent="0.25">
      <c r="AD6890"/>
    </row>
    <row r="6891" spans="30:30" x14ac:dyDescent="0.25">
      <c r="AD6891"/>
    </row>
    <row r="6892" spans="30:30" x14ac:dyDescent="0.25">
      <c r="AD6892"/>
    </row>
    <row r="6893" spans="30:30" x14ac:dyDescent="0.25">
      <c r="AD6893"/>
    </row>
    <row r="6894" spans="30:30" x14ac:dyDescent="0.25">
      <c r="AD6894"/>
    </row>
    <row r="6895" spans="30:30" x14ac:dyDescent="0.25">
      <c r="AD6895"/>
    </row>
    <row r="6896" spans="30:30" x14ac:dyDescent="0.25">
      <c r="AD6896"/>
    </row>
    <row r="6897" spans="30:30" x14ac:dyDescent="0.25">
      <c r="AD6897"/>
    </row>
    <row r="6898" spans="30:30" x14ac:dyDescent="0.25">
      <c r="AD6898"/>
    </row>
    <row r="6899" spans="30:30" x14ac:dyDescent="0.25">
      <c r="AD6899"/>
    </row>
    <row r="6900" spans="30:30" x14ac:dyDescent="0.25">
      <c r="AD6900"/>
    </row>
    <row r="6901" spans="30:30" x14ac:dyDescent="0.25">
      <c r="AD6901"/>
    </row>
    <row r="6902" spans="30:30" x14ac:dyDescent="0.25">
      <c r="AD6902"/>
    </row>
    <row r="6903" spans="30:30" x14ac:dyDescent="0.25">
      <c r="AD6903"/>
    </row>
    <row r="6904" spans="30:30" x14ac:dyDescent="0.25">
      <c r="AD6904"/>
    </row>
    <row r="6905" spans="30:30" x14ac:dyDescent="0.25">
      <c r="AD6905"/>
    </row>
    <row r="6906" spans="30:30" x14ac:dyDescent="0.25">
      <c r="AD6906"/>
    </row>
    <row r="6907" spans="30:30" x14ac:dyDescent="0.25">
      <c r="AD6907"/>
    </row>
    <row r="6908" spans="30:30" x14ac:dyDescent="0.25">
      <c r="AD6908"/>
    </row>
    <row r="6909" spans="30:30" x14ac:dyDescent="0.25">
      <c r="AD6909"/>
    </row>
    <row r="6910" spans="30:30" x14ac:dyDescent="0.25">
      <c r="AD6910"/>
    </row>
    <row r="6911" spans="30:30" x14ac:dyDescent="0.25">
      <c r="AD6911"/>
    </row>
    <row r="6912" spans="30:30" x14ac:dyDescent="0.25">
      <c r="AD6912"/>
    </row>
    <row r="6913" spans="30:30" x14ac:dyDescent="0.25">
      <c r="AD6913"/>
    </row>
    <row r="6914" spans="30:30" x14ac:dyDescent="0.25">
      <c r="AD6914"/>
    </row>
    <row r="6915" spans="30:30" x14ac:dyDescent="0.25">
      <c r="AD6915"/>
    </row>
    <row r="6916" spans="30:30" x14ac:dyDescent="0.25">
      <c r="AD6916"/>
    </row>
    <row r="6917" spans="30:30" x14ac:dyDescent="0.25">
      <c r="AD6917"/>
    </row>
    <row r="6918" spans="30:30" x14ac:dyDescent="0.25">
      <c r="AD6918"/>
    </row>
    <row r="6919" spans="30:30" x14ac:dyDescent="0.25">
      <c r="AD6919"/>
    </row>
    <row r="6920" spans="30:30" x14ac:dyDescent="0.25">
      <c r="AD6920"/>
    </row>
    <row r="6921" spans="30:30" x14ac:dyDescent="0.25">
      <c r="AD6921"/>
    </row>
    <row r="6922" spans="30:30" x14ac:dyDescent="0.25">
      <c r="AD6922"/>
    </row>
    <row r="6923" spans="30:30" x14ac:dyDescent="0.25">
      <c r="AD6923"/>
    </row>
    <row r="6924" spans="30:30" x14ac:dyDescent="0.25">
      <c r="AD6924"/>
    </row>
    <row r="6925" spans="30:30" x14ac:dyDescent="0.25">
      <c r="AD6925"/>
    </row>
    <row r="6926" spans="30:30" x14ac:dyDescent="0.25">
      <c r="AD6926"/>
    </row>
    <row r="6927" spans="30:30" x14ac:dyDescent="0.25">
      <c r="AD6927"/>
    </row>
    <row r="6928" spans="30:30" x14ac:dyDescent="0.25">
      <c r="AD6928"/>
    </row>
    <row r="6929" spans="30:30" x14ac:dyDescent="0.25">
      <c r="AD6929"/>
    </row>
    <row r="6930" spans="30:30" x14ac:dyDescent="0.25">
      <c r="AD6930"/>
    </row>
    <row r="6931" spans="30:30" x14ac:dyDescent="0.25">
      <c r="AD6931"/>
    </row>
    <row r="6932" spans="30:30" x14ac:dyDescent="0.25">
      <c r="AD6932"/>
    </row>
    <row r="6933" spans="30:30" x14ac:dyDescent="0.25">
      <c r="AD6933"/>
    </row>
    <row r="6934" spans="30:30" x14ac:dyDescent="0.25">
      <c r="AD6934"/>
    </row>
    <row r="6935" spans="30:30" x14ac:dyDescent="0.25">
      <c r="AD6935"/>
    </row>
    <row r="6936" spans="30:30" x14ac:dyDescent="0.25">
      <c r="AD6936"/>
    </row>
    <row r="6937" spans="30:30" x14ac:dyDescent="0.25">
      <c r="AD6937"/>
    </row>
    <row r="6938" spans="30:30" x14ac:dyDescent="0.25">
      <c r="AD6938"/>
    </row>
    <row r="6939" spans="30:30" x14ac:dyDescent="0.25">
      <c r="AD6939"/>
    </row>
    <row r="6940" spans="30:30" x14ac:dyDescent="0.25">
      <c r="AD6940"/>
    </row>
    <row r="6941" spans="30:30" x14ac:dyDescent="0.25">
      <c r="AD6941"/>
    </row>
    <row r="6942" spans="30:30" x14ac:dyDescent="0.25">
      <c r="AD6942"/>
    </row>
    <row r="6943" spans="30:30" x14ac:dyDescent="0.25">
      <c r="AD6943"/>
    </row>
    <row r="6944" spans="30:30" x14ac:dyDescent="0.25">
      <c r="AD6944"/>
    </row>
    <row r="6945" spans="30:30" x14ac:dyDescent="0.25">
      <c r="AD6945"/>
    </row>
    <row r="6946" spans="30:30" x14ac:dyDescent="0.25">
      <c r="AD6946"/>
    </row>
    <row r="6947" spans="30:30" x14ac:dyDescent="0.25">
      <c r="AD6947"/>
    </row>
    <row r="6948" spans="30:30" x14ac:dyDescent="0.25">
      <c r="AD6948"/>
    </row>
    <row r="6949" spans="30:30" x14ac:dyDescent="0.25">
      <c r="AD6949"/>
    </row>
    <row r="6950" spans="30:30" x14ac:dyDescent="0.25">
      <c r="AD6950"/>
    </row>
    <row r="6951" spans="30:30" x14ac:dyDescent="0.25">
      <c r="AD6951"/>
    </row>
    <row r="6952" spans="30:30" x14ac:dyDescent="0.25">
      <c r="AD6952"/>
    </row>
    <row r="6953" spans="30:30" x14ac:dyDescent="0.25">
      <c r="AD6953"/>
    </row>
    <row r="6954" spans="30:30" x14ac:dyDescent="0.25">
      <c r="AD6954"/>
    </row>
    <row r="6955" spans="30:30" x14ac:dyDescent="0.25">
      <c r="AD6955"/>
    </row>
    <row r="6956" spans="30:30" x14ac:dyDescent="0.25">
      <c r="AD6956"/>
    </row>
    <row r="6957" spans="30:30" x14ac:dyDescent="0.25">
      <c r="AD6957"/>
    </row>
    <row r="6958" spans="30:30" x14ac:dyDescent="0.25">
      <c r="AD6958"/>
    </row>
    <row r="6959" spans="30:30" x14ac:dyDescent="0.25">
      <c r="AD6959"/>
    </row>
    <row r="6960" spans="30:30" x14ac:dyDescent="0.25">
      <c r="AD6960"/>
    </row>
    <row r="6961" spans="30:30" x14ac:dyDescent="0.25">
      <c r="AD6961"/>
    </row>
    <row r="6962" spans="30:30" x14ac:dyDescent="0.25">
      <c r="AD6962"/>
    </row>
    <row r="6963" spans="30:30" x14ac:dyDescent="0.25">
      <c r="AD6963"/>
    </row>
    <row r="6964" spans="30:30" x14ac:dyDescent="0.25">
      <c r="AD6964"/>
    </row>
    <row r="6965" spans="30:30" x14ac:dyDescent="0.25">
      <c r="AD6965"/>
    </row>
    <row r="6966" spans="30:30" x14ac:dyDescent="0.25">
      <c r="AD6966"/>
    </row>
    <row r="6967" spans="30:30" x14ac:dyDescent="0.25">
      <c r="AD6967"/>
    </row>
    <row r="6968" spans="30:30" x14ac:dyDescent="0.25">
      <c r="AD6968"/>
    </row>
    <row r="6969" spans="30:30" x14ac:dyDescent="0.25">
      <c r="AD6969"/>
    </row>
    <row r="6970" spans="30:30" x14ac:dyDescent="0.25">
      <c r="AD6970"/>
    </row>
    <row r="6971" spans="30:30" x14ac:dyDescent="0.25">
      <c r="AD6971"/>
    </row>
    <row r="6972" spans="30:30" x14ac:dyDescent="0.25">
      <c r="AD6972"/>
    </row>
    <row r="6973" spans="30:30" x14ac:dyDescent="0.25">
      <c r="AD6973"/>
    </row>
    <row r="6974" spans="30:30" x14ac:dyDescent="0.25">
      <c r="AD6974"/>
    </row>
    <row r="6975" spans="30:30" x14ac:dyDescent="0.25">
      <c r="AD6975"/>
    </row>
    <row r="6976" spans="30:30" x14ac:dyDescent="0.25">
      <c r="AD6976"/>
    </row>
    <row r="6977" spans="30:30" x14ac:dyDescent="0.25">
      <c r="AD6977"/>
    </row>
    <row r="6978" spans="30:30" x14ac:dyDescent="0.25">
      <c r="AD6978"/>
    </row>
    <row r="6979" spans="30:30" x14ac:dyDescent="0.25">
      <c r="AD6979"/>
    </row>
    <row r="6980" spans="30:30" x14ac:dyDescent="0.25">
      <c r="AD6980"/>
    </row>
    <row r="6981" spans="30:30" x14ac:dyDescent="0.25">
      <c r="AD6981"/>
    </row>
    <row r="6982" spans="30:30" x14ac:dyDescent="0.25">
      <c r="AD6982"/>
    </row>
    <row r="6983" spans="30:30" x14ac:dyDescent="0.25">
      <c r="AD6983"/>
    </row>
    <row r="6984" spans="30:30" x14ac:dyDescent="0.25">
      <c r="AD6984"/>
    </row>
    <row r="6985" spans="30:30" x14ac:dyDescent="0.25">
      <c r="AD6985"/>
    </row>
    <row r="6986" spans="30:30" x14ac:dyDescent="0.25">
      <c r="AD6986"/>
    </row>
    <row r="6987" spans="30:30" x14ac:dyDescent="0.25">
      <c r="AD6987"/>
    </row>
    <row r="6988" spans="30:30" x14ac:dyDescent="0.25">
      <c r="AD6988"/>
    </row>
    <row r="6989" spans="30:30" x14ac:dyDescent="0.25">
      <c r="AD6989"/>
    </row>
    <row r="6990" spans="30:30" x14ac:dyDescent="0.25">
      <c r="AD6990"/>
    </row>
    <row r="6991" spans="30:30" x14ac:dyDescent="0.25">
      <c r="AD6991"/>
    </row>
    <row r="6992" spans="30:30" x14ac:dyDescent="0.25">
      <c r="AD6992"/>
    </row>
    <row r="6993" spans="30:30" x14ac:dyDescent="0.25">
      <c r="AD6993"/>
    </row>
    <row r="6994" spans="30:30" x14ac:dyDescent="0.25">
      <c r="AD6994"/>
    </row>
    <row r="6995" spans="30:30" x14ac:dyDescent="0.25">
      <c r="AD6995"/>
    </row>
    <row r="6996" spans="30:30" x14ac:dyDescent="0.25">
      <c r="AD6996"/>
    </row>
    <row r="6997" spans="30:30" x14ac:dyDescent="0.25">
      <c r="AD6997"/>
    </row>
    <row r="6998" spans="30:30" x14ac:dyDescent="0.25">
      <c r="AD6998"/>
    </row>
    <row r="6999" spans="30:30" x14ac:dyDescent="0.25">
      <c r="AD6999"/>
    </row>
    <row r="7000" spans="30:30" x14ac:dyDescent="0.25">
      <c r="AD7000"/>
    </row>
    <row r="7001" spans="30:30" x14ac:dyDescent="0.25">
      <c r="AD7001"/>
    </row>
    <row r="7002" spans="30:30" x14ac:dyDescent="0.25">
      <c r="AD7002"/>
    </row>
    <row r="7003" spans="30:30" x14ac:dyDescent="0.25">
      <c r="AD7003"/>
    </row>
    <row r="7004" spans="30:30" x14ac:dyDescent="0.25">
      <c r="AD7004"/>
    </row>
    <row r="7005" spans="30:30" x14ac:dyDescent="0.25">
      <c r="AD7005"/>
    </row>
    <row r="7006" spans="30:30" x14ac:dyDescent="0.25">
      <c r="AD7006"/>
    </row>
    <row r="7007" spans="30:30" x14ac:dyDescent="0.25">
      <c r="AD7007"/>
    </row>
    <row r="7008" spans="30:30" x14ac:dyDescent="0.25">
      <c r="AD7008"/>
    </row>
    <row r="7009" spans="30:30" x14ac:dyDescent="0.25">
      <c r="AD7009"/>
    </row>
    <row r="7010" spans="30:30" x14ac:dyDescent="0.25">
      <c r="AD7010"/>
    </row>
    <row r="7011" spans="30:30" x14ac:dyDescent="0.25">
      <c r="AD7011"/>
    </row>
    <row r="7012" spans="30:30" x14ac:dyDescent="0.25">
      <c r="AD7012"/>
    </row>
    <row r="7013" spans="30:30" x14ac:dyDescent="0.25">
      <c r="AD7013"/>
    </row>
    <row r="7014" spans="30:30" x14ac:dyDescent="0.25">
      <c r="AD7014"/>
    </row>
    <row r="7015" spans="30:30" x14ac:dyDescent="0.25">
      <c r="AD7015"/>
    </row>
    <row r="7016" spans="30:30" x14ac:dyDescent="0.25">
      <c r="AD7016"/>
    </row>
    <row r="7017" spans="30:30" x14ac:dyDescent="0.25">
      <c r="AD7017"/>
    </row>
    <row r="7018" spans="30:30" x14ac:dyDescent="0.25">
      <c r="AD7018"/>
    </row>
    <row r="7019" spans="30:30" x14ac:dyDescent="0.25">
      <c r="AD7019"/>
    </row>
    <row r="7020" spans="30:30" x14ac:dyDescent="0.25">
      <c r="AD7020"/>
    </row>
    <row r="7021" spans="30:30" x14ac:dyDescent="0.25">
      <c r="AD7021"/>
    </row>
    <row r="7022" spans="30:30" x14ac:dyDescent="0.25">
      <c r="AD7022"/>
    </row>
    <row r="7023" spans="30:30" x14ac:dyDescent="0.25">
      <c r="AD7023"/>
    </row>
    <row r="7024" spans="30:30" x14ac:dyDescent="0.25">
      <c r="AD7024"/>
    </row>
    <row r="7025" spans="30:30" x14ac:dyDescent="0.25">
      <c r="AD7025"/>
    </row>
    <row r="7026" spans="30:30" x14ac:dyDescent="0.25">
      <c r="AD7026"/>
    </row>
    <row r="7027" spans="30:30" x14ac:dyDescent="0.25">
      <c r="AD7027"/>
    </row>
    <row r="7028" spans="30:30" x14ac:dyDescent="0.25">
      <c r="AD7028"/>
    </row>
    <row r="7029" spans="30:30" x14ac:dyDescent="0.25">
      <c r="AD7029"/>
    </row>
    <row r="7030" spans="30:30" x14ac:dyDescent="0.25">
      <c r="AD7030"/>
    </row>
    <row r="7031" spans="30:30" x14ac:dyDescent="0.25">
      <c r="AD7031"/>
    </row>
    <row r="7032" spans="30:30" x14ac:dyDescent="0.25">
      <c r="AD7032"/>
    </row>
    <row r="7033" spans="30:30" x14ac:dyDescent="0.25">
      <c r="AD7033"/>
    </row>
    <row r="7034" spans="30:30" x14ac:dyDescent="0.25">
      <c r="AD7034"/>
    </row>
    <row r="7035" spans="30:30" x14ac:dyDescent="0.25">
      <c r="AD7035"/>
    </row>
    <row r="7036" spans="30:30" x14ac:dyDescent="0.25">
      <c r="AD7036"/>
    </row>
    <row r="7037" spans="30:30" x14ac:dyDescent="0.25">
      <c r="AD7037"/>
    </row>
    <row r="7038" spans="30:30" x14ac:dyDescent="0.25">
      <c r="AD7038"/>
    </row>
    <row r="7039" spans="30:30" x14ac:dyDescent="0.25">
      <c r="AD7039"/>
    </row>
    <row r="7040" spans="30:30" x14ac:dyDescent="0.25">
      <c r="AD7040"/>
    </row>
    <row r="7041" spans="30:30" x14ac:dyDescent="0.25">
      <c r="AD7041"/>
    </row>
    <row r="7042" spans="30:30" x14ac:dyDescent="0.25">
      <c r="AD7042"/>
    </row>
    <row r="7043" spans="30:30" x14ac:dyDescent="0.25">
      <c r="AD7043"/>
    </row>
    <row r="7044" spans="30:30" x14ac:dyDescent="0.25">
      <c r="AD7044"/>
    </row>
    <row r="7045" spans="30:30" x14ac:dyDescent="0.25">
      <c r="AD7045"/>
    </row>
    <row r="7046" spans="30:30" x14ac:dyDescent="0.25">
      <c r="AD7046"/>
    </row>
    <row r="7047" spans="30:30" x14ac:dyDescent="0.25">
      <c r="AD7047"/>
    </row>
    <row r="7048" spans="30:30" x14ac:dyDescent="0.25">
      <c r="AD7048"/>
    </row>
    <row r="7049" spans="30:30" x14ac:dyDescent="0.25">
      <c r="AD7049"/>
    </row>
    <row r="7050" spans="30:30" x14ac:dyDescent="0.25">
      <c r="AD7050"/>
    </row>
    <row r="7051" spans="30:30" x14ac:dyDescent="0.25">
      <c r="AD7051"/>
    </row>
    <row r="7052" spans="30:30" x14ac:dyDescent="0.25">
      <c r="AD7052"/>
    </row>
    <row r="7053" spans="30:30" x14ac:dyDescent="0.25">
      <c r="AD7053"/>
    </row>
    <row r="7054" spans="30:30" x14ac:dyDescent="0.25">
      <c r="AD7054"/>
    </row>
    <row r="7055" spans="30:30" x14ac:dyDescent="0.25">
      <c r="AD7055"/>
    </row>
    <row r="7056" spans="30:30" x14ac:dyDescent="0.25">
      <c r="AD7056"/>
    </row>
    <row r="7057" spans="30:30" x14ac:dyDescent="0.25">
      <c r="AD7057"/>
    </row>
    <row r="7058" spans="30:30" x14ac:dyDescent="0.25">
      <c r="AD7058"/>
    </row>
    <row r="7059" spans="30:30" x14ac:dyDescent="0.25">
      <c r="AD7059"/>
    </row>
    <row r="7060" spans="30:30" x14ac:dyDescent="0.25">
      <c r="AD7060"/>
    </row>
    <row r="7061" spans="30:30" x14ac:dyDescent="0.25">
      <c r="AD7061"/>
    </row>
    <row r="7062" spans="30:30" x14ac:dyDescent="0.25">
      <c r="AD7062"/>
    </row>
    <row r="7063" spans="30:30" x14ac:dyDescent="0.25">
      <c r="AD7063"/>
    </row>
    <row r="7064" spans="30:30" x14ac:dyDescent="0.25">
      <c r="AD7064"/>
    </row>
    <row r="7065" spans="30:30" x14ac:dyDescent="0.25">
      <c r="AD7065"/>
    </row>
    <row r="7066" spans="30:30" x14ac:dyDescent="0.25">
      <c r="AD7066"/>
    </row>
    <row r="7067" spans="30:30" x14ac:dyDescent="0.25">
      <c r="AD7067"/>
    </row>
    <row r="7068" spans="30:30" x14ac:dyDescent="0.25">
      <c r="AD7068"/>
    </row>
    <row r="7069" spans="30:30" x14ac:dyDescent="0.25">
      <c r="AD7069"/>
    </row>
    <row r="7070" spans="30:30" x14ac:dyDescent="0.25">
      <c r="AD7070"/>
    </row>
    <row r="7071" spans="30:30" x14ac:dyDescent="0.25">
      <c r="AD7071"/>
    </row>
    <row r="7072" spans="30:30" x14ac:dyDescent="0.25">
      <c r="AD7072"/>
    </row>
    <row r="7073" spans="30:30" x14ac:dyDescent="0.25">
      <c r="AD7073"/>
    </row>
    <row r="7074" spans="30:30" x14ac:dyDescent="0.25">
      <c r="AD7074"/>
    </row>
    <row r="7075" spans="30:30" x14ac:dyDescent="0.25">
      <c r="AD7075"/>
    </row>
    <row r="7076" spans="30:30" x14ac:dyDescent="0.25">
      <c r="AD7076"/>
    </row>
    <row r="7077" spans="30:30" x14ac:dyDescent="0.25">
      <c r="AD7077"/>
    </row>
    <row r="7078" spans="30:30" x14ac:dyDescent="0.25">
      <c r="AD7078"/>
    </row>
    <row r="7079" spans="30:30" x14ac:dyDescent="0.25">
      <c r="AD7079"/>
    </row>
    <row r="7080" spans="30:30" x14ac:dyDescent="0.25">
      <c r="AD7080"/>
    </row>
    <row r="7081" spans="30:30" x14ac:dyDescent="0.25">
      <c r="AD7081"/>
    </row>
    <row r="7082" spans="30:30" x14ac:dyDescent="0.25">
      <c r="AD7082"/>
    </row>
    <row r="7083" spans="30:30" x14ac:dyDescent="0.25">
      <c r="AD7083"/>
    </row>
    <row r="7084" spans="30:30" x14ac:dyDescent="0.25">
      <c r="AD7084"/>
    </row>
    <row r="7085" spans="30:30" x14ac:dyDescent="0.25">
      <c r="AD7085"/>
    </row>
    <row r="7086" spans="30:30" x14ac:dyDescent="0.25">
      <c r="AD7086"/>
    </row>
    <row r="7087" spans="30:30" x14ac:dyDescent="0.25">
      <c r="AD7087"/>
    </row>
    <row r="7088" spans="30:30" x14ac:dyDescent="0.25">
      <c r="AD7088"/>
    </row>
    <row r="7089" spans="30:30" x14ac:dyDescent="0.25">
      <c r="AD7089"/>
    </row>
    <row r="7090" spans="30:30" x14ac:dyDescent="0.25">
      <c r="AD7090"/>
    </row>
    <row r="7091" spans="30:30" x14ac:dyDescent="0.25">
      <c r="AD7091"/>
    </row>
    <row r="7092" spans="30:30" x14ac:dyDescent="0.25">
      <c r="AD7092"/>
    </row>
    <row r="7093" spans="30:30" x14ac:dyDescent="0.25">
      <c r="AD7093"/>
    </row>
    <row r="7094" spans="30:30" x14ac:dyDescent="0.25">
      <c r="AD7094"/>
    </row>
    <row r="7095" spans="30:30" x14ac:dyDescent="0.25">
      <c r="AD7095"/>
    </row>
    <row r="7096" spans="30:30" x14ac:dyDescent="0.25">
      <c r="AD7096"/>
    </row>
    <row r="7097" spans="30:30" x14ac:dyDescent="0.25">
      <c r="AD7097"/>
    </row>
    <row r="7098" spans="30:30" x14ac:dyDescent="0.25">
      <c r="AD7098"/>
    </row>
    <row r="7099" spans="30:30" x14ac:dyDescent="0.25">
      <c r="AD7099"/>
    </row>
    <row r="7100" spans="30:30" x14ac:dyDescent="0.25">
      <c r="AD7100"/>
    </row>
    <row r="7101" spans="30:30" x14ac:dyDescent="0.25">
      <c r="AD7101"/>
    </row>
    <row r="7102" spans="30:30" x14ac:dyDescent="0.25">
      <c r="AD7102"/>
    </row>
    <row r="7103" spans="30:30" x14ac:dyDescent="0.25">
      <c r="AD7103"/>
    </row>
    <row r="7104" spans="30:30" x14ac:dyDescent="0.25">
      <c r="AD7104"/>
    </row>
    <row r="7105" spans="30:30" x14ac:dyDescent="0.25">
      <c r="AD7105"/>
    </row>
    <row r="7106" spans="30:30" x14ac:dyDescent="0.25">
      <c r="AD7106"/>
    </row>
    <row r="7107" spans="30:30" x14ac:dyDescent="0.25">
      <c r="AD7107"/>
    </row>
    <row r="7108" spans="30:30" x14ac:dyDescent="0.25">
      <c r="AD7108"/>
    </row>
    <row r="7109" spans="30:30" x14ac:dyDescent="0.25">
      <c r="AD7109"/>
    </row>
    <row r="7110" spans="30:30" x14ac:dyDescent="0.25">
      <c r="AD7110"/>
    </row>
    <row r="7111" spans="30:30" x14ac:dyDescent="0.25">
      <c r="AD7111"/>
    </row>
    <row r="7112" spans="30:30" x14ac:dyDescent="0.25">
      <c r="AD7112"/>
    </row>
    <row r="7113" spans="30:30" x14ac:dyDescent="0.25">
      <c r="AD7113"/>
    </row>
    <row r="7114" spans="30:30" x14ac:dyDescent="0.25">
      <c r="AD7114"/>
    </row>
    <row r="7115" spans="30:30" x14ac:dyDescent="0.25">
      <c r="AD7115"/>
    </row>
    <row r="7116" spans="30:30" x14ac:dyDescent="0.25">
      <c r="AD7116"/>
    </row>
    <row r="7117" spans="30:30" x14ac:dyDescent="0.25">
      <c r="AD7117"/>
    </row>
    <row r="7118" spans="30:30" x14ac:dyDescent="0.25">
      <c r="AD7118"/>
    </row>
    <row r="7119" spans="30:30" x14ac:dyDescent="0.25">
      <c r="AD7119"/>
    </row>
    <row r="7120" spans="30:30" x14ac:dyDescent="0.25">
      <c r="AD7120"/>
    </row>
    <row r="7121" spans="30:30" x14ac:dyDescent="0.25">
      <c r="AD7121"/>
    </row>
    <row r="7122" spans="30:30" x14ac:dyDescent="0.25">
      <c r="AD7122"/>
    </row>
    <row r="7123" spans="30:30" x14ac:dyDescent="0.25">
      <c r="AD7123"/>
    </row>
    <row r="7124" spans="30:30" x14ac:dyDescent="0.25">
      <c r="AD7124"/>
    </row>
    <row r="7125" spans="30:30" x14ac:dyDescent="0.25">
      <c r="AD7125"/>
    </row>
    <row r="7126" spans="30:30" x14ac:dyDescent="0.25">
      <c r="AD7126"/>
    </row>
    <row r="7127" spans="30:30" x14ac:dyDescent="0.25">
      <c r="AD7127"/>
    </row>
    <row r="7128" spans="30:30" x14ac:dyDescent="0.25">
      <c r="AD7128"/>
    </row>
    <row r="7129" spans="30:30" x14ac:dyDescent="0.25">
      <c r="AD7129"/>
    </row>
    <row r="7130" spans="30:30" x14ac:dyDescent="0.25">
      <c r="AD7130"/>
    </row>
    <row r="7131" spans="30:30" x14ac:dyDescent="0.25">
      <c r="AD7131"/>
    </row>
    <row r="7132" spans="30:30" x14ac:dyDescent="0.25">
      <c r="AD7132"/>
    </row>
    <row r="7133" spans="30:30" x14ac:dyDescent="0.25">
      <c r="AD7133"/>
    </row>
    <row r="7134" spans="30:30" x14ac:dyDescent="0.25">
      <c r="AD7134"/>
    </row>
    <row r="7135" spans="30:30" x14ac:dyDescent="0.25">
      <c r="AD7135"/>
    </row>
    <row r="7136" spans="30:30" x14ac:dyDescent="0.25">
      <c r="AD7136"/>
    </row>
    <row r="7137" spans="30:30" x14ac:dyDescent="0.25">
      <c r="AD7137"/>
    </row>
    <row r="7138" spans="30:30" x14ac:dyDescent="0.25">
      <c r="AD7138"/>
    </row>
    <row r="7139" spans="30:30" x14ac:dyDescent="0.25">
      <c r="AD7139"/>
    </row>
    <row r="7140" spans="30:30" x14ac:dyDescent="0.25">
      <c r="AD7140"/>
    </row>
    <row r="7141" spans="30:30" x14ac:dyDescent="0.25">
      <c r="AD7141"/>
    </row>
    <row r="7142" spans="30:30" x14ac:dyDescent="0.25">
      <c r="AD7142"/>
    </row>
    <row r="7143" spans="30:30" x14ac:dyDescent="0.25">
      <c r="AD7143"/>
    </row>
    <row r="7144" spans="30:30" x14ac:dyDescent="0.25">
      <c r="AD7144"/>
    </row>
    <row r="7145" spans="30:30" x14ac:dyDescent="0.25">
      <c r="AD7145"/>
    </row>
    <row r="7146" spans="30:30" x14ac:dyDescent="0.25">
      <c r="AD7146"/>
    </row>
    <row r="7147" spans="30:30" x14ac:dyDescent="0.25">
      <c r="AD7147"/>
    </row>
    <row r="7148" spans="30:30" x14ac:dyDescent="0.25">
      <c r="AD7148"/>
    </row>
    <row r="7149" spans="30:30" x14ac:dyDescent="0.25">
      <c r="AD7149"/>
    </row>
    <row r="7150" spans="30:30" x14ac:dyDescent="0.25">
      <c r="AD7150"/>
    </row>
    <row r="7151" spans="30:30" x14ac:dyDescent="0.25">
      <c r="AD7151"/>
    </row>
    <row r="7152" spans="30:30" x14ac:dyDescent="0.25">
      <c r="AD7152"/>
    </row>
    <row r="7153" spans="30:30" x14ac:dyDescent="0.25">
      <c r="AD7153"/>
    </row>
    <row r="7154" spans="30:30" x14ac:dyDescent="0.25">
      <c r="AD7154"/>
    </row>
    <row r="7155" spans="30:30" x14ac:dyDescent="0.25">
      <c r="AD7155"/>
    </row>
    <row r="7156" spans="30:30" x14ac:dyDescent="0.25">
      <c r="AD7156"/>
    </row>
    <row r="7157" spans="30:30" x14ac:dyDescent="0.25">
      <c r="AD7157"/>
    </row>
    <row r="7158" spans="30:30" x14ac:dyDescent="0.25">
      <c r="AD7158"/>
    </row>
    <row r="7159" spans="30:30" x14ac:dyDescent="0.25">
      <c r="AD7159"/>
    </row>
    <row r="7160" spans="30:30" x14ac:dyDescent="0.25">
      <c r="AD7160"/>
    </row>
    <row r="7161" spans="30:30" x14ac:dyDescent="0.25">
      <c r="AD7161"/>
    </row>
    <row r="7162" spans="30:30" x14ac:dyDescent="0.25">
      <c r="AD7162"/>
    </row>
    <row r="7163" spans="30:30" x14ac:dyDescent="0.25">
      <c r="AD7163"/>
    </row>
    <row r="7164" spans="30:30" x14ac:dyDescent="0.25">
      <c r="AD7164"/>
    </row>
    <row r="7165" spans="30:30" x14ac:dyDescent="0.25">
      <c r="AD7165"/>
    </row>
    <row r="7166" spans="30:30" x14ac:dyDescent="0.25">
      <c r="AD7166"/>
    </row>
    <row r="7167" spans="30:30" x14ac:dyDescent="0.25">
      <c r="AD7167"/>
    </row>
    <row r="7168" spans="30:30" x14ac:dyDescent="0.25">
      <c r="AD7168"/>
    </row>
    <row r="7169" spans="30:30" x14ac:dyDescent="0.25">
      <c r="AD7169"/>
    </row>
    <row r="7170" spans="30:30" x14ac:dyDescent="0.25">
      <c r="AD7170"/>
    </row>
    <row r="7171" spans="30:30" x14ac:dyDescent="0.25">
      <c r="AD7171"/>
    </row>
    <row r="7172" spans="30:30" x14ac:dyDescent="0.25">
      <c r="AD7172"/>
    </row>
    <row r="7173" spans="30:30" x14ac:dyDescent="0.25">
      <c r="AD7173"/>
    </row>
    <row r="7174" spans="30:30" x14ac:dyDescent="0.25">
      <c r="AD7174"/>
    </row>
    <row r="7175" spans="30:30" x14ac:dyDescent="0.25">
      <c r="AD7175"/>
    </row>
    <row r="7176" spans="30:30" x14ac:dyDescent="0.25">
      <c r="AD7176"/>
    </row>
    <row r="7177" spans="30:30" x14ac:dyDescent="0.25">
      <c r="AD7177"/>
    </row>
    <row r="7178" spans="30:30" x14ac:dyDescent="0.25">
      <c r="AD7178"/>
    </row>
    <row r="7179" spans="30:30" x14ac:dyDescent="0.25">
      <c r="AD7179"/>
    </row>
    <row r="7180" spans="30:30" x14ac:dyDescent="0.25">
      <c r="AD7180"/>
    </row>
    <row r="7181" spans="30:30" x14ac:dyDescent="0.25">
      <c r="AD7181"/>
    </row>
    <row r="7182" spans="30:30" x14ac:dyDescent="0.25">
      <c r="AD7182"/>
    </row>
    <row r="7183" spans="30:30" x14ac:dyDescent="0.25">
      <c r="AD7183"/>
    </row>
    <row r="7184" spans="30:30" x14ac:dyDescent="0.25">
      <c r="AD7184"/>
    </row>
    <row r="7185" spans="30:30" x14ac:dyDescent="0.25">
      <c r="AD7185"/>
    </row>
    <row r="7186" spans="30:30" x14ac:dyDescent="0.25">
      <c r="AD7186"/>
    </row>
    <row r="7187" spans="30:30" x14ac:dyDescent="0.25">
      <c r="AD7187"/>
    </row>
    <row r="7188" spans="30:30" x14ac:dyDescent="0.25">
      <c r="AD7188"/>
    </row>
    <row r="7189" spans="30:30" x14ac:dyDescent="0.25">
      <c r="AD7189"/>
    </row>
    <row r="7190" spans="30:30" x14ac:dyDescent="0.25">
      <c r="AD7190"/>
    </row>
    <row r="7191" spans="30:30" x14ac:dyDescent="0.25">
      <c r="AD7191"/>
    </row>
    <row r="7192" spans="30:30" x14ac:dyDescent="0.25">
      <c r="AD7192"/>
    </row>
    <row r="7193" spans="30:30" x14ac:dyDescent="0.25">
      <c r="AD7193"/>
    </row>
    <row r="7194" spans="30:30" x14ac:dyDescent="0.25">
      <c r="AD7194"/>
    </row>
    <row r="7195" spans="30:30" x14ac:dyDescent="0.25">
      <c r="AD7195"/>
    </row>
    <row r="7196" spans="30:30" x14ac:dyDescent="0.25">
      <c r="AD7196"/>
    </row>
    <row r="7197" spans="30:30" x14ac:dyDescent="0.25">
      <c r="AD7197"/>
    </row>
    <row r="7198" spans="30:30" x14ac:dyDescent="0.25">
      <c r="AD7198"/>
    </row>
    <row r="7199" spans="30:30" x14ac:dyDescent="0.25">
      <c r="AD7199"/>
    </row>
    <row r="7200" spans="30:30" x14ac:dyDescent="0.25">
      <c r="AD7200"/>
    </row>
    <row r="7201" spans="30:30" x14ac:dyDescent="0.25">
      <c r="AD7201"/>
    </row>
    <row r="7202" spans="30:30" x14ac:dyDescent="0.25">
      <c r="AD7202"/>
    </row>
    <row r="7203" spans="30:30" x14ac:dyDescent="0.25">
      <c r="AD7203"/>
    </row>
    <row r="7204" spans="30:30" x14ac:dyDescent="0.25">
      <c r="AD7204"/>
    </row>
    <row r="7205" spans="30:30" x14ac:dyDescent="0.25">
      <c r="AD7205"/>
    </row>
    <row r="7206" spans="30:30" x14ac:dyDescent="0.25">
      <c r="AD7206"/>
    </row>
    <row r="7207" spans="30:30" x14ac:dyDescent="0.25">
      <c r="AD7207"/>
    </row>
    <row r="7208" spans="30:30" x14ac:dyDescent="0.25">
      <c r="AD7208"/>
    </row>
    <row r="7209" spans="30:30" x14ac:dyDescent="0.25">
      <c r="AD7209"/>
    </row>
    <row r="7210" spans="30:30" x14ac:dyDescent="0.25">
      <c r="AD7210"/>
    </row>
    <row r="7211" spans="30:30" x14ac:dyDescent="0.25">
      <c r="AD7211"/>
    </row>
    <row r="7212" spans="30:30" x14ac:dyDescent="0.25">
      <c r="AD7212"/>
    </row>
    <row r="7213" spans="30:30" x14ac:dyDescent="0.25">
      <c r="AD7213"/>
    </row>
    <row r="7214" spans="30:30" x14ac:dyDescent="0.25">
      <c r="AD7214"/>
    </row>
    <row r="7215" spans="30:30" x14ac:dyDescent="0.25">
      <c r="AD7215"/>
    </row>
    <row r="7216" spans="30:30" x14ac:dyDescent="0.25">
      <c r="AD7216"/>
    </row>
    <row r="7217" spans="30:30" x14ac:dyDescent="0.25">
      <c r="AD7217"/>
    </row>
    <row r="7218" spans="30:30" x14ac:dyDescent="0.25">
      <c r="AD7218"/>
    </row>
    <row r="7219" spans="30:30" x14ac:dyDescent="0.25">
      <c r="AD7219"/>
    </row>
    <row r="7220" spans="30:30" x14ac:dyDescent="0.25">
      <c r="AD7220"/>
    </row>
    <row r="7221" spans="30:30" x14ac:dyDescent="0.25">
      <c r="AD7221"/>
    </row>
    <row r="7222" spans="30:30" x14ac:dyDescent="0.25">
      <c r="AD7222"/>
    </row>
    <row r="7223" spans="30:30" x14ac:dyDescent="0.25">
      <c r="AD7223"/>
    </row>
    <row r="7224" spans="30:30" x14ac:dyDescent="0.25">
      <c r="AD7224"/>
    </row>
    <row r="7225" spans="30:30" x14ac:dyDescent="0.25">
      <c r="AD7225"/>
    </row>
    <row r="7226" spans="30:30" x14ac:dyDescent="0.25">
      <c r="AD7226"/>
    </row>
    <row r="7227" spans="30:30" x14ac:dyDescent="0.25">
      <c r="AD7227"/>
    </row>
    <row r="7228" spans="30:30" x14ac:dyDescent="0.25">
      <c r="AD7228"/>
    </row>
    <row r="7229" spans="30:30" x14ac:dyDescent="0.25">
      <c r="AD7229"/>
    </row>
    <row r="7230" spans="30:30" x14ac:dyDescent="0.25">
      <c r="AD7230"/>
    </row>
    <row r="7231" spans="30:30" x14ac:dyDescent="0.25">
      <c r="AD7231"/>
    </row>
    <row r="7232" spans="30:30" x14ac:dyDescent="0.25">
      <c r="AD7232"/>
    </row>
    <row r="7233" spans="30:30" x14ac:dyDescent="0.25">
      <c r="AD7233"/>
    </row>
    <row r="7234" spans="30:30" x14ac:dyDescent="0.25">
      <c r="AD7234"/>
    </row>
    <row r="7235" spans="30:30" x14ac:dyDescent="0.25">
      <c r="AD7235"/>
    </row>
    <row r="7236" spans="30:30" x14ac:dyDescent="0.25">
      <c r="AD7236"/>
    </row>
    <row r="7237" spans="30:30" x14ac:dyDescent="0.25">
      <c r="AD7237"/>
    </row>
    <row r="7238" spans="30:30" x14ac:dyDescent="0.25">
      <c r="AD7238"/>
    </row>
    <row r="7239" spans="30:30" x14ac:dyDescent="0.25">
      <c r="AD7239"/>
    </row>
    <row r="7240" spans="30:30" x14ac:dyDescent="0.25">
      <c r="AD7240"/>
    </row>
    <row r="7241" spans="30:30" x14ac:dyDescent="0.25">
      <c r="AD7241"/>
    </row>
    <row r="7242" spans="30:30" x14ac:dyDescent="0.25">
      <c r="AD7242"/>
    </row>
    <row r="7243" spans="30:30" x14ac:dyDescent="0.25">
      <c r="AD7243"/>
    </row>
    <row r="7244" spans="30:30" x14ac:dyDescent="0.25">
      <c r="AD7244"/>
    </row>
    <row r="7245" spans="30:30" x14ac:dyDescent="0.25">
      <c r="AD7245"/>
    </row>
    <row r="7246" spans="30:30" x14ac:dyDescent="0.25">
      <c r="AD7246"/>
    </row>
    <row r="7247" spans="30:30" x14ac:dyDescent="0.25">
      <c r="AD7247"/>
    </row>
    <row r="7248" spans="30:30" x14ac:dyDescent="0.25">
      <c r="AD7248"/>
    </row>
    <row r="7249" spans="30:30" x14ac:dyDescent="0.25">
      <c r="AD7249"/>
    </row>
    <row r="7250" spans="30:30" x14ac:dyDescent="0.25">
      <c r="AD7250"/>
    </row>
    <row r="7251" spans="30:30" x14ac:dyDescent="0.25">
      <c r="AD7251"/>
    </row>
    <row r="7252" spans="30:30" x14ac:dyDescent="0.25">
      <c r="AD7252"/>
    </row>
    <row r="7253" spans="30:30" x14ac:dyDescent="0.25">
      <c r="AD7253"/>
    </row>
    <row r="7254" spans="30:30" x14ac:dyDescent="0.25">
      <c r="AD7254"/>
    </row>
    <row r="7255" spans="30:30" x14ac:dyDescent="0.25">
      <c r="AD7255"/>
    </row>
    <row r="7256" spans="30:30" x14ac:dyDescent="0.25">
      <c r="AD7256"/>
    </row>
    <row r="7257" spans="30:30" x14ac:dyDescent="0.25">
      <c r="AD7257"/>
    </row>
    <row r="7258" spans="30:30" x14ac:dyDescent="0.25">
      <c r="AD7258"/>
    </row>
    <row r="7259" spans="30:30" x14ac:dyDescent="0.25">
      <c r="AD7259"/>
    </row>
    <row r="7260" spans="30:30" x14ac:dyDescent="0.25">
      <c r="AD7260"/>
    </row>
    <row r="7261" spans="30:30" x14ac:dyDescent="0.25">
      <c r="AD7261"/>
    </row>
    <row r="7262" spans="30:30" x14ac:dyDescent="0.25">
      <c r="AD7262"/>
    </row>
    <row r="7263" spans="30:30" x14ac:dyDescent="0.25">
      <c r="AD7263"/>
    </row>
    <row r="7264" spans="30:30" x14ac:dyDescent="0.25">
      <c r="AD7264"/>
    </row>
    <row r="7265" spans="30:30" x14ac:dyDescent="0.25">
      <c r="AD7265"/>
    </row>
    <row r="7266" spans="30:30" x14ac:dyDescent="0.25">
      <c r="AD7266"/>
    </row>
    <row r="7267" spans="30:30" x14ac:dyDescent="0.25">
      <c r="AD7267"/>
    </row>
    <row r="7268" spans="30:30" x14ac:dyDescent="0.25">
      <c r="AD7268"/>
    </row>
    <row r="7269" spans="30:30" x14ac:dyDescent="0.25">
      <c r="AD7269"/>
    </row>
    <row r="7270" spans="30:30" x14ac:dyDescent="0.25">
      <c r="AD7270"/>
    </row>
    <row r="7271" spans="30:30" x14ac:dyDescent="0.25">
      <c r="AD7271"/>
    </row>
    <row r="7272" spans="30:30" x14ac:dyDescent="0.25">
      <c r="AD7272"/>
    </row>
    <row r="7273" spans="30:30" x14ac:dyDescent="0.25">
      <c r="AD7273"/>
    </row>
    <row r="7274" spans="30:30" x14ac:dyDescent="0.25">
      <c r="AD7274"/>
    </row>
    <row r="7275" spans="30:30" x14ac:dyDescent="0.25">
      <c r="AD7275"/>
    </row>
    <row r="7276" spans="30:30" x14ac:dyDescent="0.25">
      <c r="AD7276"/>
    </row>
    <row r="7277" spans="30:30" x14ac:dyDescent="0.25">
      <c r="AD7277"/>
    </row>
    <row r="7278" spans="30:30" x14ac:dyDescent="0.25">
      <c r="AD7278"/>
    </row>
    <row r="7279" spans="30:30" x14ac:dyDescent="0.25">
      <c r="AD7279"/>
    </row>
    <row r="7280" spans="30:30" x14ac:dyDescent="0.25">
      <c r="AD7280"/>
    </row>
    <row r="7281" spans="30:30" x14ac:dyDescent="0.25">
      <c r="AD7281"/>
    </row>
    <row r="7282" spans="30:30" x14ac:dyDescent="0.25">
      <c r="AD7282"/>
    </row>
    <row r="7283" spans="30:30" x14ac:dyDescent="0.25">
      <c r="AD7283"/>
    </row>
    <row r="7284" spans="30:30" x14ac:dyDescent="0.25">
      <c r="AD7284"/>
    </row>
    <row r="7285" spans="30:30" x14ac:dyDescent="0.25">
      <c r="AD7285"/>
    </row>
    <row r="7286" spans="30:30" x14ac:dyDescent="0.25">
      <c r="AD7286"/>
    </row>
    <row r="7287" spans="30:30" x14ac:dyDescent="0.25">
      <c r="AD7287"/>
    </row>
    <row r="7288" spans="30:30" x14ac:dyDescent="0.25">
      <c r="AD7288"/>
    </row>
    <row r="7289" spans="30:30" x14ac:dyDescent="0.25">
      <c r="AD7289"/>
    </row>
    <row r="7290" spans="30:30" x14ac:dyDescent="0.25">
      <c r="AD7290"/>
    </row>
    <row r="7291" spans="30:30" x14ac:dyDescent="0.25">
      <c r="AD7291"/>
    </row>
    <row r="7292" spans="30:30" x14ac:dyDescent="0.25">
      <c r="AD7292"/>
    </row>
    <row r="7293" spans="30:30" x14ac:dyDescent="0.25">
      <c r="AD7293"/>
    </row>
    <row r="7294" spans="30:30" x14ac:dyDescent="0.25">
      <c r="AD7294"/>
    </row>
    <row r="7295" spans="30:30" x14ac:dyDescent="0.25">
      <c r="AD7295"/>
    </row>
    <row r="7296" spans="30:30" x14ac:dyDescent="0.25">
      <c r="AD7296"/>
    </row>
    <row r="7297" spans="30:30" x14ac:dyDescent="0.25">
      <c r="AD7297"/>
    </row>
    <row r="7298" spans="30:30" x14ac:dyDescent="0.25">
      <c r="AD7298"/>
    </row>
    <row r="7299" spans="30:30" x14ac:dyDescent="0.25">
      <c r="AD7299"/>
    </row>
    <row r="7300" spans="30:30" x14ac:dyDescent="0.25">
      <c r="AD7300"/>
    </row>
    <row r="7301" spans="30:30" x14ac:dyDescent="0.25">
      <c r="AD7301"/>
    </row>
    <row r="7302" spans="30:30" x14ac:dyDescent="0.25">
      <c r="AD7302"/>
    </row>
    <row r="7303" spans="30:30" x14ac:dyDescent="0.25">
      <c r="AD7303"/>
    </row>
    <row r="7304" spans="30:30" x14ac:dyDescent="0.25">
      <c r="AD7304"/>
    </row>
    <row r="7305" spans="30:30" x14ac:dyDescent="0.25">
      <c r="AD7305"/>
    </row>
    <row r="7306" spans="30:30" x14ac:dyDescent="0.25">
      <c r="AD7306"/>
    </row>
    <row r="7307" spans="30:30" x14ac:dyDescent="0.25">
      <c r="AD7307"/>
    </row>
    <row r="7308" spans="30:30" x14ac:dyDescent="0.25">
      <c r="AD7308"/>
    </row>
    <row r="7309" spans="30:30" x14ac:dyDescent="0.25">
      <c r="AD7309"/>
    </row>
    <row r="7310" spans="30:30" x14ac:dyDescent="0.25">
      <c r="AD7310"/>
    </row>
    <row r="7311" spans="30:30" x14ac:dyDescent="0.25">
      <c r="AD7311"/>
    </row>
    <row r="7312" spans="30:30" x14ac:dyDescent="0.25">
      <c r="AD7312"/>
    </row>
    <row r="7313" spans="30:30" x14ac:dyDescent="0.25">
      <c r="AD7313"/>
    </row>
    <row r="7314" spans="30:30" x14ac:dyDescent="0.25">
      <c r="AD7314"/>
    </row>
    <row r="7315" spans="30:30" x14ac:dyDescent="0.25">
      <c r="AD7315"/>
    </row>
    <row r="7316" spans="30:30" x14ac:dyDescent="0.25">
      <c r="AD7316"/>
    </row>
    <row r="7317" spans="30:30" x14ac:dyDescent="0.25">
      <c r="AD7317"/>
    </row>
    <row r="7318" spans="30:30" x14ac:dyDescent="0.25">
      <c r="AD7318"/>
    </row>
    <row r="7319" spans="30:30" x14ac:dyDescent="0.25">
      <c r="AD7319"/>
    </row>
    <row r="7320" spans="30:30" x14ac:dyDescent="0.25">
      <c r="AD7320"/>
    </row>
    <row r="7321" spans="30:30" x14ac:dyDescent="0.25">
      <c r="AD7321"/>
    </row>
    <row r="7322" spans="30:30" x14ac:dyDescent="0.25">
      <c r="AD7322"/>
    </row>
    <row r="7323" spans="30:30" x14ac:dyDescent="0.25">
      <c r="AD7323"/>
    </row>
    <row r="7324" spans="30:30" x14ac:dyDescent="0.25">
      <c r="AD7324"/>
    </row>
    <row r="7325" spans="30:30" x14ac:dyDescent="0.25">
      <c r="AD7325"/>
    </row>
    <row r="7326" spans="30:30" x14ac:dyDescent="0.25">
      <c r="AD7326"/>
    </row>
    <row r="7327" spans="30:30" x14ac:dyDescent="0.25">
      <c r="AD7327"/>
    </row>
    <row r="7328" spans="30:30" x14ac:dyDescent="0.25">
      <c r="AD7328"/>
    </row>
    <row r="7329" spans="30:30" x14ac:dyDescent="0.25">
      <c r="AD7329"/>
    </row>
    <row r="7330" spans="30:30" x14ac:dyDescent="0.25">
      <c r="AD7330"/>
    </row>
    <row r="7331" spans="30:30" x14ac:dyDescent="0.25">
      <c r="AD7331"/>
    </row>
    <row r="7332" spans="30:30" x14ac:dyDescent="0.25">
      <c r="AD7332"/>
    </row>
    <row r="7333" spans="30:30" x14ac:dyDescent="0.25">
      <c r="AD7333"/>
    </row>
    <row r="7334" spans="30:30" x14ac:dyDescent="0.25">
      <c r="AD7334"/>
    </row>
    <row r="7335" spans="30:30" x14ac:dyDescent="0.25">
      <c r="AD7335"/>
    </row>
    <row r="7336" spans="30:30" x14ac:dyDescent="0.25">
      <c r="AD7336"/>
    </row>
    <row r="7337" spans="30:30" x14ac:dyDescent="0.25">
      <c r="AD7337"/>
    </row>
    <row r="7338" spans="30:30" x14ac:dyDescent="0.25">
      <c r="AD7338"/>
    </row>
    <row r="7339" spans="30:30" x14ac:dyDescent="0.25">
      <c r="AD7339"/>
    </row>
    <row r="7340" spans="30:30" x14ac:dyDescent="0.25">
      <c r="AD7340"/>
    </row>
    <row r="7341" spans="30:30" x14ac:dyDescent="0.25">
      <c r="AD7341"/>
    </row>
    <row r="7342" spans="30:30" x14ac:dyDescent="0.25">
      <c r="AD7342"/>
    </row>
    <row r="7343" spans="30:30" x14ac:dyDescent="0.25">
      <c r="AD7343"/>
    </row>
    <row r="7344" spans="30:30" x14ac:dyDescent="0.25">
      <c r="AD7344"/>
    </row>
    <row r="7345" spans="30:30" x14ac:dyDescent="0.25">
      <c r="AD7345"/>
    </row>
    <row r="7346" spans="30:30" x14ac:dyDescent="0.25">
      <c r="AD7346"/>
    </row>
    <row r="7347" spans="30:30" x14ac:dyDescent="0.25">
      <c r="AD7347"/>
    </row>
    <row r="7348" spans="30:30" x14ac:dyDescent="0.25">
      <c r="AD7348"/>
    </row>
    <row r="7349" spans="30:30" x14ac:dyDescent="0.25">
      <c r="AD7349"/>
    </row>
    <row r="7350" spans="30:30" x14ac:dyDescent="0.25">
      <c r="AD7350"/>
    </row>
    <row r="7351" spans="30:30" x14ac:dyDescent="0.25">
      <c r="AD7351"/>
    </row>
    <row r="7352" spans="30:30" x14ac:dyDescent="0.25">
      <c r="AD7352"/>
    </row>
    <row r="7353" spans="30:30" x14ac:dyDescent="0.25">
      <c r="AD7353"/>
    </row>
    <row r="7354" spans="30:30" x14ac:dyDescent="0.25">
      <c r="AD7354"/>
    </row>
    <row r="7355" spans="30:30" x14ac:dyDescent="0.25">
      <c r="AD7355"/>
    </row>
    <row r="7356" spans="30:30" x14ac:dyDescent="0.25">
      <c r="AD7356"/>
    </row>
    <row r="7357" spans="30:30" x14ac:dyDescent="0.25">
      <c r="AD7357"/>
    </row>
    <row r="7358" spans="30:30" x14ac:dyDescent="0.25">
      <c r="AD7358"/>
    </row>
    <row r="7359" spans="30:30" x14ac:dyDescent="0.25">
      <c r="AD7359"/>
    </row>
    <row r="7360" spans="30:30" x14ac:dyDescent="0.25">
      <c r="AD7360"/>
    </row>
    <row r="7361" spans="30:30" x14ac:dyDescent="0.25">
      <c r="AD7361"/>
    </row>
    <row r="7362" spans="30:30" x14ac:dyDescent="0.25">
      <c r="AD7362"/>
    </row>
    <row r="7363" spans="30:30" x14ac:dyDescent="0.25">
      <c r="AD7363"/>
    </row>
    <row r="7364" spans="30:30" x14ac:dyDescent="0.25">
      <c r="AD7364"/>
    </row>
    <row r="7365" spans="30:30" x14ac:dyDescent="0.25">
      <c r="AD7365"/>
    </row>
    <row r="7366" spans="30:30" x14ac:dyDescent="0.25">
      <c r="AD7366"/>
    </row>
    <row r="7367" spans="30:30" x14ac:dyDescent="0.25">
      <c r="AD7367"/>
    </row>
    <row r="7368" spans="30:30" x14ac:dyDescent="0.25">
      <c r="AD7368"/>
    </row>
    <row r="7369" spans="30:30" x14ac:dyDescent="0.25">
      <c r="AD7369"/>
    </row>
    <row r="7370" spans="30:30" x14ac:dyDescent="0.25">
      <c r="AD7370"/>
    </row>
    <row r="7371" spans="30:30" x14ac:dyDescent="0.25">
      <c r="AD7371"/>
    </row>
    <row r="7372" spans="30:30" x14ac:dyDescent="0.25">
      <c r="AD7372"/>
    </row>
    <row r="7373" spans="30:30" x14ac:dyDescent="0.25">
      <c r="AD7373"/>
    </row>
    <row r="7374" spans="30:30" x14ac:dyDescent="0.25">
      <c r="AD7374"/>
    </row>
    <row r="7375" spans="30:30" x14ac:dyDescent="0.25">
      <c r="AD7375"/>
    </row>
    <row r="7376" spans="30:30" x14ac:dyDescent="0.25">
      <c r="AD7376"/>
    </row>
    <row r="7377" spans="30:30" x14ac:dyDescent="0.25">
      <c r="AD7377"/>
    </row>
    <row r="7378" spans="30:30" x14ac:dyDescent="0.25">
      <c r="AD7378"/>
    </row>
    <row r="7379" spans="30:30" x14ac:dyDescent="0.25">
      <c r="AD7379"/>
    </row>
    <row r="7380" spans="30:30" x14ac:dyDescent="0.25">
      <c r="AD7380"/>
    </row>
    <row r="7381" spans="30:30" x14ac:dyDescent="0.25">
      <c r="AD7381"/>
    </row>
    <row r="7382" spans="30:30" x14ac:dyDescent="0.25">
      <c r="AD7382"/>
    </row>
    <row r="7383" spans="30:30" x14ac:dyDescent="0.25">
      <c r="AD7383"/>
    </row>
    <row r="7384" spans="30:30" x14ac:dyDescent="0.25">
      <c r="AD7384"/>
    </row>
    <row r="7385" spans="30:30" x14ac:dyDescent="0.25">
      <c r="AD7385"/>
    </row>
    <row r="7386" spans="30:30" x14ac:dyDescent="0.25">
      <c r="AD7386"/>
    </row>
    <row r="7387" spans="30:30" x14ac:dyDescent="0.25">
      <c r="AD7387"/>
    </row>
    <row r="7388" spans="30:30" x14ac:dyDescent="0.25">
      <c r="AD7388"/>
    </row>
    <row r="7389" spans="30:30" x14ac:dyDescent="0.25">
      <c r="AD7389"/>
    </row>
    <row r="7390" spans="30:30" x14ac:dyDescent="0.25">
      <c r="AD7390"/>
    </row>
    <row r="7391" spans="30:30" x14ac:dyDescent="0.25">
      <c r="AD7391"/>
    </row>
    <row r="7392" spans="30:30" x14ac:dyDescent="0.25">
      <c r="AD7392"/>
    </row>
    <row r="7393" spans="30:30" x14ac:dyDescent="0.25">
      <c r="AD7393"/>
    </row>
    <row r="7394" spans="30:30" x14ac:dyDescent="0.25">
      <c r="AD7394"/>
    </row>
    <row r="7395" spans="30:30" x14ac:dyDescent="0.25">
      <c r="AD7395"/>
    </row>
    <row r="7396" spans="30:30" x14ac:dyDescent="0.25">
      <c r="AD7396"/>
    </row>
    <row r="7397" spans="30:30" x14ac:dyDescent="0.25">
      <c r="AD7397"/>
    </row>
    <row r="7398" spans="30:30" x14ac:dyDescent="0.25">
      <c r="AD7398"/>
    </row>
    <row r="7399" spans="30:30" x14ac:dyDescent="0.25">
      <c r="AD7399"/>
    </row>
    <row r="7400" spans="30:30" x14ac:dyDescent="0.25">
      <c r="AD7400"/>
    </row>
    <row r="7401" spans="30:30" x14ac:dyDescent="0.25">
      <c r="AD7401"/>
    </row>
    <row r="7402" spans="30:30" x14ac:dyDescent="0.25">
      <c r="AD7402"/>
    </row>
    <row r="7403" spans="30:30" x14ac:dyDescent="0.25">
      <c r="AD7403"/>
    </row>
    <row r="7404" spans="30:30" x14ac:dyDescent="0.25">
      <c r="AD7404"/>
    </row>
    <row r="7405" spans="30:30" x14ac:dyDescent="0.25">
      <c r="AD7405"/>
    </row>
    <row r="7406" spans="30:30" x14ac:dyDescent="0.25">
      <c r="AD7406"/>
    </row>
    <row r="7407" spans="30:30" x14ac:dyDescent="0.25">
      <c r="AD7407"/>
    </row>
    <row r="7408" spans="30:30" x14ac:dyDescent="0.25">
      <c r="AD7408"/>
    </row>
    <row r="7409" spans="30:30" x14ac:dyDescent="0.25">
      <c r="AD7409"/>
    </row>
    <row r="7410" spans="30:30" x14ac:dyDescent="0.25">
      <c r="AD7410"/>
    </row>
    <row r="7411" spans="30:30" x14ac:dyDescent="0.25">
      <c r="AD7411"/>
    </row>
    <row r="7412" spans="30:30" x14ac:dyDescent="0.25">
      <c r="AD7412"/>
    </row>
    <row r="7413" spans="30:30" x14ac:dyDescent="0.25">
      <c r="AD7413"/>
    </row>
    <row r="7414" spans="30:30" x14ac:dyDescent="0.25">
      <c r="AD7414"/>
    </row>
    <row r="7415" spans="30:30" x14ac:dyDescent="0.25">
      <c r="AD7415"/>
    </row>
    <row r="7416" spans="30:30" x14ac:dyDescent="0.25">
      <c r="AD7416"/>
    </row>
    <row r="7417" spans="30:30" x14ac:dyDescent="0.25">
      <c r="AD7417"/>
    </row>
    <row r="7418" spans="30:30" x14ac:dyDescent="0.25">
      <c r="AD7418"/>
    </row>
    <row r="7419" spans="30:30" x14ac:dyDescent="0.25">
      <c r="AD7419"/>
    </row>
    <row r="7420" spans="30:30" x14ac:dyDescent="0.25">
      <c r="AD7420"/>
    </row>
    <row r="7421" spans="30:30" x14ac:dyDescent="0.25">
      <c r="AD7421"/>
    </row>
    <row r="7422" spans="30:30" x14ac:dyDescent="0.25">
      <c r="AD7422"/>
    </row>
    <row r="7423" spans="30:30" x14ac:dyDescent="0.25">
      <c r="AD7423"/>
    </row>
    <row r="7424" spans="30:30" x14ac:dyDescent="0.25">
      <c r="AD7424"/>
    </row>
    <row r="7425" spans="30:30" x14ac:dyDescent="0.25">
      <c r="AD7425"/>
    </row>
    <row r="7426" spans="30:30" x14ac:dyDescent="0.25">
      <c r="AD7426"/>
    </row>
    <row r="7427" spans="30:30" x14ac:dyDescent="0.25">
      <c r="AD7427"/>
    </row>
    <row r="7428" spans="30:30" x14ac:dyDescent="0.25">
      <c r="AD7428"/>
    </row>
    <row r="7429" spans="30:30" x14ac:dyDescent="0.25">
      <c r="AD7429"/>
    </row>
    <row r="7430" spans="30:30" x14ac:dyDescent="0.25">
      <c r="AD7430"/>
    </row>
    <row r="7431" spans="30:30" x14ac:dyDescent="0.25">
      <c r="AD7431"/>
    </row>
    <row r="7432" spans="30:30" x14ac:dyDescent="0.25">
      <c r="AD7432"/>
    </row>
    <row r="7433" spans="30:30" x14ac:dyDescent="0.25">
      <c r="AD7433"/>
    </row>
    <row r="7434" spans="30:30" x14ac:dyDescent="0.25">
      <c r="AD7434"/>
    </row>
    <row r="7435" spans="30:30" x14ac:dyDescent="0.25">
      <c r="AD7435"/>
    </row>
    <row r="7436" spans="30:30" x14ac:dyDescent="0.25">
      <c r="AD7436"/>
    </row>
    <row r="7437" spans="30:30" x14ac:dyDescent="0.25">
      <c r="AD7437"/>
    </row>
    <row r="7438" spans="30:30" x14ac:dyDescent="0.25">
      <c r="AD7438"/>
    </row>
    <row r="7439" spans="30:30" x14ac:dyDescent="0.25">
      <c r="AD7439"/>
    </row>
    <row r="7440" spans="30:30" x14ac:dyDescent="0.25">
      <c r="AD7440"/>
    </row>
    <row r="7441" spans="30:30" x14ac:dyDescent="0.25">
      <c r="AD7441"/>
    </row>
    <row r="7442" spans="30:30" x14ac:dyDescent="0.25">
      <c r="AD7442"/>
    </row>
    <row r="7443" spans="30:30" x14ac:dyDescent="0.25">
      <c r="AD7443"/>
    </row>
    <row r="7444" spans="30:30" x14ac:dyDescent="0.25">
      <c r="AD7444"/>
    </row>
    <row r="7445" spans="30:30" x14ac:dyDescent="0.25">
      <c r="AD7445"/>
    </row>
    <row r="7446" spans="30:30" x14ac:dyDescent="0.25">
      <c r="AD7446"/>
    </row>
    <row r="7447" spans="30:30" x14ac:dyDescent="0.25">
      <c r="AD7447"/>
    </row>
    <row r="7448" spans="30:30" x14ac:dyDescent="0.25">
      <c r="AD7448"/>
    </row>
    <row r="7449" spans="30:30" x14ac:dyDescent="0.25">
      <c r="AD7449"/>
    </row>
    <row r="7450" spans="30:30" x14ac:dyDescent="0.25">
      <c r="AD7450"/>
    </row>
    <row r="7451" spans="30:30" x14ac:dyDescent="0.25">
      <c r="AD7451"/>
    </row>
    <row r="7452" spans="30:30" x14ac:dyDescent="0.25">
      <c r="AD7452"/>
    </row>
    <row r="7453" spans="30:30" x14ac:dyDescent="0.25">
      <c r="AD7453"/>
    </row>
    <row r="7454" spans="30:30" x14ac:dyDescent="0.25">
      <c r="AD7454"/>
    </row>
    <row r="7455" spans="30:30" x14ac:dyDescent="0.25">
      <c r="AD7455"/>
    </row>
    <row r="7456" spans="30:30" x14ac:dyDescent="0.25">
      <c r="AD7456"/>
    </row>
    <row r="7457" spans="30:30" x14ac:dyDescent="0.25">
      <c r="AD7457"/>
    </row>
    <row r="7458" spans="30:30" x14ac:dyDescent="0.25">
      <c r="AD7458"/>
    </row>
    <row r="7459" spans="30:30" x14ac:dyDescent="0.25">
      <c r="AD7459"/>
    </row>
    <row r="7460" spans="30:30" x14ac:dyDescent="0.25">
      <c r="AD7460"/>
    </row>
    <row r="7461" spans="30:30" x14ac:dyDescent="0.25">
      <c r="AD7461"/>
    </row>
    <row r="7462" spans="30:30" x14ac:dyDescent="0.25">
      <c r="AD7462"/>
    </row>
    <row r="7463" spans="30:30" x14ac:dyDescent="0.25">
      <c r="AD7463"/>
    </row>
    <row r="7464" spans="30:30" x14ac:dyDescent="0.25">
      <c r="AD7464"/>
    </row>
    <row r="7465" spans="30:30" x14ac:dyDescent="0.25">
      <c r="AD7465"/>
    </row>
    <row r="7466" spans="30:30" x14ac:dyDescent="0.25">
      <c r="AD7466"/>
    </row>
    <row r="7467" spans="30:30" x14ac:dyDescent="0.25">
      <c r="AD7467"/>
    </row>
    <row r="7468" spans="30:30" x14ac:dyDescent="0.25">
      <c r="AD7468"/>
    </row>
    <row r="7469" spans="30:30" x14ac:dyDescent="0.25">
      <c r="AD7469"/>
    </row>
    <row r="7470" spans="30:30" x14ac:dyDescent="0.25">
      <c r="AD7470"/>
    </row>
    <row r="7471" spans="30:30" x14ac:dyDescent="0.25">
      <c r="AD7471"/>
    </row>
    <row r="7472" spans="30:30" x14ac:dyDescent="0.25">
      <c r="AD7472"/>
    </row>
    <row r="7473" spans="30:30" x14ac:dyDescent="0.25">
      <c r="AD7473"/>
    </row>
    <row r="7474" spans="30:30" x14ac:dyDescent="0.25">
      <c r="AD7474"/>
    </row>
    <row r="7475" spans="30:30" x14ac:dyDescent="0.25">
      <c r="AD7475"/>
    </row>
    <row r="7476" spans="30:30" x14ac:dyDescent="0.25">
      <c r="AD7476"/>
    </row>
    <row r="7477" spans="30:30" x14ac:dyDescent="0.25">
      <c r="AD7477"/>
    </row>
    <row r="7478" spans="30:30" x14ac:dyDescent="0.25">
      <c r="AD7478"/>
    </row>
    <row r="7479" spans="30:30" x14ac:dyDescent="0.25">
      <c r="AD7479"/>
    </row>
    <row r="7480" spans="30:30" x14ac:dyDescent="0.25">
      <c r="AD7480"/>
    </row>
    <row r="7481" spans="30:30" x14ac:dyDescent="0.25">
      <c r="AD7481"/>
    </row>
    <row r="7482" spans="30:30" x14ac:dyDescent="0.25">
      <c r="AD7482"/>
    </row>
    <row r="7483" spans="30:30" x14ac:dyDescent="0.25">
      <c r="AD7483"/>
    </row>
    <row r="7484" spans="30:30" x14ac:dyDescent="0.25">
      <c r="AD7484"/>
    </row>
    <row r="7485" spans="30:30" x14ac:dyDescent="0.25">
      <c r="AD7485"/>
    </row>
    <row r="7486" spans="30:30" x14ac:dyDescent="0.25">
      <c r="AD7486"/>
    </row>
    <row r="7487" spans="30:30" x14ac:dyDescent="0.25">
      <c r="AD7487"/>
    </row>
    <row r="7488" spans="30:30" x14ac:dyDescent="0.25">
      <c r="AD7488"/>
    </row>
    <row r="7489" spans="30:30" x14ac:dyDescent="0.25">
      <c r="AD7489"/>
    </row>
    <row r="7490" spans="30:30" x14ac:dyDescent="0.25">
      <c r="AD7490"/>
    </row>
    <row r="7491" spans="30:30" x14ac:dyDescent="0.25">
      <c r="AD7491"/>
    </row>
    <row r="7492" spans="30:30" x14ac:dyDescent="0.25">
      <c r="AD7492"/>
    </row>
    <row r="7493" spans="30:30" x14ac:dyDescent="0.25">
      <c r="AD7493"/>
    </row>
    <row r="7494" spans="30:30" x14ac:dyDescent="0.25">
      <c r="AD7494"/>
    </row>
    <row r="7495" spans="30:30" x14ac:dyDescent="0.25">
      <c r="AD7495"/>
    </row>
    <row r="7496" spans="30:30" x14ac:dyDescent="0.25">
      <c r="AD7496"/>
    </row>
    <row r="7497" spans="30:30" x14ac:dyDescent="0.25">
      <c r="AD7497"/>
    </row>
    <row r="7498" spans="30:30" x14ac:dyDescent="0.25">
      <c r="AD7498"/>
    </row>
    <row r="7499" spans="30:30" x14ac:dyDescent="0.25">
      <c r="AD7499"/>
    </row>
    <row r="7500" spans="30:30" x14ac:dyDescent="0.25">
      <c r="AD7500"/>
    </row>
    <row r="7501" spans="30:30" x14ac:dyDescent="0.25">
      <c r="AD7501"/>
    </row>
    <row r="7502" spans="30:30" x14ac:dyDescent="0.25">
      <c r="AD7502"/>
    </row>
    <row r="7503" spans="30:30" x14ac:dyDescent="0.25">
      <c r="AD7503"/>
    </row>
    <row r="7504" spans="30:30" x14ac:dyDescent="0.25">
      <c r="AD7504"/>
    </row>
    <row r="7505" spans="30:30" x14ac:dyDescent="0.25">
      <c r="AD7505"/>
    </row>
    <row r="7506" spans="30:30" x14ac:dyDescent="0.25">
      <c r="AD7506"/>
    </row>
    <row r="7507" spans="30:30" x14ac:dyDescent="0.25">
      <c r="AD7507"/>
    </row>
    <row r="7508" spans="30:30" x14ac:dyDescent="0.25">
      <c r="AD7508"/>
    </row>
    <row r="7509" spans="30:30" x14ac:dyDescent="0.25">
      <c r="AD7509"/>
    </row>
    <row r="7510" spans="30:30" x14ac:dyDescent="0.25">
      <c r="AD7510"/>
    </row>
    <row r="7511" spans="30:30" x14ac:dyDescent="0.25">
      <c r="AD7511"/>
    </row>
    <row r="7512" spans="30:30" x14ac:dyDescent="0.25">
      <c r="AD7512"/>
    </row>
    <row r="7513" spans="30:30" x14ac:dyDescent="0.25">
      <c r="AD7513"/>
    </row>
    <row r="7514" spans="30:30" x14ac:dyDescent="0.25">
      <c r="AD7514"/>
    </row>
    <row r="7515" spans="30:30" x14ac:dyDescent="0.25">
      <c r="AD7515"/>
    </row>
    <row r="7516" spans="30:30" x14ac:dyDescent="0.25">
      <c r="AD7516"/>
    </row>
    <row r="7517" spans="30:30" x14ac:dyDescent="0.25">
      <c r="AD7517"/>
    </row>
    <row r="7518" spans="30:30" x14ac:dyDescent="0.25">
      <c r="AD7518"/>
    </row>
    <row r="7519" spans="30:30" x14ac:dyDescent="0.25">
      <c r="AD7519"/>
    </row>
    <row r="7520" spans="30:30" x14ac:dyDescent="0.25">
      <c r="AD7520"/>
    </row>
    <row r="7521" spans="30:30" x14ac:dyDescent="0.25">
      <c r="AD7521"/>
    </row>
    <row r="7522" spans="30:30" x14ac:dyDescent="0.25">
      <c r="AD7522"/>
    </row>
    <row r="7523" spans="30:30" x14ac:dyDescent="0.25">
      <c r="AD7523"/>
    </row>
    <row r="7524" spans="30:30" x14ac:dyDescent="0.25">
      <c r="AD7524"/>
    </row>
    <row r="7525" spans="30:30" x14ac:dyDescent="0.25">
      <c r="AD7525"/>
    </row>
    <row r="7526" spans="30:30" x14ac:dyDescent="0.25">
      <c r="AD7526"/>
    </row>
    <row r="7527" spans="30:30" x14ac:dyDescent="0.25">
      <c r="AD7527"/>
    </row>
    <row r="7528" spans="30:30" x14ac:dyDescent="0.25">
      <c r="AD7528"/>
    </row>
    <row r="7529" spans="30:30" x14ac:dyDescent="0.25">
      <c r="AD7529"/>
    </row>
    <row r="7530" spans="30:30" x14ac:dyDescent="0.25">
      <c r="AD7530"/>
    </row>
    <row r="7531" spans="30:30" x14ac:dyDescent="0.25">
      <c r="AD7531"/>
    </row>
    <row r="7532" spans="30:30" x14ac:dyDescent="0.25">
      <c r="AD7532"/>
    </row>
    <row r="7533" spans="30:30" x14ac:dyDescent="0.25">
      <c r="AD7533"/>
    </row>
    <row r="7534" spans="30:30" x14ac:dyDescent="0.25">
      <c r="AD7534"/>
    </row>
    <row r="7535" spans="30:30" x14ac:dyDescent="0.25">
      <c r="AD7535"/>
    </row>
    <row r="7536" spans="30:30" x14ac:dyDescent="0.25">
      <c r="AD7536"/>
    </row>
    <row r="7537" spans="30:30" x14ac:dyDescent="0.25">
      <c r="AD7537"/>
    </row>
    <row r="7538" spans="30:30" x14ac:dyDescent="0.25">
      <c r="AD7538"/>
    </row>
    <row r="7539" spans="30:30" x14ac:dyDescent="0.25">
      <c r="AD7539"/>
    </row>
    <row r="7540" spans="30:30" x14ac:dyDescent="0.25">
      <c r="AD7540"/>
    </row>
    <row r="7541" spans="30:30" x14ac:dyDescent="0.25">
      <c r="AD7541"/>
    </row>
    <row r="7542" spans="30:30" x14ac:dyDescent="0.25">
      <c r="AD7542"/>
    </row>
    <row r="7543" spans="30:30" x14ac:dyDescent="0.25">
      <c r="AD7543"/>
    </row>
    <row r="7544" spans="30:30" x14ac:dyDescent="0.25">
      <c r="AD7544"/>
    </row>
    <row r="7545" spans="30:30" x14ac:dyDescent="0.25">
      <c r="AD7545"/>
    </row>
    <row r="7546" spans="30:30" x14ac:dyDescent="0.25">
      <c r="AD7546"/>
    </row>
    <row r="7547" spans="30:30" x14ac:dyDescent="0.25">
      <c r="AD7547"/>
    </row>
    <row r="7548" spans="30:30" x14ac:dyDescent="0.25">
      <c r="AD7548"/>
    </row>
    <row r="7549" spans="30:30" x14ac:dyDescent="0.25">
      <c r="AD7549"/>
    </row>
    <row r="7550" spans="30:30" x14ac:dyDescent="0.25">
      <c r="AD7550"/>
    </row>
    <row r="7551" spans="30:30" x14ac:dyDescent="0.25">
      <c r="AD7551"/>
    </row>
    <row r="7552" spans="30:30" x14ac:dyDescent="0.25">
      <c r="AD7552"/>
    </row>
    <row r="7553" spans="30:30" x14ac:dyDescent="0.25">
      <c r="AD7553"/>
    </row>
    <row r="7554" spans="30:30" x14ac:dyDescent="0.25">
      <c r="AD7554"/>
    </row>
    <row r="7555" spans="30:30" x14ac:dyDescent="0.25">
      <c r="AD7555"/>
    </row>
    <row r="7556" spans="30:30" x14ac:dyDescent="0.25">
      <c r="AD7556"/>
    </row>
    <row r="7557" spans="30:30" x14ac:dyDescent="0.25">
      <c r="AD7557"/>
    </row>
    <row r="7558" spans="30:30" x14ac:dyDescent="0.25">
      <c r="AD7558"/>
    </row>
    <row r="7559" spans="30:30" x14ac:dyDescent="0.25">
      <c r="AD7559"/>
    </row>
    <row r="7560" spans="30:30" x14ac:dyDescent="0.25">
      <c r="AD7560"/>
    </row>
    <row r="7561" spans="30:30" x14ac:dyDescent="0.25">
      <c r="AD7561"/>
    </row>
    <row r="7562" spans="30:30" x14ac:dyDescent="0.25">
      <c r="AD7562"/>
    </row>
    <row r="7563" spans="30:30" x14ac:dyDescent="0.25">
      <c r="AD7563"/>
    </row>
    <row r="7564" spans="30:30" x14ac:dyDescent="0.25">
      <c r="AD7564"/>
    </row>
    <row r="7565" spans="30:30" x14ac:dyDescent="0.25">
      <c r="AD7565"/>
    </row>
    <row r="7566" spans="30:30" x14ac:dyDescent="0.25">
      <c r="AD7566"/>
    </row>
    <row r="7567" spans="30:30" x14ac:dyDescent="0.25">
      <c r="AD7567"/>
    </row>
    <row r="7568" spans="30:30" x14ac:dyDescent="0.25">
      <c r="AD7568"/>
    </row>
    <row r="7569" spans="30:30" x14ac:dyDescent="0.25">
      <c r="AD7569"/>
    </row>
    <row r="7570" spans="30:30" x14ac:dyDescent="0.25">
      <c r="AD7570"/>
    </row>
    <row r="7571" spans="30:30" x14ac:dyDescent="0.25">
      <c r="AD7571"/>
    </row>
    <row r="7572" spans="30:30" x14ac:dyDescent="0.25">
      <c r="AD7572"/>
    </row>
    <row r="7573" spans="30:30" x14ac:dyDescent="0.25">
      <c r="AD7573"/>
    </row>
    <row r="7574" spans="30:30" x14ac:dyDescent="0.25">
      <c r="AD7574"/>
    </row>
    <row r="7575" spans="30:30" x14ac:dyDescent="0.25">
      <c r="AD7575"/>
    </row>
    <row r="7576" spans="30:30" x14ac:dyDescent="0.25">
      <c r="AD7576"/>
    </row>
    <row r="7577" spans="30:30" x14ac:dyDescent="0.25">
      <c r="AD7577"/>
    </row>
    <row r="7578" spans="30:30" x14ac:dyDescent="0.25">
      <c r="AD7578"/>
    </row>
    <row r="7579" spans="30:30" x14ac:dyDescent="0.25">
      <c r="AD7579"/>
    </row>
    <row r="7580" spans="30:30" x14ac:dyDescent="0.25">
      <c r="AD7580"/>
    </row>
    <row r="7581" spans="30:30" x14ac:dyDescent="0.25">
      <c r="AD7581"/>
    </row>
    <row r="7582" spans="30:30" x14ac:dyDescent="0.25">
      <c r="AD7582"/>
    </row>
    <row r="7583" spans="30:30" x14ac:dyDescent="0.25">
      <c r="AD7583"/>
    </row>
    <row r="7584" spans="30:30" x14ac:dyDescent="0.25">
      <c r="AD7584"/>
    </row>
    <row r="7585" spans="30:30" x14ac:dyDescent="0.25">
      <c r="AD7585"/>
    </row>
    <row r="7586" spans="30:30" x14ac:dyDescent="0.25">
      <c r="AD7586"/>
    </row>
    <row r="7587" spans="30:30" x14ac:dyDescent="0.25">
      <c r="AD7587"/>
    </row>
    <row r="7588" spans="30:30" x14ac:dyDescent="0.25">
      <c r="AD7588"/>
    </row>
    <row r="7589" spans="30:30" x14ac:dyDescent="0.25">
      <c r="AD7589"/>
    </row>
    <row r="7590" spans="30:30" x14ac:dyDescent="0.25">
      <c r="AD7590"/>
    </row>
    <row r="7591" spans="30:30" x14ac:dyDescent="0.25">
      <c r="AD7591"/>
    </row>
    <row r="7592" spans="30:30" x14ac:dyDescent="0.25">
      <c r="AD7592"/>
    </row>
    <row r="7593" spans="30:30" x14ac:dyDescent="0.25">
      <c r="AD7593"/>
    </row>
    <row r="7594" spans="30:30" x14ac:dyDescent="0.25">
      <c r="AD7594"/>
    </row>
    <row r="7595" spans="30:30" x14ac:dyDescent="0.25">
      <c r="AD7595"/>
    </row>
    <row r="7596" spans="30:30" x14ac:dyDescent="0.25">
      <c r="AD7596"/>
    </row>
    <row r="7597" spans="30:30" x14ac:dyDescent="0.25">
      <c r="AD7597"/>
    </row>
    <row r="7598" spans="30:30" x14ac:dyDescent="0.25">
      <c r="AD7598"/>
    </row>
    <row r="7599" spans="30:30" x14ac:dyDescent="0.25">
      <c r="AD7599"/>
    </row>
    <row r="7600" spans="30:30" x14ac:dyDescent="0.25">
      <c r="AD7600"/>
    </row>
    <row r="7601" spans="30:30" x14ac:dyDescent="0.25">
      <c r="AD7601"/>
    </row>
    <row r="7602" spans="30:30" x14ac:dyDescent="0.25">
      <c r="AD7602"/>
    </row>
    <row r="7603" spans="30:30" x14ac:dyDescent="0.25">
      <c r="AD7603"/>
    </row>
    <row r="7604" spans="30:30" x14ac:dyDescent="0.25">
      <c r="AD7604"/>
    </row>
    <row r="7605" spans="30:30" x14ac:dyDescent="0.25">
      <c r="AD7605"/>
    </row>
    <row r="7606" spans="30:30" x14ac:dyDescent="0.25">
      <c r="AD7606"/>
    </row>
    <row r="7607" spans="30:30" x14ac:dyDescent="0.25">
      <c r="AD7607"/>
    </row>
    <row r="7608" spans="30:30" x14ac:dyDescent="0.25">
      <c r="AD7608"/>
    </row>
    <row r="7609" spans="30:30" x14ac:dyDescent="0.25">
      <c r="AD7609"/>
    </row>
    <row r="7610" spans="30:30" x14ac:dyDescent="0.25">
      <c r="AD7610"/>
    </row>
    <row r="7611" spans="30:30" x14ac:dyDescent="0.25">
      <c r="AD7611"/>
    </row>
    <row r="7612" spans="30:30" x14ac:dyDescent="0.25">
      <c r="AD7612"/>
    </row>
    <row r="7613" spans="30:30" x14ac:dyDescent="0.25">
      <c r="AD7613"/>
    </row>
    <row r="7614" spans="30:30" x14ac:dyDescent="0.25">
      <c r="AD7614"/>
    </row>
    <row r="7615" spans="30:30" x14ac:dyDescent="0.25">
      <c r="AD7615"/>
    </row>
    <row r="7616" spans="30:30" x14ac:dyDescent="0.25">
      <c r="AD7616"/>
    </row>
    <row r="7617" spans="30:30" x14ac:dyDescent="0.25">
      <c r="AD7617"/>
    </row>
    <row r="7618" spans="30:30" x14ac:dyDescent="0.25">
      <c r="AD7618"/>
    </row>
    <row r="7619" spans="30:30" x14ac:dyDescent="0.25">
      <c r="AD7619"/>
    </row>
    <row r="7620" spans="30:30" x14ac:dyDescent="0.25">
      <c r="AD7620"/>
    </row>
    <row r="7621" spans="30:30" x14ac:dyDescent="0.25">
      <c r="AD7621"/>
    </row>
    <row r="7622" spans="30:30" x14ac:dyDescent="0.25">
      <c r="AD7622"/>
    </row>
    <row r="7623" spans="30:30" x14ac:dyDescent="0.25">
      <c r="AD7623"/>
    </row>
    <row r="7624" spans="30:30" x14ac:dyDescent="0.25">
      <c r="AD7624"/>
    </row>
    <row r="7625" spans="30:30" x14ac:dyDescent="0.25">
      <c r="AD7625"/>
    </row>
    <row r="7626" spans="30:30" x14ac:dyDescent="0.25">
      <c r="AD7626"/>
    </row>
    <row r="7627" spans="30:30" x14ac:dyDescent="0.25">
      <c r="AD7627"/>
    </row>
    <row r="7628" spans="30:30" x14ac:dyDescent="0.25">
      <c r="AD7628"/>
    </row>
    <row r="7629" spans="30:30" x14ac:dyDescent="0.25">
      <c r="AD7629"/>
    </row>
    <row r="7630" spans="30:30" x14ac:dyDescent="0.25">
      <c r="AD7630"/>
    </row>
    <row r="7631" spans="30:30" x14ac:dyDescent="0.25">
      <c r="AD7631"/>
    </row>
    <row r="7632" spans="30:30" x14ac:dyDescent="0.25">
      <c r="AD7632"/>
    </row>
    <row r="7633" spans="30:30" x14ac:dyDescent="0.25">
      <c r="AD7633"/>
    </row>
    <row r="7634" spans="30:30" x14ac:dyDescent="0.25">
      <c r="AD7634"/>
    </row>
    <row r="7635" spans="30:30" x14ac:dyDescent="0.25">
      <c r="AD7635"/>
    </row>
    <row r="7636" spans="30:30" x14ac:dyDescent="0.25">
      <c r="AD7636"/>
    </row>
    <row r="7637" spans="30:30" x14ac:dyDescent="0.25">
      <c r="AD7637"/>
    </row>
    <row r="7638" spans="30:30" x14ac:dyDescent="0.25">
      <c r="AD7638"/>
    </row>
    <row r="7639" spans="30:30" x14ac:dyDescent="0.25">
      <c r="AD7639"/>
    </row>
    <row r="7640" spans="30:30" x14ac:dyDescent="0.25">
      <c r="AD7640"/>
    </row>
    <row r="7641" spans="30:30" x14ac:dyDescent="0.25">
      <c r="AD7641"/>
    </row>
    <row r="7642" spans="30:30" x14ac:dyDescent="0.25">
      <c r="AD7642"/>
    </row>
    <row r="7643" spans="30:30" x14ac:dyDescent="0.25">
      <c r="AD7643"/>
    </row>
    <row r="7644" spans="30:30" x14ac:dyDescent="0.25">
      <c r="AD7644"/>
    </row>
    <row r="7645" spans="30:30" x14ac:dyDescent="0.25">
      <c r="AD7645"/>
    </row>
    <row r="7646" spans="30:30" x14ac:dyDescent="0.25">
      <c r="AD7646"/>
    </row>
    <row r="7647" spans="30:30" x14ac:dyDescent="0.25">
      <c r="AD7647"/>
    </row>
    <row r="7648" spans="30:30" x14ac:dyDescent="0.25">
      <c r="AD7648"/>
    </row>
    <row r="7649" spans="30:30" x14ac:dyDescent="0.25">
      <c r="AD7649"/>
    </row>
    <row r="7650" spans="30:30" x14ac:dyDescent="0.25">
      <c r="AD7650"/>
    </row>
    <row r="7651" spans="30:30" x14ac:dyDescent="0.25">
      <c r="AD7651"/>
    </row>
    <row r="7652" spans="30:30" x14ac:dyDescent="0.25">
      <c r="AD7652"/>
    </row>
    <row r="7653" spans="30:30" x14ac:dyDescent="0.25">
      <c r="AD7653"/>
    </row>
    <row r="7654" spans="30:30" x14ac:dyDescent="0.25">
      <c r="AD7654"/>
    </row>
    <row r="7655" spans="30:30" x14ac:dyDescent="0.25">
      <c r="AD7655"/>
    </row>
    <row r="7656" spans="30:30" x14ac:dyDescent="0.25">
      <c r="AD7656"/>
    </row>
    <row r="7657" spans="30:30" x14ac:dyDescent="0.25">
      <c r="AD7657"/>
    </row>
    <row r="7658" spans="30:30" x14ac:dyDescent="0.25">
      <c r="AD7658"/>
    </row>
    <row r="7659" spans="30:30" x14ac:dyDescent="0.25">
      <c r="AD7659"/>
    </row>
    <row r="7660" spans="30:30" x14ac:dyDescent="0.25">
      <c r="AD7660"/>
    </row>
    <row r="7661" spans="30:30" x14ac:dyDescent="0.25">
      <c r="AD7661"/>
    </row>
    <row r="7662" spans="30:30" x14ac:dyDescent="0.25">
      <c r="AD7662"/>
    </row>
    <row r="7663" spans="30:30" x14ac:dyDescent="0.25">
      <c r="AD7663"/>
    </row>
    <row r="7664" spans="30:30" x14ac:dyDescent="0.25">
      <c r="AD7664"/>
    </row>
    <row r="7665" spans="30:30" x14ac:dyDescent="0.25">
      <c r="AD7665"/>
    </row>
    <row r="7666" spans="30:30" x14ac:dyDescent="0.25">
      <c r="AD7666"/>
    </row>
    <row r="7667" spans="30:30" x14ac:dyDescent="0.25">
      <c r="AD7667"/>
    </row>
    <row r="7668" spans="30:30" x14ac:dyDescent="0.25">
      <c r="AD7668"/>
    </row>
    <row r="7669" spans="30:30" x14ac:dyDescent="0.25">
      <c r="AD7669"/>
    </row>
    <row r="7670" spans="30:30" x14ac:dyDescent="0.25">
      <c r="AD7670"/>
    </row>
    <row r="7671" spans="30:30" x14ac:dyDescent="0.25">
      <c r="AD7671"/>
    </row>
    <row r="7672" spans="30:30" x14ac:dyDescent="0.25">
      <c r="AD7672"/>
    </row>
    <row r="7673" spans="30:30" x14ac:dyDescent="0.25">
      <c r="AD7673"/>
    </row>
    <row r="7674" spans="30:30" x14ac:dyDescent="0.25">
      <c r="AD7674"/>
    </row>
    <row r="7675" spans="30:30" x14ac:dyDescent="0.25">
      <c r="AD7675"/>
    </row>
    <row r="7676" spans="30:30" x14ac:dyDescent="0.25">
      <c r="AD7676"/>
    </row>
    <row r="7677" spans="30:30" x14ac:dyDescent="0.25">
      <c r="AD7677"/>
    </row>
    <row r="7678" spans="30:30" x14ac:dyDescent="0.25">
      <c r="AD7678"/>
    </row>
    <row r="7679" spans="30:30" x14ac:dyDescent="0.25">
      <c r="AD7679"/>
    </row>
    <row r="7680" spans="30:30" x14ac:dyDescent="0.25">
      <c r="AD7680"/>
    </row>
    <row r="7681" spans="30:30" x14ac:dyDescent="0.25">
      <c r="AD7681"/>
    </row>
    <row r="7682" spans="30:30" x14ac:dyDescent="0.25">
      <c r="AD7682"/>
    </row>
    <row r="7683" spans="30:30" x14ac:dyDescent="0.25">
      <c r="AD7683"/>
    </row>
    <row r="7684" spans="30:30" x14ac:dyDescent="0.25">
      <c r="AD7684"/>
    </row>
    <row r="7685" spans="30:30" x14ac:dyDescent="0.25">
      <c r="AD7685"/>
    </row>
    <row r="7686" spans="30:30" x14ac:dyDescent="0.25">
      <c r="AD7686"/>
    </row>
    <row r="7687" spans="30:30" x14ac:dyDescent="0.25">
      <c r="AD7687"/>
    </row>
    <row r="7688" spans="30:30" x14ac:dyDescent="0.25">
      <c r="AD7688"/>
    </row>
    <row r="7689" spans="30:30" x14ac:dyDescent="0.25">
      <c r="AD7689"/>
    </row>
    <row r="7690" spans="30:30" x14ac:dyDescent="0.25">
      <c r="AD7690"/>
    </row>
    <row r="7691" spans="30:30" x14ac:dyDescent="0.25">
      <c r="AD7691"/>
    </row>
    <row r="7692" spans="30:30" x14ac:dyDescent="0.25">
      <c r="AD7692"/>
    </row>
    <row r="7693" spans="30:30" x14ac:dyDescent="0.25">
      <c r="AD7693"/>
    </row>
    <row r="7694" spans="30:30" x14ac:dyDescent="0.25">
      <c r="AD7694"/>
    </row>
    <row r="7695" spans="30:30" x14ac:dyDescent="0.25">
      <c r="AD7695"/>
    </row>
    <row r="7696" spans="30:30" x14ac:dyDescent="0.25">
      <c r="AD7696"/>
    </row>
    <row r="7697" spans="30:30" x14ac:dyDescent="0.25">
      <c r="AD7697"/>
    </row>
    <row r="7698" spans="30:30" x14ac:dyDescent="0.25">
      <c r="AD7698"/>
    </row>
    <row r="7699" spans="30:30" x14ac:dyDescent="0.25">
      <c r="AD7699"/>
    </row>
    <row r="7700" spans="30:30" x14ac:dyDescent="0.25">
      <c r="AD7700"/>
    </row>
    <row r="7701" spans="30:30" x14ac:dyDescent="0.25">
      <c r="AD7701"/>
    </row>
    <row r="7702" spans="30:30" x14ac:dyDescent="0.25">
      <c r="AD7702"/>
    </row>
    <row r="7703" spans="30:30" x14ac:dyDescent="0.25">
      <c r="AD7703"/>
    </row>
    <row r="7704" spans="30:30" x14ac:dyDescent="0.25">
      <c r="AD7704"/>
    </row>
    <row r="7705" spans="30:30" x14ac:dyDescent="0.25">
      <c r="AD7705"/>
    </row>
    <row r="7706" spans="30:30" x14ac:dyDescent="0.25">
      <c r="AD7706"/>
    </row>
    <row r="7707" spans="30:30" x14ac:dyDescent="0.25">
      <c r="AD7707"/>
    </row>
    <row r="7708" spans="30:30" x14ac:dyDescent="0.25">
      <c r="AD7708"/>
    </row>
    <row r="7709" spans="30:30" x14ac:dyDescent="0.25">
      <c r="AD7709"/>
    </row>
    <row r="7710" spans="30:30" x14ac:dyDescent="0.25">
      <c r="AD7710"/>
    </row>
    <row r="7711" spans="30:30" x14ac:dyDescent="0.25">
      <c r="AD7711"/>
    </row>
    <row r="7712" spans="30:30" x14ac:dyDescent="0.25">
      <c r="AD7712"/>
    </row>
    <row r="7713" spans="30:30" x14ac:dyDescent="0.25">
      <c r="AD7713"/>
    </row>
    <row r="7714" spans="30:30" x14ac:dyDescent="0.25">
      <c r="AD7714"/>
    </row>
    <row r="7715" spans="30:30" x14ac:dyDescent="0.25">
      <c r="AD7715"/>
    </row>
    <row r="7716" spans="30:30" x14ac:dyDescent="0.25">
      <c r="AD7716"/>
    </row>
    <row r="7717" spans="30:30" x14ac:dyDescent="0.25">
      <c r="AD7717"/>
    </row>
    <row r="7718" spans="30:30" x14ac:dyDescent="0.25">
      <c r="AD7718"/>
    </row>
    <row r="7719" spans="30:30" x14ac:dyDescent="0.25">
      <c r="AD7719"/>
    </row>
    <row r="7720" spans="30:30" x14ac:dyDescent="0.25">
      <c r="AD7720"/>
    </row>
    <row r="7721" spans="30:30" x14ac:dyDescent="0.25">
      <c r="AD7721"/>
    </row>
    <row r="7722" spans="30:30" x14ac:dyDescent="0.25">
      <c r="AD7722"/>
    </row>
    <row r="7723" spans="30:30" x14ac:dyDescent="0.25">
      <c r="AD7723"/>
    </row>
    <row r="7724" spans="30:30" x14ac:dyDescent="0.25">
      <c r="AD7724"/>
    </row>
    <row r="7725" spans="30:30" x14ac:dyDescent="0.25">
      <c r="AD7725"/>
    </row>
    <row r="7726" spans="30:30" x14ac:dyDescent="0.25">
      <c r="AD7726"/>
    </row>
    <row r="7727" spans="30:30" x14ac:dyDescent="0.25">
      <c r="AD7727"/>
    </row>
    <row r="7728" spans="30:30" x14ac:dyDescent="0.25">
      <c r="AD7728"/>
    </row>
    <row r="7729" spans="30:30" x14ac:dyDescent="0.25">
      <c r="AD7729"/>
    </row>
    <row r="7730" spans="30:30" x14ac:dyDescent="0.25">
      <c r="AD7730"/>
    </row>
    <row r="7731" spans="30:30" x14ac:dyDescent="0.25">
      <c r="AD7731"/>
    </row>
    <row r="7732" spans="30:30" x14ac:dyDescent="0.25">
      <c r="AD7732"/>
    </row>
    <row r="7733" spans="30:30" x14ac:dyDescent="0.25">
      <c r="AD7733"/>
    </row>
    <row r="7734" spans="30:30" x14ac:dyDescent="0.25">
      <c r="AD7734"/>
    </row>
    <row r="7735" spans="30:30" x14ac:dyDescent="0.25">
      <c r="AD7735"/>
    </row>
    <row r="7736" spans="30:30" x14ac:dyDescent="0.25">
      <c r="AD7736"/>
    </row>
    <row r="7737" spans="30:30" x14ac:dyDescent="0.25">
      <c r="AD7737"/>
    </row>
    <row r="7738" spans="30:30" x14ac:dyDescent="0.25">
      <c r="AD7738"/>
    </row>
    <row r="7739" spans="30:30" x14ac:dyDescent="0.25">
      <c r="AD7739"/>
    </row>
    <row r="7740" spans="30:30" x14ac:dyDescent="0.25">
      <c r="AD7740"/>
    </row>
    <row r="7741" spans="30:30" x14ac:dyDescent="0.25">
      <c r="AD7741"/>
    </row>
    <row r="7742" spans="30:30" x14ac:dyDescent="0.25">
      <c r="AD7742"/>
    </row>
    <row r="7743" spans="30:30" x14ac:dyDescent="0.25">
      <c r="AD7743"/>
    </row>
    <row r="7744" spans="30:30" x14ac:dyDescent="0.25">
      <c r="AD7744"/>
    </row>
    <row r="7745" spans="30:30" x14ac:dyDescent="0.25">
      <c r="AD7745"/>
    </row>
    <row r="7746" spans="30:30" x14ac:dyDescent="0.25">
      <c r="AD7746"/>
    </row>
    <row r="7747" spans="30:30" x14ac:dyDescent="0.25">
      <c r="AD7747"/>
    </row>
    <row r="7748" spans="30:30" x14ac:dyDescent="0.25">
      <c r="AD7748"/>
    </row>
    <row r="7749" spans="30:30" x14ac:dyDescent="0.25">
      <c r="AD7749"/>
    </row>
    <row r="7750" spans="30:30" x14ac:dyDescent="0.25">
      <c r="AD7750"/>
    </row>
    <row r="7751" spans="30:30" x14ac:dyDescent="0.25">
      <c r="AD7751"/>
    </row>
    <row r="7752" spans="30:30" x14ac:dyDescent="0.25">
      <c r="AD7752"/>
    </row>
    <row r="7753" spans="30:30" x14ac:dyDescent="0.25">
      <c r="AD7753"/>
    </row>
    <row r="7754" spans="30:30" x14ac:dyDescent="0.25">
      <c r="AD7754"/>
    </row>
    <row r="7755" spans="30:30" x14ac:dyDescent="0.25">
      <c r="AD7755"/>
    </row>
    <row r="7756" spans="30:30" x14ac:dyDescent="0.25">
      <c r="AD7756"/>
    </row>
    <row r="7757" spans="30:30" x14ac:dyDescent="0.25">
      <c r="AD7757"/>
    </row>
    <row r="7758" spans="30:30" x14ac:dyDescent="0.25">
      <c r="AD7758"/>
    </row>
    <row r="7759" spans="30:30" x14ac:dyDescent="0.25">
      <c r="AD7759"/>
    </row>
    <row r="7760" spans="30:30" x14ac:dyDescent="0.25">
      <c r="AD7760"/>
    </row>
    <row r="7761" spans="30:30" x14ac:dyDescent="0.25">
      <c r="AD7761"/>
    </row>
    <row r="7762" spans="30:30" x14ac:dyDescent="0.25">
      <c r="AD7762"/>
    </row>
    <row r="7763" spans="30:30" x14ac:dyDescent="0.25">
      <c r="AD7763"/>
    </row>
    <row r="7764" spans="30:30" x14ac:dyDescent="0.25">
      <c r="AD7764"/>
    </row>
    <row r="7765" spans="30:30" x14ac:dyDescent="0.25">
      <c r="AD7765"/>
    </row>
    <row r="7766" spans="30:30" x14ac:dyDescent="0.25">
      <c r="AD7766"/>
    </row>
    <row r="7767" spans="30:30" x14ac:dyDescent="0.25">
      <c r="AD7767"/>
    </row>
    <row r="7768" spans="30:30" x14ac:dyDescent="0.25">
      <c r="AD7768"/>
    </row>
    <row r="7769" spans="30:30" x14ac:dyDescent="0.25">
      <c r="AD7769"/>
    </row>
    <row r="7770" spans="30:30" x14ac:dyDescent="0.25">
      <c r="AD7770"/>
    </row>
    <row r="7771" spans="30:30" x14ac:dyDescent="0.25">
      <c r="AD7771"/>
    </row>
    <row r="7772" spans="30:30" x14ac:dyDescent="0.25">
      <c r="AD7772"/>
    </row>
    <row r="7773" spans="30:30" x14ac:dyDescent="0.25">
      <c r="AD7773"/>
    </row>
    <row r="7774" spans="30:30" x14ac:dyDescent="0.25">
      <c r="AD7774"/>
    </row>
    <row r="7775" spans="30:30" x14ac:dyDescent="0.25">
      <c r="AD7775"/>
    </row>
    <row r="7776" spans="30:30" x14ac:dyDescent="0.25">
      <c r="AD7776"/>
    </row>
    <row r="7777" spans="30:30" x14ac:dyDescent="0.25">
      <c r="AD7777"/>
    </row>
    <row r="7778" spans="30:30" x14ac:dyDescent="0.25">
      <c r="AD7778"/>
    </row>
    <row r="7779" spans="30:30" x14ac:dyDescent="0.25">
      <c r="AD7779"/>
    </row>
    <row r="7780" spans="30:30" x14ac:dyDescent="0.25">
      <c r="AD7780"/>
    </row>
    <row r="7781" spans="30:30" x14ac:dyDescent="0.25">
      <c r="AD7781"/>
    </row>
    <row r="7782" spans="30:30" x14ac:dyDescent="0.25">
      <c r="AD7782"/>
    </row>
    <row r="7783" spans="30:30" x14ac:dyDescent="0.25">
      <c r="AD7783"/>
    </row>
    <row r="7784" spans="30:30" x14ac:dyDescent="0.25">
      <c r="AD7784"/>
    </row>
    <row r="7785" spans="30:30" x14ac:dyDescent="0.25">
      <c r="AD7785"/>
    </row>
    <row r="7786" spans="30:30" x14ac:dyDescent="0.25">
      <c r="AD7786"/>
    </row>
    <row r="7787" spans="30:30" x14ac:dyDescent="0.25">
      <c r="AD7787"/>
    </row>
    <row r="7788" spans="30:30" x14ac:dyDescent="0.25">
      <c r="AD7788"/>
    </row>
    <row r="7789" spans="30:30" x14ac:dyDescent="0.25">
      <c r="AD7789"/>
    </row>
    <row r="7790" spans="30:30" x14ac:dyDescent="0.25">
      <c r="AD7790"/>
    </row>
    <row r="7791" spans="30:30" x14ac:dyDescent="0.25">
      <c r="AD7791"/>
    </row>
    <row r="7792" spans="30:30" x14ac:dyDescent="0.25">
      <c r="AD7792"/>
    </row>
    <row r="7793" spans="30:30" x14ac:dyDescent="0.25">
      <c r="AD7793"/>
    </row>
    <row r="7794" spans="30:30" x14ac:dyDescent="0.25">
      <c r="AD7794"/>
    </row>
    <row r="7795" spans="30:30" x14ac:dyDescent="0.25">
      <c r="AD7795"/>
    </row>
    <row r="7796" spans="30:30" x14ac:dyDescent="0.25">
      <c r="AD7796"/>
    </row>
    <row r="7797" spans="30:30" x14ac:dyDescent="0.25">
      <c r="AD7797"/>
    </row>
    <row r="7798" spans="30:30" x14ac:dyDescent="0.25">
      <c r="AD7798"/>
    </row>
    <row r="7799" spans="30:30" x14ac:dyDescent="0.25">
      <c r="AD7799"/>
    </row>
    <row r="7800" spans="30:30" x14ac:dyDescent="0.25">
      <c r="AD7800"/>
    </row>
    <row r="7801" spans="30:30" x14ac:dyDescent="0.25">
      <c r="AD7801"/>
    </row>
    <row r="7802" spans="30:30" x14ac:dyDescent="0.25">
      <c r="AD7802"/>
    </row>
    <row r="7803" spans="30:30" x14ac:dyDescent="0.25">
      <c r="AD7803"/>
    </row>
    <row r="7804" spans="30:30" x14ac:dyDescent="0.25">
      <c r="AD7804"/>
    </row>
    <row r="7805" spans="30:30" x14ac:dyDescent="0.25">
      <c r="AD7805"/>
    </row>
    <row r="7806" spans="30:30" x14ac:dyDescent="0.25">
      <c r="AD7806"/>
    </row>
    <row r="7807" spans="30:30" x14ac:dyDescent="0.25">
      <c r="AD7807"/>
    </row>
    <row r="7808" spans="30:30" x14ac:dyDescent="0.25">
      <c r="AD7808"/>
    </row>
    <row r="7809" spans="30:30" x14ac:dyDescent="0.25">
      <c r="AD7809"/>
    </row>
    <row r="7810" spans="30:30" x14ac:dyDescent="0.25">
      <c r="AD7810"/>
    </row>
    <row r="7811" spans="30:30" x14ac:dyDescent="0.25">
      <c r="AD7811"/>
    </row>
    <row r="7812" spans="30:30" x14ac:dyDescent="0.25">
      <c r="AD7812"/>
    </row>
    <row r="7813" spans="30:30" x14ac:dyDescent="0.25">
      <c r="AD7813"/>
    </row>
    <row r="7814" spans="30:30" x14ac:dyDescent="0.25">
      <c r="AD7814"/>
    </row>
    <row r="7815" spans="30:30" x14ac:dyDescent="0.25">
      <c r="AD7815"/>
    </row>
    <row r="7816" spans="30:30" x14ac:dyDescent="0.25">
      <c r="AD7816"/>
    </row>
    <row r="7817" spans="30:30" x14ac:dyDescent="0.25">
      <c r="AD7817"/>
    </row>
    <row r="7818" spans="30:30" x14ac:dyDescent="0.25">
      <c r="AD7818"/>
    </row>
    <row r="7819" spans="30:30" x14ac:dyDescent="0.25">
      <c r="AD7819"/>
    </row>
    <row r="7820" spans="30:30" x14ac:dyDescent="0.25">
      <c r="AD7820"/>
    </row>
    <row r="7821" spans="30:30" x14ac:dyDescent="0.25">
      <c r="AD7821"/>
    </row>
    <row r="7822" spans="30:30" x14ac:dyDescent="0.25">
      <c r="AD7822"/>
    </row>
    <row r="7823" spans="30:30" x14ac:dyDescent="0.25">
      <c r="AD7823"/>
    </row>
    <row r="7824" spans="30:30" x14ac:dyDescent="0.25">
      <c r="AD7824"/>
    </row>
    <row r="7825" spans="30:30" x14ac:dyDescent="0.25">
      <c r="AD7825"/>
    </row>
    <row r="7826" spans="30:30" x14ac:dyDescent="0.25">
      <c r="AD7826"/>
    </row>
    <row r="7827" spans="30:30" x14ac:dyDescent="0.25">
      <c r="AD7827"/>
    </row>
    <row r="7828" spans="30:30" x14ac:dyDescent="0.25">
      <c r="AD7828"/>
    </row>
    <row r="7829" spans="30:30" x14ac:dyDescent="0.25">
      <c r="AD7829"/>
    </row>
    <row r="7830" spans="30:30" x14ac:dyDescent="0.25">
      <c r="AD7830"/>
    </row>
    <row r="7831" spans="30:30" x14ac:dyDescent="0.25">
      <c r="AD7831"/>
    </row>
    <row r="7832" spans="30:30" x14ac:dyDescent="0.25">
      <c r="AD7832"/>
    </row>
    <row r="7833" spans="30:30" x14ac:dyDescent="0.25">
      <c r="AD7833"/>
    </row>
    <row r="7834" spans="30:30" x14ac:dyDescent="0.25">
      <c r="AD7834"/>
    </row>
    <row r="7835" spans="30:30" x14ac:dyDescent="0.25">
      <c r="AD7835"/>
    </row>
    <row r="7836" spans="30:30" x14ac:dyDescent="0.25">
      <c r="AD7836"/>
    </row>
    <row r="7837" spans="30:30" x14ac:dyDescent="0.25">
      <c r="AD7837"/>
    </row>
    <row r="7838" spans="30:30" x14ac:dyDescent="0.25">
      <c r="AD7838"/>
    </row>
    <row r="7839" spans="30:30" x14ac:dyDescent="0.25">
      <c r="AD7839"/>
    </row>
    <row r="7840" spans="30:30" x14ac:dyDescent="0.25">
      <c r="AD7840"/>
    </row>
    <row r="7841" spans="30:30" x14ac:dyDescent="0.25">
      <c r="AD7841"/>
    </row>
    <row r="7842" spans="30:30" x14ac:dyDescent="0.25">
      <c r="AD7842"/>
    </row>
    <row r="7843" spans="30:30" x14ac:dyDescent="0.25">
      <c r="AD7843"/>
    </row>
    <row r="7844" spans="30:30" x14ac:dyDescent="0.25">
      <c r="AD7844"/>
    </row>
    <row r="7845" spans="30:30" x14ac:dyDescent="0.25">
      <c r="AD7845"/>
    </row>
    <row r="7846" spans="30:30" x14ac:dyDescent="0.25">
      <c r="AD7846"/>
    </row>
    <row r="7847" spans="30:30" x14ac:dyDescent="0.25">
      <c r="AD7847"/>
    </row>
    <row r="7848" spans="30:30" x14ac:dyDescent="0.25">
      <c r="AD7848"/>
    </row>
    <row r="7849" spans="30:30" x14ac:dyDescent="0.25">
      <c r="AD7849"/>
    </row>
    <row r="7850" spans="30:30" x14ac:dyDescent="0.25">
      <c r="AD7850"/>
    </row>
    <row r="7851" spans="30:30" x14ac:dyDescent="0.25">
      <c r="AD7851"/>
    </row>
    <row r="7852" spans="30:30" x14ac:dyDescent="0.25">
      <c r="AD7852"/>
    </row>
    <row r="7853" spans="30:30" x14ac:dyDescent="0.25">
      <c r="AD7853"/>
    </row>
    <row r="7854" spans="30:30" x14ac:dyDescent="0.25">
      <c r="AD7854"/>
    </row>
    <row r="7855" spans="30:30" x14ac:dyDescent="0.25">
      <c r="AD7855"/>
    </row>
    <row r="7856" spans="30:30" x14ac:dyDescent="0.25">
      <c r="AD7856"/>
    </row>
    <row r="7857" spans="30:30" x14ac:dyDescent="0.25">
      <c r="AD7857"/>
    </row>
    <row r="7858" spans="30:30" x14ac:dyDescent="0.25">
      <c r="AD7858"/>
    </row>
    <row r="7859" spans="30:30" x14ac:dyDescent="0.25">
      <c r="AD7859"/>
    </row>
    <row r="7860" spans="30:30" x14ac:dyDescent="0.25">
      <c r="AD7860"/>
    </row>
    <row r="7861" spans="30:30" x14ac:dyDescent="0.25">
      <c r="AD7861"/>
    </row>
    <row r="7862" spans="30:30" x14ac:dyDescent="0.25">
      <c r="AD7862"/>
    </row>
    <row r="7863" spans="30:30" x14ac:dyDescent="0.25">
      <c r="AD7863"/>
    </row>
    <row r="7864" spans="30:30" x14ac:dyDescent="0.25">
      <c r="AD7864"/>
    </row>
    <row r="7865" spans="30:30" x14ac:dyDescent="0.25">
      <c r="AD7865"/>
    </row>
    <row r="7866" spans="30:30" x14ac:dyDescent="0.25">
      <c r="AD7866"/>
    </row>
    <row r="7867" spans="30:30" x14ac:dyDescent="0.25">
      <c r="AD7867"/>
    </row>
    <row r="7868" spans="30:30" x14ac:dyDescent="0.25">
      <c r="AD7868"/>
    </row>
    <row r="7869" spans="30:30" x14ac:dyDescent="0.25">
      <c r="AD7869"/>
    </row>
    <row r="7870" spans="30:30" x14ac:dyDescent="0.25">
      <c r="AD7870"/>
    </row>
    <row r="7871" spans="30:30" x14ac:dyDescent="0.25">
      <c r="AD7871"/>
    </row>
    <row r="7872" spans="30:30" x14ac:dyDescent="0.25">
      <c r="AD7872"/>
    </row>
    <row r="7873" spans="30:30" x14ac:dyDescent="0.25">
      <c r="AD7873"/>
    </row>
    <row r="7874" spans="30:30" x14ac:dyDescent="0.25">
      <c r="AD7874"/>
    </row>
    <row r="7875" spans="30:30" x14ac:dyDescent="0.25">
      <c r="AD7875"/>
    </row>
    <row r="7876" spans="30:30" x14ac:dyDescent="0.25">
      <c r="AD7876"/>
    </row>
    <row r="7877" spans="30:30" x14ac:dyDescent="0.25">
      <c r="AD7877"/>
    </row>
    <row r="7878" spans="30:30" x14ac:dyDescent="0.25">
      <c r="AD7878"/>
    </row>
    <row r="7879" spans="30:30" x14ac:dyDescent="0.25">
      <c r="AD7879"/>
    </row>
    <row r="7880" spans="30:30" x14ac:dyDescent="0.25">
      <c r="AD7880"/>
    </row>
    <row r="7881" spans="30:30" x14ac:dyDescent="0.25">
      <c r="AD7881"/>
    </row>
    <row r="7882" spans="30:30" x14ac:dyDescent="0.25">
      <c r="AD7882"/>
    </row>
    <row r="7883" spans="30:30" x14ac:dyDescent="0.25">
      <c r="AD7883"/>
    </row>
    <row r="7884" spans="30:30" x14ac:dyDescent="0.25">
      <c r="AD7884"/>
    </row>
    <row r="7885" spans="30:30" x14ac:dyDescent="0.25">
      <c r="AD7885"/>
    </row>
    <row r="7886" spans="30:30" x14ac:dyDescent="0.25">
      <c r="AD7886"/>
    </row>
    <row r="7887" spans="30:30" x14ac:dyDescent="0.25">
      <c r="AD7887"/>
    </row>
    <row r="7888" spans="30:30" x14ac:dyDescent="0.25">
      <c r="AD7888"/>
    </row>
    <row r="7889" spans="30:30" x14ac:dyDescent="0.25">
      <c r="AD7889"/>
    </row>
    <row r="7890" spans="30:30" x14ac:dyDescent="0.25">
      <c r="AD7890"/>
    </row>
    <row r="7891" spans="30:30" x14ac:dyDescent="0.25">
      <c r="AD7891"/>
    </row>
    <row r="7892" spans="30:30" x14ac:dyDescent="0.25">
      <c r="AD7892"/>
    </row>
    <row r="7893" spans="30:30" x14ac:dyDescent="0.25">
      <c r="AD7893"/>
    </row>
    <row r="7894" spans="30:30" x14ac:dyDescent="0.25">
      <c r="AD7894"/>
    </row>
    <row r="7895" spans="30:30" x14ac:dyDescent="0.25">
      <c r="AD7895"/>
    </row>
    <row r="7896" spans="30:30" x14ac:dyDescent="0.25">
      <c r="AD7896"/>
    </row>
    <row r="7897" spans="30:30" x14ac:dyDescent="0.25">
      <c r="AD7897"/>
    </row>
    <row r="7898" spans="30:30" x14ac:dyDescent="0.25">
      <c r="AD7898"/>
    </row>
    <row r="7899" spans="30:30" x14ac:dyDescent="0.25">
      <c r="AD7899"/>
    </row>
    <row r="7900" spans="30:30" x14ac:dyDescent="0.25">
      <c r="AD7900"/>
    </row>
    <row r="7901" spans="30:30" x14ac:dyDescent="0.25">
      <c r="AD7901"/>
    </row>
    <row r="7902" spans="30:30" x14ac:dyDescent="0.25">
      <c r="AD7902"/>
    </row>
    <row r="7903" spans="30:30" x14ac:dyDescent="0.25">
      <c r="AD7903"/>
    </row>
    <row r="7904" spans="30:30" x14ac:dyDescent="0.25">
      <c r="AD7904"/>
    </row>
    <row r="7905" spans="30:30" x14ac:dyDescent="0.25">
      <c r="AD7905"/>
    </row>
    <row r="7906" spans="30:30" x14ac:dyDescent="0.25">
      <c r="AD7906"/>
    </row>
    <row r="7907" spans="30:30" x14ac:dyDescent="0.25">
      <c r="AD7907"/>
    </row>
    <row r="7908" spans="30:30" x14ac:dyDescent="0.25">
      <c r="AD7908"/>
    </row>
    <row r="7909" spans="30:30" x14ac:dyDescent="0.25">
      <c r="AD7909"/>
    </row>
    <row r="7910" spans="30:30" x14ac:dyDescent="0.25">
      <c r="AD7910"/>
    </row>
    <row r="7911" spans="30:30" x14ac:dyDescent="0.25">
      <c r="AD7911"/>
    </row>
    <row r="7912" spans="30:30" x14ac:dyDescent="0.25">
      <c r="AD7912"/>
    </row>
    <row r="7913" spans="30:30" x14ac:dyDescent="0.25">
      <c r="AD7913"/>
    </row>
    <row r="7914" spans="30:30" x14ac:dyDescent="0.25">
      <c r="AD7914"/>
    </row>
    <row r="7915" spans="30:30" x14ac:dyDescent="0.25">
      <c r="AD7915"/>
    </row>
    <row r="7916" spans="30:30" x14ac:dyDescent="0.25">
      <c r="AD7916"/>
    </row>
    <row r="7917" spans="30:30" x14ac:dyDescent="0.25">
      <c r="AD7917"/>
    </row>
    <row r="7918" spans="30:30" x14ac:dyDescent="0.25">
      <c r="AD7918"/>
    </row>
    <row r="7919" spans="30:30" x14ac:dyDescent="0.25">
      <c r="AD7919"/>
    </row>
    <row r="7920" spans="30:30" x14ac:dyDescent="0.25">
      <c r="AD7920"/>
    </row>
    <row r="7921" spans="30:30" x14ac:dyDescent="0.25">
      <c r="AD7921"/>
    </row>
    <row r="7922" spans="30:30" x14ac:dyDescent="0.25">
      <c r="AD7922"/>
    </row>
    <row r="7923" spans="30:30" x14ac:dyDescent="0.25">
      <c r="AD7923"/>
    </row>
    <row r="7924" spans="30:30" x14ac:dyDescent="0.25">
      <c r="AD7924"/>
    </row>
    <row r="7925" spans="30:30" x14ac:dyDescent="0.25">
      <c r="AD7925"/>
    </row>
    <row r="7926" spans="30:30" x14ac:dyDescent="0.25">
      <c r="AD7926"/>
    </row>
    <row r="7927" spans="30:30" x14ac:dyDescent="0.25">
      <c r="AD7927"/>
    </row>
    <row r="7928" spans="30:30" x14ac:dyDescent="0.25">
      <c r="AD7928"/>
    </row>
    <row r="7929" spans="30:30" x14ac:dyDescent="0.25">
      <c r="AD7929"/>
    </row>
    <row r="7930" spans="30:30" x14ac:dyDescent="0.25">
      <c r="AD7930"/>
    </row>
    <row r="7931" spans="30:30" x14ac:dyDescent="0.25">
      <c r="AD7931"/>
    </row>
    <row r="7932" spans="30:30" x14ac:dyDescent="0.25">
      <c r="AD7932"/>
    </row>
    <row r="7933" spans="30:30" x14ac:dyDescent="0.25">
      <c r="AD7933"/>
    </row>
    <row r="7934" spans="30:30" x14ac:dyDescent="0.25">
      <c r="AD7934"/>
    </row>
    <row r="7935" spans="30:30" x14ac:dyDescent="0.25">
      <c r="AD7935"/>
    </row>
    <row r="7936" spans="30:30" x14ac:dyDescent="0.25">
      <c r="AD7936"/>
    </row>
    <row r="7937" spans="30:30" x14ac:dyDescent="0.25">
      <c r="AD7937"/>
    </row>
    <row r="7938" spans="30:30" x14ac:dyDescent="0.25">
      <c r="AD7938"/>
    </row>
    <row r="7939" spans="30:30" x14ac:dyDescent="0.25">
      <c r="AD7939"/>
    </row>
    <row r="7940" spans="30:30" x14ac:dyDescent="0.25">
      <c r="AD7940"/>
    </row>
    <row r="7941" spans="30:30" x14ac:dyDescent="0.25">
      <c r="AD7941"/>
    </row>
    <row r="7942" spans="30:30" x14ac:dyDescent="0.25">
      <c r="AD7942"/>
    </row>
    <row r="7943" spans="30:30" x14ac:dyDescent="0.25">
      <c r="AD7943"/>
    </row>
    <row r="7944" spans="30:30" x14ac:dyDescent="0.25">
      <c r="AD7944"/>
    </row>
    <row r="7945" spans="30:30" x14ac:dyDescent="0.25">
      <c r="AD7945"/>
    </row>
    <row r="7946" spans="30:30" x14ac:dyDescent="0.25">
      <c r="AD7946"/>
    </row>
    <row r="7947" spans="30:30" x14ac:dyDescent="0.25">
      <c r="AD7947"/>
    </row>
    <row r="7948" spans="30:30" x14ac:dyDescent="0.25">
      <c r="AD7948"/>
    </row>
    <row r="7949" spans="30:30" x14ac:dyDescent="0.25">
      <c r="AD7949"/>
    </row>
    <row r="7950" spans="30:30" x14ac:dyDescent="0.25">
      <c r="AD7950"/>
    </row>
    <row r="7951" spans="30:30" x14ac:dyDescent="0.25">
      <c r="AD7951"/>
    </row>
    <row r="7952" spans="30:30" x14ac:dyDescent="0.25">
      <c r="AD7952"/>
    </row>
    <row r="7953" spans="30:30" x14ac:dyDescent="0.25">
      <c r="AD7953"/>
    </row>
    <row r="7954" spans="30:30" x14ac:dyDescent="0.25">
      <c r="AD7954"/>
    </row>
    <row r="7955" spans="30:30" x14ac:dyDescent="0.25">
      <c r="AD7955"/>
    </row>
    <row r="7956" spans="30:30" x14ac:dyDescent="0.25">
      <c r="AD7956"/>
    </row>
    <row r="7957" spans="30:30" x14ac:dyDescent="0.25">
      <c r="AD7957"/>
    </row>
    <row r="7958" spans="30:30" x14ac:dyDescent="0.25">
      <c r="AD7958"/>
    </row>
    <row r="7959" spans="30:30" x14ac:dyDescent="0.25">
      <c r="AD7959"/>
    </row>
    <row r="7960" spans="30:30" x14ac:dyDescent="0.25">
      <c r="AD7960"/>
    </row>
    <row r="7961" spans="30:30" x14ac:dyDescent="0.25">
      <c r="AD7961"/>
    </row>
    <row r="7962" spans="30:30" x14ac:dyDescent="0.25">
      <c r="AD7962"/>
    </row>
    <row r="7963" spans="30:30" x14ac:dyDescent="0.25">
      <c r="AD7963"/>
    </row>
    <row r="7964" spans="30:30" x14ac:dyDescent="0.25">
      <c r="AD7964"/>
    </row>
    <row r="7965" spans="30:30" x14ac:dyDescent="0.25">
      <c r="AD7965"/>
    </row>
    <row r="7966" spans="30:30" x14ac:dyDescent="0.25">
      <c r="AD7966"/>
    </row>
    <row r="7967" spans="30:30" x14ac:dyDescent="0.25">
      <c r="AD7967"/>
    </row>
    <row r="7968" spans="30:30" x14ac:dyDescent="0.25">
      <c r="AD7968"/>
    </row>
    <row r="7969" spans="30:30" x14ac:dyDescent="0.25">
      <c r="AD7969"/>
    </row>
    <row r="7970" spans="30:30" x14ac:dyDescent="0.25">
      <c r="AD7970"/>
    </row>
    <row r="7971" spans="30:30" x14ac:dyDescent="0.25">
      <c r="AD7971"/>
    </row>
    <row r="7972" spans="30:30" x14ac:dyDescent="0.25">
      <c r="AD7972"/>
    </row>
    <row r="7973" spans="30:30" x14ac:dyDescent="0.25">
      <c r="AD7973"/>
    </row>
    <row r="7974" spans="30:30" x14ac:dyDescent="0.25">
      <c r="AD7974"/>
    </row>
    <row r="7975" spans="30:30" x14ac:dyDescent="0.25">
      <c r="AD7975"/>
    </row>
    <row r="7976" spans="30:30" x14ac:dyDescent="0.25">
      <c r="AD7976"/>
    </row>
    <row r="7977" spans="30:30" x14ac:dyDescent="0.25">
      <c r="AD7977"/>
    </row>
    <row r="7978" spans="30:30" x14ac:dyDescent="0.25">
      <c r="AD7978"/>
    </row>
    <row r="7979" spans="30:30" x14ac:dyDescent="0.25">
      <c r="AD7979"/>
    </row>
    <row r="7980" spans="30:30" x14ac:dyDescent="0.25">
      <c r="AD7980"/>
    </row>
    <row r="7981" spans="30:30" x14ac:dyDescent="0.25">
      <c r="AD7981"/>
    </row>
    <row r="7982" spans="30:30" x14ac:dyDescent="0.25">
      <c r="AD7982"/>
    </row>
    <row r="7983" spans="30:30" x14ac:dyDescent="0.25">
      <c r="AD7983"/>
    </row>
    <row r="7984" spans="30:30" x14ac:dyDescent="0.25">
      <c r="AD7984"/>
    </row>
    <row r="7985" spans="30:30" x14ac:dyDescent="0.25">
      <c r="AD7985"/>
    </row>
    <row r="7986" spans="30:30" x14ac:dyDescent="0.25">
      <c r="AD7986"/>
    </row>
    <row r="7987" spans="30:30" x14ac:dyDescent="0.25">
      <c r="AD7987"/>
    </row>
    <row r="7988" spans="30:30" x14ac:dyDescent="0.25">
      <c r="AD7988"/>
    </row>
    <row r="7989" spans="30:30" x14ac:dyDescent="0.25">
      <c r="AD7989"/>
    </row>
    <row r="7990" spans="30:30" x14ac:dyDescent="0.25">
      <c r="AD7990"/>
    </row>
    <row r="7991" spans="30:30" x14ac:dyDescent="0.25">
      <c r="AD7991"/>
    </row>
    <row r="7992" spans="30:30" x14ac:dyDescent="0.25">
      <c r="AD7992"/>
    </row>
    <row r="7993" spans="30:30" x14ac:dyDescent="0.25">
      <c r="AD7993"/>
    </row>
    <row r="7994" spans="30:30" x14ac:dyDescent="0.25">
      <c r="AD7994"/>
    </row>
    <row r="7995" spans="30:30" x14ac:dyDescent="0.25">
      <c r="AD7995"/>
    </row>
    <row r="7996" spans="30:30" x14ac:dyDescent="0.25">
      <c r="AD7996"/>
    </row>
    <row r="7997" spans="30:30" x14ac:dyDescent="0.25">
      <c r="AD7997"/>
    </row>
    <row r="7998" spans="30:30" x14ac:dyDescent="0.25">
      <c r="AD7998"/>
    </row>
    <row r="7999" spans="30:30" x14ac:dyDescent="0.25">
      <c r="AD7999"/>
    </row>
    <row r="8000" spans="30:30" x14ac:dyDescent="0.25">
      <c r="AD8000"/>
    </row>
    <row r="8001" spans="30:30" x14ac:dyDescent="0.25">
      <c r="AD8001"/>
    </row>
    <row r="8002" spans="30:30" x14ac:dyDescent="0.25">
      <c r="AD8002"/>
    </row>
    <row r="8003" spans="30:30" x14ac:dyDescent="0.25">
      <c r="AD8003"/>
    </row>
    <row r="8004" spans="30:30" x14ac:dyDescent="0.25">
      <c r="AD8004"/>
    </row>
    <row r="8005" spans="30:30" x14ac:dyDescent="0.25">
      <c r="AD8005"/>
    </row>
    <row r="8006" spans="30:30" x14ac:dyDescent="0.25">
      <c r="AD8006"/>
    </row>
    <row r="8007" spans="30:30" x14ac:dyDescent="0.25">
      <c r="AD8007"/>
    </row>
    <row r="8008" spans="30:30" x14ac:dyDescent="0.25">
      <c r="AD8008"/>
    </row>
    <row r="8009" spans="30:30" x14ac:dyDescent="0.25">
      <c r="AD8009"/>
    </row>
    <row r="8010" spans="30:30" x14ac:dyDescent="0.25">
      <c r="AD8010"/>
    </row>
    <row r="8011" spans="30:30" x14ac:dyDescent="0.25">
      <c r="AD8011"/>
    </row>
    <row r="8012" spans="30:30" x14ac:dyDescent="0.25">
      <c r="AD8012"/>
    </row>
    <row r="8013" spans="30:30" x14ac:dyDescent="0.25">
      <c r="AD8013"/>
    </row>
    <row r="8014" spans="30:30" x14ac:dyDescent="0.25">
      <c r="AD8014"/>
    </row>
    <row r="8015" spans="30:30" x14ac:dyDescent="0.25">
      <c r="AD8015"/>
    </row>
    <row r="8016" spans="30:30" x14ac:dyDescent="0.25">
      <c r="AD8016"/>
    </row>
    <row r="8017" spans="30:30" x14ac:dyDescent="0.25">
      <c r="AD8017"/>
    </row>
    <row r="8018" spans="30:30" x14ac:dyDescent="0.25">
      <c r="AD8018"/>
    </row>
    <row r="8019" spans="30:30" x14ac:dyDescent="0.25">
      <c r="AD8019"/>
    </row>
    <row r="8020" spans="30:30" x14ac:dyDescent="0.25">
      <c r="AD8020"/>
    </row>
    <row r="8021" spans="30:30" x14ac:dyDescent="0.25">
      <c r="AD8021"/>
    </row>
    <row r="8022" spans="30:30" x14ac:dyDescent="0.25">
      <c r="AD8022"/>
    </row>
    <row r="8023" spans="30:30" x14ac:dyDescent="0.25">
      <c r="AD8023"/>
    </row>
    <row r="8024" spans="30:30" x14ac:dyDescent="0.25">
      <c r="AD8024"/>
    </row>
    <row r="8025" spans="30:30" x14ac:dyDescent="0.25">
      <c r="AD8025"/>
    </row>
    <row r="8026" spans="30:30" x14ac:dyDescent="0.25">
      <c r="AD8026"/>
    </row>
    <row r="8027" spans="30:30" x14ac:dyDescent="0.25">
      <c r="AD8027"/>
    </row>
    <row r="8028" spans="30:30" x14ac:dyDescent="0.25">
      <c r="AD8028"/>
    </row>
    <row r="8029" spans="30:30" x14ac:dyDescent="0.25">
      <c r="AD8029"/>
    </row>
    <row r="8030" spans="30:30" x14ac:dyDescent="0.25">
      <c r="AD8030"/>
    </row>
    <row r="8031" spans="30:30" x14ac:dyDescent="0.25">
      <c r="AD8031"/>
    </row>
    <row r="8032" spans="30:30" x14ac:dyDescent="0.25">
      <c r="AD8032"/>
    </row>
    <row r="8033" spans="30:30" x14ac:dyDescent="0.25">
      <c r="AD8033"/>
    </row>
    <row r="8034" spans="30:30" x14ac:dyDescent="0.25">
      <c r="AD8034"/>
    </row>
    <row r="8035" spans="30:30" x14ac:dyDescent="0.25">
      <c r="AD8035"/>
    </row>
    <row r="8036" spans="30:30" x14ac:dyDescent="0.25">
      <c r="AD8036"/>
    </row>
    <row r="8037" spans="30:30" x14ac:dyDescent="0.25">
      <c r="AD8037"/>
    </row>
    <row r="8038" spans="30:30" x14ac:dyDescent="0.25">
      <c r="AD8038"/>
    </row>
    <row r="8039" spans="30:30" x14ac:dyDescent="0.25">
      <c r="AD8039"/>
    </row>
    <row r="8040" spans="30:30" x14ac:dyDescent="0.25">
      <c r="AD8040"/>
    </row>
    <row r="8041" spans="30:30" x14ac:dyDescent="0.25">
      <c r="AD8041"/>
    </row>
    <row r="8042" spans="30:30" x14ac:dyDescent="0.25">
      <c r="AD8042"/>
    </row>
    <row r="8043" spans="30:30" x14ac:dyDescent="0.25">
      <c r="AD8043"/>
    </row>
    <row r="8044" spans="30:30" x14ac:dyDescent="0.25">
      <c r="AD8044"/>
    </row>
    <row r="8045" spans="30:30" x14ac:dyDescent="0.25">
      <c r="AD8045"/>
    </row>
    <row r="8046" spans="30:30" x14ac:dyDescent="0.25">
      <c r="AD8046"/>
    </row>
    <row r="8047" spans="30:30" x14ac:dyDescent="0.25">
      <c r="AD8047"/>
    </row>
    <row r="8048" spans="30:30" x14ac:dyDescent="0.25">
      <c r="AD8048"/>
    </row>
    <row r="8049" spans="30:30" x14ac:dyDescent="0.25">
      <c r="AD8049"/>
    </row>
    <row r="8050" spans="30:30" x14ac:dyDescent="0.25">
      <c r="AD8050"/>
    </row>
    <row r="8051" spans="30:30" x14ac:dyDescent="0.25">
      <c r="AD8051"/>
    </row>
    <row r="8052" spans="30:30" x14ac:dyDescent="0.25">
      <c r="AD8052"/>
    </row>
    <row r="8053" spans="30:30" x14ac:dyDescent="0.25">
      <c r="AD8053"/>
    </row>
    <row r="8054" spans="30:30" x14ac:dyDescent="0.25">
      <c r="AD8054"/>
    </row>
    <row r="8055" spans="30:30" x14ac:dyDescent="0.25">
      <c r="AD8055"/>
    </row>
    <row r="8056" spans="30:30" x14ac:dyDescent="0.25">
      <c r="AD8056"/>
    </row>
    <row r="8057" spans="30:30" x14ac:dyDescent="0.25">
      <c r="AD8057"/>
    </row>
    <row r="8058" spans="30:30" x14ac:dyDescent="0.25">
      <c r="AD8058"/>
    </row>
    <row r="8059" spans="30:30" x14ac:dyDescent="0.25">
      <c r="AD8059"/>
    </row>
    <row r="8060" spans="30:30" x14ac:dyDescent="0.25">
      <c r="AD8060"/>
    </row>
    <row r="8061" spans="30:30" x14ac:dyDescent="0.25">
      <c r="AD8061"/>
    </row>
    <row r="8062" spans="30:30" x14ac:dyDescent="0.25">
      <c r="AD8062"/>
    </row>
    <row r="8063" spans="30:30" x14ac:dyDescent="0.25">
      <c r="AD8063"/>
    </row>
    <row r="8064" spans="30:30" x14ac:dyDescent="0.25">
      <c r="AD8064"/>
    </row>
    <row r="8065" spans="30:30" x14ac:dyDescent="0.25">
      <c r="AD8065"/>
    </row>
    <row r="8066" spans="30:30" x14ac:dyDescent="0.25">
      <c r="AD8066"/>
    </row>
    <row r="8067" spans="30:30" x14ac:dyDescent="0.25">
      <c r="AD8067"/>
    </row>
    <row r="8068" spans="30:30" x14ac:dyDescent="0.25">
      <c r="AD8068"/>
    </row>
    <row r="8069" spans="30:30" x14ac:dyDescent="0.25">
      <c r="AD8069"/>
    </row>
    <row r="8070" spans="30:30" x14ac:dyDescent="0.25">
      <c r="AD8070"/>
    </row>
    <row r="8071" spans="30:30" x14ac:dyDescent="0.25">
      <c r="AD8071"/>
    </row>
    <row r="8072" spans="30:30" x14ac:dyDescent="0.25">
      <c r="AD8072"/>
    </row>
    <row r="8073" spans="30:30" x14ac:dyDescent="0.25">
      <c r="AD8073"/>
    </row>
    <row r="8074" spans="30:30" x14ac:dyDescent="0.25">
      <c r="AD8074"/>
    </row>
    <row r="8075" spans="30:30" x14ac:dyDescent="0.25">
      <c r="AD8075"/>
    </row>
    <row r="8076" spans="30:30" x14ac:dyDescent="0.25">
      <c r="AD8076"/>
    </row>
    <row r="8077" spans="30:30" x14ac:dyDescent="0.25">
      <c r="AD8077"/>
    </row>
    <row r="8078" spans="30:30" x14ac:dyDescent="0.25">
      <c r="AD8078"/>
    </row>
    <row r="8079" spans="30:30" x14ac:dyDescent="0.25">
      <c r="AD8079"/>
    </row>
    <row r="8080" spans="30:30" x14ac:dyDescent="0.25">
      <c r="AD8080"/>
    </row>
    <row r="8081" spans="30:30" x14ac:dyDescent="0.25">
      <c r="AD8081"/>
    </row>
    <row r="8082" spans="30:30" x14ac:dyDescent="0.25">
      <c r="AD8082"/>
    </row>
    <row r="8083" spans="30:30" x14ac:dyDescent="0.25">
      <c r="AD8083"/>
    </row>
    <row r="8084" spans="30:30" x14ac:dyDescent="0.25">
      <c r="AD8084"/>
    </row>
    <row r="8085" spans="30:30" x14ac:dyDescent="0.25">
      <c r="AD8085"/>
    </row>
    <row r="8086" spans="30:30" x14ac:dyDescent="0.25">
      <c r="AD8086"/>
    </row>
    <row r="8087" spans="30:30" x14ac:dyDescent="0.25">
      <c r="AD8087"/>
    </row>
    <row r="8088" spans="30:30" x14ac:dyDescent="0.25">
      <c r="AD8088"/>
    </row>
    <row r="8089" spans="30:30" x14ac:dyDescent="0.25">
      <c r="AD8089"/>
    </row>
    <row r="8090" spans="30:30" x14ac:dyDescent="0.25">
      <c r="AD8090"/>
    </row>
    <row r="8091" spans="30:30" x14ac:dyDescent="0.25">
      <c r="AD8091"/>
    </row>
    <row r="8092" spans="30:30" x14ac:dyDescent="0.25">
      <c r="AD8092"/>
    </row>
    <row r="8093" spans="30:30" x14ac:dyDescent="0.25">
      <c r="AD8093"/>
    </row>
    <row r="8094" spans="30:30" x14ac:dyDescent="0.25">
      <c r="AD8094"/>
    </row>
    <row r="8095" spans="30:30" x14ac:dyDescent="0.25">
      <c r="AD8095"/>
    </row>
    <row r="8096" spans="30:30" x14ac:dyDescent="0.25">
      <c r="AD8096"/>
    </row>
    <row r="8097" spans="30:30" x14ac:dyDescent="0.25">
      <c r="AD8097"/>
    </row>
    <row r="8098" spans="30:30" x14ac:dyDescent="0.25">
      <c r="AD8098"/>
    </row>
    <row r="8099" spans="30:30" x14ac:dyDescent="0.25">
      <c r="AD8099"/>
    </row>
    <row r="8100" spans="30:30" x14ac:dyDescent="0.25">
      <c r="AD8100"/>
    </row>
    <row r="8101" spans="30:30" x14ac:dyDescent="0.25">
      <c r="AD8101"/>
    </row>
    <row r="8102" spans="30:30" x14ac:dyDescent="0.25">
      <c r="AD8102"/>
    </row>
    <row r="8103" spans="30:30" x14ac:dyDescent="0.25">
      <c r="AD8103"/>
    </row>
    <row r="8104" spans="30:30" x14ac:dyDescent="0.25">
      <c r="AD8104"/>
    </row>
    <row r="8105" spans="30:30" x14ac:dyDescent="0.25">
      <c r="AD8105"/>
    </row>
    <row r="8106" spans="30:30" x14ac:dyDescent="0.25">
      <c r="AD8106"/>
    </row>
    <row r="8107" spans="30:30" x14ac:dyDescent="0.25">
      <c r="AD8107"/>
    </row>
    <row r="8108" spans="30:30" x14ac:dyDescent="0.25">
      <c r="AD8108"/>
    </row>
    <row r="8109" spans="30:30" x14ac:dyDescent="0.25">
      <c r="AD8109"/>
    </row>
    <row r="8110" spans="30:30" x14ac:dyDescent="0.25">
      <c r="AD8110"/>
    </row>
    <row r="8111" spans="30:30" x14ac:dyDescent="0.25">
      <c r="AD8111"/>
    </row>
    <row r="8112" spans="30:30" x14ac:dyDescent="0.25">
      <c r="AD8112"/>
    </row>
    <row r="8113" spans="30:30" x14ac:dyDescent="0.25">
      <c r="AD8113"/>
    </row>
    <row r="8114" spans="30:30" x14ac:dyDescent="0.25">
      <c r="AD8114"/>
    </row>
    <row r="8115" spans="30:30" x14ac:dyDescent="0.25">
      <c r="AD8115"/>
    </row>
    <row r="8116" spans="30:30" x14ac:dyDescent="0.25">
      <c r="AD8116"/>
    </row>
    <row r="8117" spans="30:30" x14ac:dyDescent="0.25">
      <c r="AD8117"/>
    </row>
    <row r="8118" spans="30:30" x14ac:dyDescent="0.25">
      <c r="AD8118"/>
    </row>
    <row r="8119" spans="30:30" x14ac:dyDescent="0.25">
      <c r="AD8119"/>
    </row>
    <row r="8120" spans="30:30" x14ac:dyDescent="0.25">
      <c r="AD8120"/>
    </row>
    <row r="8121" spans="30:30" x14ac:dyDescent="0.25">
      <c r="AD8121"/>
    </row>
    <row r="8122" spans="30:30" x14ac:dyDescent="0.25">
      <c r="AD8122"/>
    </row>
    <row r="8123" spans="30:30" x14ac:dyDescent="0.25">
      <c r="AD8123"/>
    </row>
    <row r="8124" spans="30:30" x14ac:dyDescent="0.25">
      <c r="AD8124"/>
    </row>
    <row r="8125" spans="30:30" x14ac:dyDescent="0.25">
      <c r="AD8125"/>
    </row>
    <row r="8126" spans="30:30" x14ac:dyDescent="0.25">
      <c r="AD8126"/>
    </row>
    <row r="8127" spans="30:30" x14ac:dyDescent="0.25">
      <c r="AD8127"/>
    </row>
    <row r="8128" spans="30:30" x14ac:dyDescent="0.25">
      <c r="AD8128"/>
    </row>
    <row r="8129" spans="30:30" x14ac:dyDescent="0.25">
      <c r="AD8129"/>
    </row>
    <row r="8130" spans="30:30" x14ac:dyDescent="0.25">
      <c r="AD8130"/>
    </row>
    <row r="8131" spans="30:30" x14ac:dyDescent="0.25">
      <c r="AD8131"/>
    </row>
    <row r="8132" spans="30:30" x14ac:dyDescent="0.25">
      <c r="AD8132"/>
    </row>
    <row r="8133" spans="30:30" x14ac:dyDescent="0.25">
      <c r="AD8133"/>
    </row>
    <row r="8134" spans="30:30" x14ac:dyDescent="0.25">
      <c r="AD8134"/>
    </row>
    <row r="8135" spans="30:30" x14ac:dyDescent="0.25">
      <c r="AD8135"/>
    </row>
    <row r="8136" spans="30:30" x14ac:dyDescent="0.25">
      <c r="AD8136"/>
    </row>
    <row r="8137" spans="30:30" x14ac:dyDescent="0.25">
      <c r="AD8137"/>
    </row>
    <row r="8138" spans="30:30" x14ac:dyDescent="0.25">
      <c r="AD8138"/>
    </row>
    <row r="8139" spans="30:30" x14ac:dyDescent="0.25">
      <c r="AD8139"/>
    </row>
    <row r="8140" spans="30:30" x14ac:dyDescent="0.25">
      <c r="AD8140"/>
    </row>
    <row r="8141" spans="30:30" x14ac:dyDescent="0.25">
      <c r="AD8141"/>
    </row>
    <row r="8142" spans="30:30" x14ac:dyDescent="0.25">
      <c r="AD8142"/>
    </row>
    <row r="8143" spans="30:30" x14ac:dyDescent="0.25">
      <c r="AD8143"/>
    </row>
    <row r="8144" spans="30:30" x14ac:dyDescent="0.25">
      <c r="AD8144"/>
    </row>
    <row r="8145" spans="30:30" x14ac:dyDescent="0.25">
      <c r="AD8145"/>
    </row>
    <row r="8146" spans="30:30" x14ac:dyDescent="0.25">
      <c r="AD8146"/>
    </row>
    <row r="8147" spans="30:30" x14ac:dyDescent="0.25">
      <c r="AD8147"/>
    </row>
    <row r="8148" spans="30:30" x14ac:dyDescent="0.25">
      <c r="AD8148"/>
    </row>
    <row r="8149" spans="30:30" x14ac:dyDescent="0.25">
      <c r="AD8149"/>
    </row>
    <row r="8150" spans="30:30" x14ac:dyDescent="0.25">
      <c r="AD8150"/>
    </row>
    <row r="8151" spans="30:30" x14ac:dyDescent="0.25">
      <c r="AD8151"/>
    </row>
    <row r="8152" spans="30:30" x14ac:dyDescent="0.25">
      <c r="AD8152"/>
    </row>
    <row r="8153" spans="30:30" x14ac:dyDescent="0.25">
      <c r="AD8153"/>
    </row>
    <row r="8154" spans="30:30" x14ac:dyDescent="0.25">
      <c r="AD8154"/>
    </row>
    <row r="8155" spans="30:30" x14ac:dyDescent="0.25">
      <c r="AD8155"/>
    </row>
    <row r="8156" spans="30:30" x14ac:dyDescent="0.25">
      <c r="AD8156"/>
    </row>
    <row r="8157" spans="30:30" x14ac:dyDescent="0.25">
      <c r="AD8157"/>
    </row>
    <row r="8158" spans="30:30" x14ac:dyDescent="0.25">
      <c r="AD8158"/>
    </row>
    <row r="8159" spans="30:30" x14ac:dyDescent="0.25">
      <c r="AD8159"/>
    </row>
    <row r="8160" spans="30:30" x14ac:dyDescent="0.25">
      <c r="AD8160"/>
    </row>
    <row r="8161" spans="30:30" x14ac:dyDescent="0.25">
      <c r="AD8161"/>
    </row>
    <row r="8162" spans="30:30" x14ac:dyDescent="0.25">
      <c r="AD8162"/>
    </row>
    <row r="8163" spans="30:30" x14ac:dyDescent="0.25">
      <c r="AD8163"/>
    </row>
    <row r="8164" spans="30:30" x14ac:dyDescent="0.25">
      <c r="AD8164"/>
    </row>
    <row r="8165" spans="30:30" x14ac:dyDescent="0.25">
      <c r="AD8165"/>
    </row>
    <row r="8166" spans="30:30" x14ac:dyDescent="0.25">
      <c r="AD8166"/>
    </row>
    <row r="8167" spans="30:30" x14ac:dyDescent="0.25">
      <c r="AD8167"/>
    </row>
    <row r="8168" spans="30:30" x14ac:dyDescent="0.25">
      <c r="AD8168"/>
    </row>
    <row r="8169" spans="30:30" x14ac:dyDescent="0.25">
      <c r="AD8169"/>
    </row>
    <row r="8170" spans="30:30" x14ac:dyDescent="0.25">
      <c r="AD8170"/>
    </row>
    <row r="8171" spans="30:30" x14ac:dyDescent="0.25">
      <c r="AD8171"/>
    </row>
    <row r="8172" spans="30:30" x14ac:dyDescent="0.25">
      <c r="AD8172"/>
    </row>
    <row r="8173" spans="30:30" x14ac:dyDescent="0.25">
      <c r="AD8173"/>
    </row>
    <row r="8174" spans="30:30" x14ac:dyDescent="0.25">
      <c r="AD8174"/>
    </row>
    <row r="8175" spans="30:30" x14ac:dyDescent="0.25">
      <c r="AD8175"/>
    </row>
    <row r="8176" spans="30:30" x14ac:dyDescent="0.25">
      <c r="AD8176"/>
    </row>
    <row r="8177" spans="30:30" x14ac:dyDescent="0.25">
      <c r="AD8177"/>
    </row>
    <row r="8178" spans="30:30" x14ac:dyDescent="0.25">
      <c r="AD8178"/>
    </row>
    <row r="8179" spans="30:30" x14ac:dyDescent="0.25">
      <c r="AD8179"/>
    </row>
    <row r="8180" spans="30:30" x14ac:dyDescent="0.25">
      <c r="AD8180"/>
    </row>
    <row r="8181" spans="30:30" x14ac:dyDescent="0.25">
      <c r="AD8181"/>
    </row>
    <row r="8182" spans="30:30" x14ac:dyDescent="0.25">
      <c r="AD8182"/>
    </row>
    <row r="8183" spans="30:30" x14ac:dyDescent="0.25">
      <c r="AD8183"/>
    </row>
    <row r="8184" spans="30:30" x14ac:dyDescent="0.25">
      <c r="AD8184"/>
    </row>
    <row r="8185" spans="30:30" x14ac:dyDescent="0.25">
      <c r="AD8185"/>
    </row>
    <row r="8186" spans="30:30" x14ac:dyDescent="0.25">
      <c r="AD8186"/>
    </row>
    <row r="8187" spans="30:30" x14ac:dyDescent="0.25">
      <c r="AD8187"/>
    </row>
    <row r="8188" spans="30:30" x14ac:dyDescent="0.25">
      <c r="AD8188"/>
    </row>
    <row r="8189" spans="30:30" x14ac:dyDescent="0.25">
      <c r="AD8189"/>
    </row>
    <row r="8190" spans="30:30" x14ac:dyDescent="0.25">
      <c r="AD8190"/>
    </row>
    <row r="8191" spans="30:30" x14ac:dyDescent="0.25">
      <c r="AD8191"/>
    </row>
    <row r="8192" spans="30:30" x14ac:dyDescent="0.25">
      <c r="AD8192"/>
    </row>
    <row r="8193" spans="30:30" x14ac:dyDescent="0.25">
      <c r="AD8193"/>
    </row>
    <row r="8194" spans="30:30" x14ac:dyDescent="0.25">
      <c r="AD8194"/>
    </row>
    <row r="8195" spans="30:30" x14ac:dyDescent="0.25">
      <c r="AD8195"/>
    </row>
    <row r="8196" spans="30:30" x14ac:dyDescent="0.25">
      <c r="AD8196"/>
    </row>
    <row r="8197" spans="30:30" x14ac:dyDescent="0.25">
      <c r="AD8197"/>
    </row>
    <row r="8198" spans="30:30" x14ac:dyDescent="0.25">
      <c r="AD8198"/>
    </row>
    <row r="8199" spans="30:30" x14ac:dyDescent="0.25">
      <c r="AD8199"/>
    </row>
    <row r="8200" spans="30:30" x14ac:dyDescent="0.25">
      <c r="AD8200"/>
    </row>
    <row r="8201" spans="30:30" x14ac:dyDescent="0.25">
      <c r="AD8201"/>
    </row>
    <row r="8202" spans="30:30" x14ac:dyDescent="0.25">
      <c r="AD8202"/>
    </row>
    <row r="8203" spans="30:30" x14ac:dyDescent="0.25">
      <c r="AD8203"/>
    </row>
    <row r="8204" spans="30:30" x14ac:dyDescent="0.25">
      <c r="AD8204"/>
    </row>
    <row r="8205" spans="30:30" x14ac:dyDescent="0.25">
      <c r="AD8205"/>
    </row>
    <row r="8206" spans="30:30" x14ac:dyDescent="0.25">
      <c r="AD8206"/>
    </row>
    <row r="8207" spans="30:30" x14ac:dyDescent="0.25">
      <c r="AD8207"/>
    </row>
    <row r="8208" spans="30:30" x14ac:dyDescent="0.25">
      <c r="AD8208"/>
    </row>
    <row r="8209" spans="30:30" x14ac:dyDescent="0.25">
      <c r="AD8209"/>
    </row>
    <row r="8210" spans="30:30" x14ac:dyDescent="0.25">
      <c r="AD8210"/>
    </row>
    <row r="8211" spans="30:30" x14ac:dyDescent="0.25">
      <c r="AD8211"/>
    </row>
    <row r="8212" spans="30:30" x14ac:dyDescent="0.25">
      <c r="AD8212"/>
    </row>
    <row r="8213" spans="30:30" x14ac:dyDescent="0.25">
      <c r="AD8213"/>
    </row>
    <row r="8214" spans="30:30" x14ac:dyDescent="0.25">
      <c r="AD8214"/>
    </row>
    <row r="8215" spans="30:30" x14ac:dyDescent="0.25">
      <c r="AD8215"/>
    </row>
    <row r="8216" spans="30:30" x14ac:dyDescent="0.25">
      <c r="AD8216"/>
    </row>
    <row r="8217" spans="30:30" x14ac:dyDescent="0.25">
      <c r="AD8217"/>
    </row>
    <row r="8218" spans="30:30" x14ac:dyDescent="0.25">
      <c r="AD8218"/>
    </row>
    <row r="8219" spans="30:30" x14ac:dyDescent="0.25">
      <c r="AD8219"/>
    </row>
    <row r="8220" spans="30:30" x14ac:dyDescent="0.25">
      <c r="AD8220"/>
    </row>
    <row r="8221" spans="30:30" x14ac:dyDescent="0.25">
      <c r="AD8221"/>
    </row>
    <row r="8222" spans="30:30" x14ac:dyDescent="0.25">
      <c r="AD8222"/>
    </row>
    <row r="8223" spans="30:30" x14ac:dyDescent="0.25">
      <c r="AD8223"/>
    </row>
    <row r="8224" spans="30:30" x14ac:dyDescent="0.25">
      <c r="AD8224"/>
    </row>
    <row r="8225" spans="30:30" x14ac:dyDescent="0.25">
      <c r="AD8225"/>
    </row>
    <row r="8226" spans="30:30" x14ac:dyDescent="0.25">
      <c r="AD8226"/>
    </row>
    <row r="8227" spans="30:30" x14ac:dyDescent="0.25">
      <c r="AD8227"/>
    </row>
    <row r="8228" spans="30:30" x14ac:dyDescent="0.25">
      <c r="AD8228"/>
    </row>
    <row r="8229" spans="30:30" x14ac:dyDescent="0.25">
      <c r="AD8229"/>
    </row>
    <row r="8230" spans="30:30" x14ac:dyDescent="0.25">
      <c r="AD8230"/>
    </row>
    <row r="8231" spans="30:30" x14ac:dyDescent="0.25">
      <c r="AD8231"/>
    </row>
    <row r="8232" spans="30:30" x14ac:dyDescent="0.25">
      <c r="AD8232"/>
    </row>
    <row r="8233" spans="30:30" x14ac:dyDescent="0.25">
      <c r="AD8233"/>
    </row>
    <row r="8234" spans="30:30" x14ac:dyDescent="0.25">
      <c r="AD8234"/>
    </row>
    <row r="8235" spans="30:30" x14ac:dyDescent="0.25">
      <c r="AD8235"/>
    </row>
    <row r="8236" spans="30:30" x14ac:dyDescent="0.25">
      <c r="AD8236"/>
    </row>
    <row r="8237" spans="30:30" x14ac:dyDescent="0.25">
      <c r="AD8237"/>
    </row>
    <row r="8238" spans="30:30" x14ac:dyDescent="0.25">
      <c r="AD8238"/>
    </row>
    <row r="8239" spans="30:30" x14ac:dyDescent="0.25">
      <c r="AD8239"/>
    </row>
    <row r="8240" spans="30:30" x14ac:dyDescent="0.25">
      <c r="AD8240"/>
    </row>
    <row r="8241" spans="30:30" x14ac:dyDescent="0.25">
      <c r="AD8241"/>
    </row>
    <row r="8242" spans="30:30" x14ac:dyDescent="0.25">
      <c r="AD8242"/>
    </row>
    <row r="8243" spans="30:30" x14ac:dyDescent="0.25">
      <c r="AD8243"/>
    </row>
    <row r="8244" spans="30:30" x14ac:dyDescent="0.25">
      <c r="AD8244"/>
    </row>
    <row r="8245" spans="30:30" x14ac:dyDescent="0.25">
      <c r="AD8245"/>
    </row>
    <row r="8246" spans="30:30" x14ac:dyDescent="0.25">
      <c r="AD8246"/>
    </row>
    <row r="8247" spans="30:30" x14ac:dyDescent="0.25">
      <c r="AD8247"/>
    </row>
    <row r="8248" spans="30:30" x14ac:dyDescent="0.25">
      <c r="AD8248"/>
    </row>
    <row r="8249" spans="30:30" x14ac:dyDescent="0.25">
      <c r="AD8249"/>
    </row>
    <row r="8250" spans="30:30" x14ac:dyDescent="0.25">
      <c r="AD8250"/>
    </row>
    <row r="8251" spans="30:30" x14ac:dyDescent="0.25">
      <c r="AD8251"/>
    </row>
    <row r="8252" spans="30:30" x14ac:dyDescent="0.25">
      <c r="AD8252"/>
    </row>
    <row r="8253" spans="30:30" x14ac:dyDescent="0.25">
      <c r="AD8253"/>
    </row>
    <row r="8254" spans="30:30" x14ac:dyDescent="0.25">
      <c r="AD8254"/>
    </row>
    <row r="8255" spans="30:30" x14ac:dyDescent="0.25">
      <c r="AD8255"/>
    </row>
    <row r="8256" spans="30:30" x14ac:dyDescent="0.25">
      <c r="AD8256"/>
    </row>
    <row r="8257" spans="30:30" x14ac:dyDescent="0.25">
      <c r="AD8257"/>
    </row>
    <row r="8258" spans="30:30" x14ac:dyDescent="0.25">
      <c r="AD8258"/>
    </row>
    <row r="8259" spans="30:30" x14ac:dyDescent="0.25">
      <c r="AD8259"/>
    </row>
    <row r="8260" spans="30:30" x14ac:dyDescent="0.25">
      <c r="AD8260"/>
    </row>
    <row r="8261" spans="30:30" x14ac:dyDescent="0.25">
      <c r="AD8261"/>
    </row>
    <row r="8262" spans="30:30" x14ac:dyDescent="0.25">
      <c r="AD8262"/>
    </row>
    <row r="8263" spans="30:30" x14ac:dyDescent="0.25">
      <c r="AD8263"/>
    </row>
    <row r="8264" spans="30:30" x14ac:dyDescent="0.25">
      <c r="AD8264"/>
    </row>
    <row r="8265" spans="30:30" x14ac:dyDescent="0.25">
      <c r="AD8265"/>
    </row>
    <row r="8266" spans="30:30" x14ac:dyDescent="0.25">
      <c r="AD8266"/>
    </row>
    <row r="8267" spans="30:30" x14ac:dyDescent="0.25">
      <c r="AD8267"/>
    </row>
    <row r="8268" spans="30:30" x14ac:dyDescent="0.25">
      <c r="AD8268"/>
    </row>
    <row r="8269" spans="30:30" x14ac:dyDescent="0.25">
      <c r="AD8269"/>
    </row>
    <row r="8270" spans="30:30" x14ac:dyDescent="0.25">
      <c r="AD8270"/>
    </row>
    <row r="8271" spans="30:30" x14ac:dyDescent="0.25">
      <c r="AD8271"/>
    </row>
    <row r="8272" spans="30:30" x14ac:dyDescent="0.25">
      <c r="AD8272"/>
    </row>
    <row r="8273" spans="30:30" x14ac:dyDescent="0.25">
      <c r="AD8273"/>
    </row>
    <row r="8274" spans="30:30" x14ac:dyDescent="0.25">
      <c r="AD8274"/>
    </row>
    <row r="8275" spans="30:30" x14ac:dyDescent="0.25">
      <c r="AD8275"/>
    </row>
    <row r="8276" spans="30:30" x14ac:dyDescent="0.25">
      <c r="AD8276"/>
    </row>
    <row r="8277" spans="30:30" x14ac:dyDescent="0.25">
      <c r="AD8277"/>
    </row>
    <row r="8278" spans="30:30" x14ac:dyDescent="0.25">
      <c r="AD8278"/>
    </row>
    <row r="8279" spans="30:30" x14ac:dyDescent="0.25">
      <c r="AD8279"/>
    </row>
    <row r="8280" spans="30:30" x14ac:dyDescent="0.25">
      <c r="AD8280"/>
    </row>
    <row r="8281" spans="30:30" x14ac:dyDescent="0.25">
      <c r="AD8281"/>
    </row>
    <row r="8282" spans="30:30" x14ac:dyDescent="0.25">
      <c r="AD8282"/>
    </row>
    <row r="8283" spans="30:30" x14ac:dyDescent="0.25">
      <c r="AD8283"/>
    </row>
    <row r="8284" spans="30:30" x14ac:dyDescent="0.25">
      <c r="AD8284"/>
    </row>
    <row r="8285" spans="30:30" x14ac:dyDescent="0.25">
      <c r="AD8285"/>
    </row>
    <row r="8286" spans="30:30" x14ac:dyDescent="0.25">
      <c r="AD8286"/>
    </row>
    <row r="8287" spans="30:30" x14ac:dyDescent="0.25">
      <c r="AD8287"/>
    </row>
    <row r="8288" spans="30:30" x14ac:dyDescent="0.25">
      <c r="AD8288"/>
    </row>
    <row r="8289" spans="30:30" x14ac:dyDescent="0.25">
      <c r="AD8289"/>
    </row>
    <row r="8290" spans="30:30" x14ac:dyDescent="0.25">
      <c r="AD8290"/>
    </row>
    <row r="8291" spans="30:30" x14ac:dyDescent="0.25">
      <c r="AD8291"/>
    </row>
    <row r="8292" spans="30:30" x14ac:dyDescent="0.25">
      <c r="AD8292"/>
    </row>
    <row r="8293" spans="30:30" x14ac:dyDescent="0.25">
      <c r="AD8293"/>
    </row>
    <row r="8294" spans="30:30" x14ac:dyDescent="0.25">
      <c r="AD8294"/>
    </row>
    <row r="8295" spans="30:30" x14ac:dyDescent="0.25">
      <c r="AD8295"/>
    </row>
    <row r="8296" spans="30:30" x14ac:dyDescent="0.25">
      <c r="AD8296"/>
    </row>
    <row r="8297" spans="30:30" x14ac:dyDescent="0.25">
      <c r="AD8297"/>
    </row>
    <row r="8298" spans="30:30" x14ac:dyDescent="0.25">
      <c r="AD8298"/>
    </row>
    <row r="8299" spans="30:30" x14ac:dyDescent="0.25">
      <c r="AD8299"/>
    </row>
    <row r="8300" spans="30:30" x14ac:dyDescent="0.25">
      <c r="AD8300"/>
    </row>
    <row r="8301" spans="30:30" x14ac:dyDescent="0.25">
      <c r="AD8301"/>
    </row>
    <row r="8302" spans="30:30" x14ac:dyDescent="0.25">
      <c r="AD8302"/>
    </row>
    <row r="8303" spans="30:30" x14ac:dyDescent="0.25">
      <c r="AD8303"/>
    </row>
    <row r="8304" spans="30:30" x14ac:dyDescent="0.25">
      <c r="AD8304"/>
    </row>
    <row r="8305" spans="30:30" x14ac:dyDescent="0.25">
      <c r="AD8305"/>
    </row>
    <row r="8306" spans="30:30" x14ac:dyDescent="0.25">
      <c r="AD8306"/>
    </row>
    <row r="8307" spans="30:30" x14ac:dyDescent="0.25">
      <c r="AD8307"/>
    </row>
    <row r="8308" spans="30:30" x14ac:dyDescent="0.25">
      <c r="AD8308"/>
    </row>
    <row r="8309" spans="30:30" x14ac:dyDescent="0.25">
      <c r="AD8309"/>
    </row>
    <row r="8310" spans="30:30" x14ac:dyDescent="0.25">
      <c r="AD8310"/>
    </row>
    <row r="8311" spans="30:30" x14ac:dyDescent="0.25">
      <c r="AD8311"/>
    </row>
    <row r="8312" spans="30:30" x14ac:dyDescent="0.25">
      <c r="AD8312"/>
    </row>
    <row r="8313" spans="30:30" x14ac:dyDescent="0.25">
      <c r="AD8313"/>
    </row>
    <row r="8314" spans="30:30" x14ac:dyDescent="0.25">
      <c r="AD8314"/>
    </row>
    <row r="8315" spans="30:30" x14ac:dyDescent="0.25">
      <c r="AD8315"/>
    </row>
    <row r="8316" spans="30:30" x14ac:dyDescent="0.25">
      <c r="AD8316"/>
    </row>
    <row r="8317" spans="30:30" x14ac:dyDescent="0.25">
      <c r="AD8317"/>
    </row>
    <row r="8318" spans="30:30" x14ac:dyDescent="0.25">
      <c r="AD8318"/>
    </row>
    <row r="8319" spans="30:30" x14ac:dyDescent="0.25">
      <c r="AD8319"/>
    </row>
    <row r="8320" spans="30:30" x14ac:dyDescent="0.25">
      <c r="AD8320"/>
    </row>
    <row r="8321" spans="30:30" x14ac:dyDescent="0.25">
      <c r="AD8321"/>
    </row>
    <row r="8322" spans="30:30" x14ac:dyDescent="0.25">
      <c r="AD8322"/>
    </row>
    <row r="8323" spans="30:30" x14ac:dyDescent="0.25">
      <c r="AD8323"/>
    </row>
    <row r="8324" spans="30:30" x14ac:dyDescent="0.25">
      <c r="AD8324"/>
    </row>
    <row r="8325" spans="30:30" x14ac:dyDescent="0.25">
      <c r="AD8325"/>
    </row>
    <row r="8326" spans="30:30" x14ac:dyDescent="0.25">
      <c r="AD8326"/>
    </row>
    <row r="8327" spans="30:30" x14ac:dyDescent="0.25">
      <c r="AD8327"/>
    </row>
    <row r="8328" spans="30:30" x14ac:dyDescent="0.25">
      <c r="AD8328"/>
    </row>
    <row r="8329" spans="30:30" x14ac:dyDescent="0.25">
      <c r="AD8329"/>
    </row>
    <row r="8330" spans="30:30" x14ac:dyDescent="0.25">
      <c r="AD8330"/>
    </row>
    <row r="8331" spans="30:30" x14ac:dyDescent="0.25">
      <c r="AD8331"/>
    </row>
    <row r="8332" spans="30:30" x14ac:dyDescent="0.25">
      <c r="AD8332"/>
    </row>
    <row r="8333" spans="30:30" x14ac:dyDescent="0.25">
      <c r="AD8333"/>
    </row>
    <row r="8334" spans="30:30" x14ac:dyDescent="0.25">
      <c r="AD8334"/>
    </row>
    <row r="8335" spans="30:30" x14ac:dyDescent="0.25">
      <c r="AD8335"/>
    </row>
    <row r="8336" spans="30:30" x14ac:dyDescent="0.25">
      <c r="AD8336"/>
    </row>
    <row r="8337" spans="30:30" x14ac:dyDescent="0.25">
      <c r="AD8337"/>
    </row>
    <row r="8338" spans="30:30" x14ac:dyDescent="0.25">
      <c r="AD8338"/>
    </row>
    <row r="8339" spans="30:30" x14ac:dyDescent="0.25">
      <c r="AD8339"/>
    </row>
    <row r="8340" spans="30:30" x14ac:dyDescent="0.25">
      <c r="AD8340"/>
    </row>
    <row r="8341" spans="30:30" x14ac:dyDescent="0.25">
      <c r="AD8341"/>
    </row>
    <row r="8342" spans="30:30" x14ac:dyDescent="0.25">
      <c r="AD8342"/>
    </row>
    <row r="8343" spans="30:30" x14ac:dyDescent="0.25">
      <c r="AD8343"/>
    </row>
    <row r="8344" spans="30:30" x14ac:dyDescent="0.25">
      <c r="AD8344"/>
    </row>
    <row r="8345" spans="30:30" x14ac:dyDescent="0.25">
      <c r="AD8345"/>
    </row>
    <row r="8346" spans="30:30" x14ac:dyDescent="0.25">
      <c r="AD8346"/>
    </row>
    <row r="8347" spans="30:30" x14ac:dyDescent="0.25">
      <c r="AD8347"/>
    </row>
    <row r="8348" spans="30:30" x14ac:dyDescent="0.25">
      <c r="AD8348"/>
    </row>
    <row r="8349" spans="30:30" x14ac:dyDescent="0.25">
      <c r="AD8349"/>
    </row>
    <row r="8350" spans="30:30" x14ac:dyDescent="0.25">
      <c r="AD8350"/>
    </row>
    <row r="8351" spans="30:30" x14ac:dyDescent="0.25">
      <c r="AD8351"/>
    </row>
    <row r="8352" spans="30:30" x14ac:dyDescent="0.25">
      <c r="AD8352"/>
    </row>
    <row r="8353" spans="30:30" x14ac:dyDescent="0.25">
      <c r="AD8353"/>
    </row>
    <row r="8354" spans="30:30" x14ac:dyDescent="0.25">
      <c r="AD8354"/>
    </row>
    <row r="8355" spans="30:30" x14ac:dyDescent="0.25">
      <c r="AD8355"/>
    </row>
    <row r="8356" spans="30:30" x14ac:dyDescent="0.25">
      <c r="AD8356"/>
    </row>
    <row r="8357" spans="30:30" x14ac:dyDescent="0.25">
      <c r="AD8357"/>
    </row>
    <row r="8358" spans="30:30" x14ac:dyDescent="0.25">
      <c r="AD8358"/>
    </row>
    <row r="8359" spans="30:30" x14ac:dyDescent="0.25">
      <c r="AD8359"/>
    </row>
    <row r="8360" spans="30:30" x14ac:dyDescent="0.25">
      <c r="AD8360"/>
    </row>
    <row r="8361" spans="30:30" x14ac:dyDescent="0.25">
      <c r="AD8361"/>
    </row>
    <row r="8362" spans="30:30" x14ac:dyDescent="0.25">
      <c r="AD8362"/>
    </row>
    <row r="8363" spans="30:30" x14ac:dyDescent="0.25">
      <c r="AD8363"/>
    </row>
    <row r="8364" spans="30:30" x14ac:dyDescent="0.25">
      <c r="AD8364"/>
    </row>
    <row r="8365" spans="30:30" x14ac:dyDescent="0.25">
      <c r="AD8365"/>
    </row>
    <row r="8366" spans="30:30" x14ac:dyDescent="0.25">
      <c r="AD8366"/>
    </row>
    <row r="8367" spans="30:30" x14ac:dyDescent="0.25">
      <c r="AD8367"/>
    </row>
    <row r="8368" spans="30:30" x14ac:dyDescent="0.25">
      <c r="AD8368"/>
    </row>
    <row r="8369" spans="30:30" x14ac:dyDescent="0.25">
      <c r="AD8369"/>
    </row>
    <row r="8370" spans="30:30" x14ac:dyDescent="0.25">
      <c r="AD8370"/>
    </row>
    <row r="8371" spans="30:30" x14ac:dyDescent="0.25">
      <c r="AD8371"/>
    </row>
    <row r="8372" spans="30:30" x14ac:dyDescent="0.25">
      <c r="AD8372"/>
    </row>
    <row r="8373" spans="30:30" x14ac:dyDescent="0.25">
      <c r="AD8373"/>
    </row>
    <row r="8374" spans="30:30" x14ac:dyDescent="0.25">
      <c r="AD8374"/>
    </row>
    <row r="8375" spans="30:30" x14ac:dyDescent="0.25">
      <c r="AD8375"/>
    </row>
    <row r="8376" spans="30:30" x14ac:dyDescent="0.25">
      <c r="AD8376"/>
    </row>
    <row r="8377" spans="30:30" x14ac:dyDescent="0.25">
      <c r="AD8377"/>
    </row>
    <row r="8378" spans="30:30" x14ac:dyDescent="0.25">
      <c r="AD8378"/>
    </row>
    <row r="8379" spans="30:30" x14ac:dyDescent="0.25">
      <c r="AD8379"/>
    </row>
    <row r="8380" spans="30:30" x14ac:dyDescent="0.25">
      <c r="AD8380"/>
    </row>
    <row r="8381" spans="30:30" x14ac:dyDescent="0.25">
      <c r="AD8381"/>
    </row>
    <row r="8382" spans="30:30" x14ac:dyDescent="0.25">
      <c r="AD8382"/>
    </row>
    <row r="8383" spans="30:30" x14ac:dyDescent="0.25">
      <c r="AD8383"/>
    </row>
    <row r="8384" spans="30:30" x14ac:dyDescent="0.25">
      <c r="AD8384"/>
    </row>
    <row r="8385" spans="30:30" x14ac:dyDescent="0.25">
      <c r="AD8385"/>
    </row>
    <row r="8386" spans="30:30" x14ac:dyDescent="0.25">
      <c r="AD8386"/>
    </row>
    <row r="8387" spans="30:30" x14ac:dyDescent="0.25">
      <c r="AD8387"/>
    </row>
    <row r="8388" spans="30:30" x14ac:dyDescent="0.25">
      <c r="AD8388"/>
    </row>
    <row r="8389" spans="30:30" x14ac:dyDescent="0.25">
      <c r="AD8389"/>
    </row>
    <row r="8390" spans="30:30" x14ac:dyDescent="0.25">
      <c r="AD8390"/>
    </row>
    <row r="8391" spans="30:30" x14ac:dyDescent="0.25">
      <c r="AD8391"/>
    </row>
    <row r="8392" spans="30:30" x14ac:dyDescent="0.25">
      <c r="AD8392"/>
    </row>
    <row r="8393" spans="30:30" x14ac:dyDescent="0.25">
      <c r="AD8393"/>
    </row>
    <row r="8394" spans="30:30" x14ac:dyDescent="0.25">
      <c r="AD8394"/>
    </row>
    <row r="8395" spans="30:30" x14ac:dyDescent="0.25">
      <c r="AD8395"/>
    </row>
    <row r="8396" spans="30:30" x14ac:dyDescent="0.25">
      <c r="AD8396"/>
    </row>
    <row r="8397" spans="30:30" x14ac:dyDescent="0.25">
      <c r="AD8397"/>
    </row>
    <row r="8398" spans="30:30" x14ac:dyDescent="0.25">
      <c r="AD8398"/>
    </row>
    <row r="8399" spans="30:30" x14ac:dyDescent="0.25">
      <c r="AD8399"/>
    </row>
    <row r="8400" spans="30:30" x14ac:dyDescent="0.25">
      <c r="AD8400"/>
    </row>
    <row r="8401" spans="30:30" x14ac:dyDescent="0.25">
      <c r="AD8401"/>
    </row>
    <row r="8402" spans="30:30" x14ac:dyDescent="0.25">
      <c r="AD8402"/>
    </row>
    <row r="8403" spans="30:30" x14ac:dyDescent="0.25">
      <c r="AD8403"/>
    </row>
    <row r="8404" spans="30:30" x14ac:dyDescent="0.25">
      <c r="AD8404"/>
    </row>
    <row r="8405" spans="30:30" x14ac:dyDescent="0.25">
      <c r="AD8405"/>
    </row>
    <row r="8406" spans="30:30" x14ac:dyDescent="0.25">
      <c r="AD8406"/>
    </row>
    <row r="8407" spans="30:30" x14ac:dyDescent="0.25">
      <c r="AD8407"/>
    </row>
    <row r="8408" spans="30:30" x14ac:dyDescent="0.25">
      <c r="AD8408"/>
    </row>
    <row r="8409" spans="30:30" x14ac:dyDescent="0.25">
      <c r="AD8409"/>
    </row>
    <row r="8410" spans="30:30" x14ac:dyDescent="0.25">
      <c r="AD8410"/>
    </row>
    <row r="8411" spans="30:30" x14ac:dyDescent="0.25">
      <c r="AD8411"/>
    </row>
    <row r="8412" spans="30:30" x14ac:dyDescent="0.25">
      <c r="AD8412"/>
    </row>
    <row r="8413" spans="30:30" x14ac:dyDescent="0.25">
      <c r="AD8413"/>
    </row>
    <row r="8414" spans="30:30" x14ac:dyDescent="0.25">
      <c r="AD8414"/>
    </row>
    <row r="8415" spans="30:30" x14ac:dyDescent="0.25">
      <c r="AD8415"/>
    </row>
    <row r="8416" spans="30:30" x14ac:dyDescent="0.25">
      <c r="AD8416"/>
    </row>
    <row r="8417" spans="30:30" x14ac:dyDescent="0.25">
      <c r="AD8417"/>
    </row>
    <row r="8418" spans="30:30" x14ac:dyDescent="0.25">
      <c r="AD8418"/>
    </row>
    <row r="8419" spans="30:30" x14ac:dyDescent="0.25">
      <c r="AD8419"/>
    </row>
    <row r="8420" spans="30:30" x14ac:dyDescent="0.25">
      <c r="AD8420"/>
    </row>
    <row r="8421" spans="30:30" x14ac:dyDescent="0.25">
      <c r="AD8421"/>
    </row>
    <row r="8422" spans="30:30" x14ac:dyDescent="0.25">
      <c r="AD8422"/>
    </row>
    <row r="8423" spans="30:30" x14ac:dyDescent="0.25">
      <c r="AD8423"/>
    </row>
    <row r="8424" spans="30:30" x14ac:dyDescent="0.25">
      <c r="AD8424"/>
    </row>
    <row r="8425" spans="30:30" x14ac:dyDescent="0.25">
      <c r="AD8425"/>
    </row>
    <row r="8426" spans="30:30" x14ac:dyDescent="0.25">
      <c r="AD8426"/>
    </row>
    <row r="8427" spans="30:30" x14ac:dyDescent="0.25">
      <c r="AD8427"/>
    </row>
    <row r="8428" spans="30:30" x14ac:dyDescent="0.25">
      <c r="AD8428"/>
    </row>
    <row r="8429" spans="30:30" x14ac:dyDescent="0.25">
      <c r="AD8429"/>
    </row>
    <row r="8430" spans="30:30" x14ac:dyDescent="0.25">
      <c r="AD8430"/>
    </row>
    <row r="8431" spans="30:30" x14ac:dyDescent="0.25">
      <c r="AD8431"/>
    </row>
    <row r="8432" spans="30:30" x14ac:dyDescent="0.25">
      <c r="AD8432"/>
    </row>
    <row r="8433" spans="30:30" x14ac:dyDescent="0.25">
      <c r="AD8433"/>
    </row>
    <row r="8434" spans="30:30" x14ac:dyDescent="0.25">
      <c r="AD8434"/>
    </row>
    <row r="8435" spans="30:30" x14ac:dyDescent="0.25">
      <c r="AD8435"/>
    </row>
    <row r="8436" spans="30:30" x14ac:dyDescent="0.25">
      <c r="AD8436"/>
    </row>
    <row r="8437" spans="30:30" x14ac:dyDescent="0.25">
      <c r="AD8437"/>
    </row>
    <row r="8438" spans="30:30" x14ac:dyDescent="0.25">
      <c r="AD8438"/>
    </row>
    <row r="8439" spans="30:30" x14ac:dyDescent="0.25">
      <c r="AD8439"/>
    </row>
    <row r="8440" spans="30:30" x14ac:dyDescent="0.25">
      <c r="AD8440"/>
    </row>
    <row r="8441" spans="30:30" x14ac:dyDescent="0.25">
      <c r="AD8441"/>
    </row>
    <row r="8442" spans="30:30" x14ac:dyDescent="0.25">
      <c r="AD8442"/>
    </row>
    <row r="8443" spans="30:30" x14ac:dyDescent="0.25">
      <c r="AD8443"/>
    </row>
    <row r="8444" spans="30:30" x14ac:dyDescent="0.25">
      <c r="AD8444"/>
    </row>
    <row r="8445" spans="30:30" x14ac:dyDescent="0.25">
      <c r="AD8445"/>
    </row>
    <row r="8446" spans="30:30" x14ac:dyDescent="0.25">
      <c r="AD8446"/>
    </row>
    <row r="8447" spans="30:30" x14ac:dyDescent="0.25">
      <c r="AD8447"/>
    </row>
    <row r="8448" spans="30:30" x14ac:dyDescent="0.25">
      <c r="AD8448"/>
    </row>
    <row r="8449" spans="30:30" x14ac:dyDescent="0.25">
      <c r="AD8449"/>
    </row>
    <row r="8450" spans="30:30" x14ac:dyDescent="0.25">
      <c r="AD8450"/>
    </row>
    <row r="8451" spans="30:30" x14ac:dyDescent="0.25">
      <c r="AD8451"/>
    </row>
    <row r="8452" spans="30:30" x14ac:dyDescent="0.25">
      <c r="AD8452"/>
    </row>
    <row r="8453" spans="30:30" x14ac:dyDescent="0.25">
      <c r="AD8453"/>
    </row>
    <row r="8454" spans="30:30" x14ac:dyDescent="0.25">
      <c r="AD8454"/>
    </row>
    <row r="8455" spans="30:30" x14ac:dyDescent="0.25">
      <c r="AD8455"/>
    </row>
    <row r="8456" spans="30:30" x14ac:dyDescent="0.25">
      <c r="AD8456"/>
    </row>
    <row r="8457" spans="30:30" x14ac:dyDescent="0.25">
      <c r="AD8457"/>
    </row>
    <row r="8458" spans="30:30" x14ac:dyDescent="0.25">
      <c r="AD8458"/>
    </row>
    <row r="8459" spans="30:30" x14ac:dyDescent="0.25">
      <c r="AD8459"/>
    </row>
    <row r="8460" spans="30:30" x14ac:dyDescent="0.25">
      <c r="AD8460"/>
    </row>
    <row r="8461" spans="30:30" x14ac:dyDescent="0.25">
      <c r="AD8461"/>
    </row>
    <row r="8462" spans="30:30" x14ac:dyDescent="0.25">
      <c r="AD8462"/>
    </row>
    <row r="8463" spans="30:30" x14ac:dyDescent="0.25">
      <c r="AD8463"/>
    </row>
    <row r="8464" spans="30:30" x14ac:dyDescent="0.25">
      <c r="AD8464"/>
    </row>
    <row r="8465" spans="30:30" x14ac:dyDescent="0.25">
      <c r="AD8465"/>
    </row>
    <row r="8466" spans="30:30" x14ac:dyDescent="0.25">
      <c r="AD8466"/>
    </row>
    <row r="8467" spans="30:30" x14ac:dyDescent="0.25">
      <c r="AD8467"/>
    </row>
    <row r="8468" spans="30:30" x14ac:dyDescent="0.25">
      <c r="AD8468"/>
    </row>
    <row r="8469" spans="30:30" x14ac:dyDescent="0.25">
      <c r="AD8469"/>
    </row>
    <row r="8470" spans="30:30" x14ac:dyDescent="0.25">
      <c r="AD8470"/>
    </row>
    <row r="8471" spans="30:30" x14ac:dyDescent="0.25">
      <c r="AD8471"/>
    </row>
    <row r="8472" spans="30:30" x14ac:dyDescent="0.25">
      <c r="AD8472"/>
    </row>
    <row r="8473" spans="30:30" x14ac:dyDescent="0.25">
      <c r="AD8473"/>
    </row>
    <row r="8474" spans="30:30" x14ac:dyDescent="0.25">
      <c r="AD8474"/>
    </row>
    <row r="8475" spans="30:30" x14ac:dyDescent="0.25">
      <c r="AD8475"/>
    </row>
    <row r="8476" spans="30:30" x14ac:dyDescent="0.25">
      <c r="AD8476"/>
    </row>
    <row r="8477" spans="30:30" x14ac:dyDescent="0.25">
      <c r="AD8477"/>
    </row>
    <row r="8478" spans="30:30" x14ac:dyDescent="0.25">
      <c r="AD8478"/>
    </row>
    <row r="8479" spans="30:30" x14ac:dyDescent="0.25">
      <c r="AD8479"/>
    </row>
    <row r="8480" spans="30:30" x14ac:dyDescent="0.25">
      <c r="AD8480"/>
    </row>
    <row r="8481" spans="30:30" x14ac:dyDescent="0.25">
      <c r="AD8481"/>
    </row>
    <row r="8482" spans="30:30" x14ac:dyDescent="0.25">
      <c r="AD8482"/>
    </row>
    <row r="8483" spans="30:30" x14ac:dyDescent="0.25">
      <c r="AD8483"/>
    </row>
    <row r="8484" spans="30:30" x14ac:dyDescent="0.25">
      <c r="AD8484"/>
    </row>
    <row r="8485" spans="30:30" x14ac:dyDescent="0.25">
      <c r="AD8485"/>
    </row>
    <row r="8486" spans="30:30" x14ac:dyDescent="0.25">
      <c r="AD8486"/>
    </row>
    <row r="8487" spans="30:30" x14ac:dyDescent="0.25">
      <c r="AD8487"/>
    </row>
    <row r="8488" spans="30:30" x14ac:dyDescent="0.25">
      <c r="AD8488"/>
    </row>
    <row r="8489" spans="30:30" x14ac:dyDescent="0.25">
      <c r="AD8489"/>
    </row>
    <row r="8490" spans="30:30" x14ac:dyDescent="0.25">
      <c r="AD8490"/>
    </row>
    <row r="8491" spans="30:30" x14ac:dyDescent="0.25">
      <c r="AD8491"/>
    </row>
    <row r="8492" spans="30:30" x14ac:dyDescent="0.25">
      <c r="AD8492"/>
    </row>
    <row r="8493" spans="30:30" x14ac:dyDescent="0.25">
      <c r="AD8493"/>
    </row>
    <row r="8494" spans="30:30" x14ac:dyDescent="0.25">
      <c r="AD8494"/>
    </row>
    <row r="8495" spans="30:30" x14ac:dyDescent="0.25">
      <c r="AD8495"/>
    </row>
    <row r="8496" spans="30:30" x14ac:dyDescent="0.25">
      <c r="AD8496"/>
    </row>
    <row r="8497" spans="30:30" x14ac:dyDescent="0.25">
      <c r="AD8497"/>
    </row>
    <row r="8498" spans="30:30" x14ac:dyDescent="0.25">
      <c r="AD8498"/>
    </row>
    <row r="8499" spans="30:30" x14ac:dyDescent="0.25">
      <c r="AD8499"/>
    </row>
    <row r="8500" spans="30:30" x14ac:dyDescent="0.25">
      <c r="AD8500"/>
    </row>
    <row r="8501" spans="30:30" x14ac:dyDescent="0.25">
      <c r="AD8501"/>
    </row>
    <row r="8502" spans="30:30" x14ac:dyDescent="0.25">
      <c r="AD8502"/>
    </row>
    <row r="8503" spans="30:30" x14ac:dyDescent="0.25">
      <c r="AD8503"/>
    </row>
    <row r="8504" spans="30:30" x14ac:dyDescent="0.25">
      <c r="AD8504"/>
    </row>
    <row r="8505" spans="30:30" x14ac:dyDescent="0.25">
      <c r="AD8505"/>
    </row>
    <row r="8506" spans="30:30" x14ac:dyDescent="0.25">
      <c r="AD8506"/>
    </row>
    <row r="8507" spans="30:30" x14ac:dyDescent="0.25">
      <c r="AD8507"/>
    </row>
    <row r="8508" spans="30:30" x14ac:dyDescent="0.25">
      <c r="AD8508"/>
    </row>
    <row r="8509" spans="30:30" x14ac:dyDescent="0.25">
      <c r="AD8509"/>
    </row>
    <row r="8510" spans="30:30" x14ac:dyDescent="0.25">
      <c r="AD8510"/>
    </row>
    <row r="8511" spans="30:30" x14ac:dyDescent="0.25">
      <c r="AD8511"/>
    </row>
    <row r="8512" spans="30:30" x14ac:dyDescent="0.25">
      <c r="AD8512"/>
    </row>
    <row r="8513" spans="30:30" x14ac:dyDescent="0.25">
      <c r="AD8513"/>
    </row>
    <row r="8514" spans="30:30" x14ac:dyDescent="0.25">
      <c r="AD8514"/>
    </row>
    <row r="8515" spans="30:30" x14ac:dyDescent="0.25">
      <c r="AD8515"/>
    </row>
    <row r="8516" spans="30:30" x14ac:dyDescent="0.25">
      <c r="AD8516"/>
    </row>
    <row r="8517" spans="30:30" x14ac:dyDescent="0.25">
      <c r="AD8517"/>
    </row>
    <row r="8518" spans="30:30" x14ac:dyDescent="0.25">
      <c r="AD8518"/>
    </row>
    <row r="8519" spans="30:30" x14ac:dyDescent="0.25">
      <c r="AD8519"/>
    </row>
    <row r="8520" spans="30:30" x14ac:dyDescent="0.25">
      <c r="AD8520"/>
    </row>
    <row r="8521" spans="30:30" x14ac:dyDescent="0.25">
      <c r="AD8521"/>
    </row>
    <row r="8522" spans="30:30" x14ac:dyDescent="0.25">
      <c r="AD8522"/>
    </row>
    <row r="8523" spans="30:30" x14ac:dyDescent="0.25">
      <c r="AD8523"/>
    </row>
    <row r="8524" spans="30:30" x14ac:dyDescent="0.25">
      <c r="AD8524"/>
    </row>
    <row r="8525" spans="30:30" x14ac:dyDescent="0.25">
      <c r="AD8525"/>
    </row>
    <row r="8526" spans="30:30" x14ac:dyDescent="0.25">
      <c r="AD8526"/>
    </row>
    <row r="8527" spans="30:30" x14ac:dyDescent="0.25">
      <c r="AD8527"/>
    </row>
    <row r="8528" spans="30:30" x14ac:dyDescent="0.25">
      <c r="AD8528"/>
    </row>
    <row r="8529" spans="30:30" x14ac:dyDescent="0.25">
      <c r="AD8529"/>
    </row>
    <row r="8530" spans="30:30" x14ac:dyDescent="0.25">
      <c r="AD8530"/>
    </row>
    <row r="8531" spans="30:30" x14ac:dyDescent="0.25">
      <c r="AD8531"/>
    </row>
    <row r="8532" spans="30:30" x14ac:dyDescent="0.25">
      <c r="AD8532"/>
    </row>
    <row r="8533" spans="30:30" x14ac:dyDescent="0.25">
      <c r="AD8533"/>
    </row>
    <row r="8534" spans="30:30" x14ac:dyDescent="0.25">
      <c r="AD8534"/>
    </row>
    <row r="8535" spans="30:30" x14ac:dyDescent="0.25">
      <c r="AD8535"/>
    </row>
    <row r="8536" spans="30:30" x14ac:dyDescent="0.25">
      <c r="AD8536"/>
    </row>
    <row r="8537" spans="30:30" x14ac:dyDescent="0.25">
      <c r="AD8537"/>
    </row>
    <row r="8538" spans="30:30" x14ac:dyDescent="0.25">
      <c r="AD8538"/>
    </row>
    <row r="8539" spans="30:30" x14ac:dyDescent="0.25">
      <c r="AD8539"/>
    </row>
    <row r="8540" spans="30:30" x14ac:dyDescent="0.25">
      <c r="AD8540"/>
    </row>
    <row r="8541" spans="30:30" x14ac:dyDescent="0.25">
      <c r="AD8541"/>
    </row>
    <row r="8542" spans="30:30" x14ac:dyDescent="0.25">
      <c r="AD8542"/>
    </row>
    <row r="8543" spans="30:30" x14ac:dyDescent="0.25">
      <c r="AD8543"/>
    </row>
    <row r="8544" spans="30:30" x14ac:dyDescent="0.25">
      <c r="AD8544"/>
    </row>
    <row r="8545" spans="30:30" x14ac:dyDescent="0.25">
      <c r="AD8545"/>
    </row>
    <row r="8546" spans="30:30" x14ac:dyDescent="0.25">
      <c r="AD8546"/>
    </row>
    <row r="8547" spans="30:30" x14ac:dyDescent="0.25">
      <c r="AD8547"/>
    </row>
    <row r="8548" spans="30:30" x14ac:dyDescent="0.25">
      <c r="AD8548"/>
    </row>
    <row r="8549" spans="30:30" x14ac:dyDescent="0.25">
      <c r="AD8549"/>
    </row>
    <row r="8550" spans="30:30" x14ac:dyDescent="0.25">
      <c r="AD8550"/>
    </row>
    <row r="8551" spans="30:30" x14ac:dyDescent="0.25">
      <c r="AD8551"/>
    </row>
    <row r="8552" spans="30:30" x14ac:dyDescent="0.25">
      <c r="AD8552"/>
    </row>
    <row r="8553" spans="30:30" x14ac:dyDescent="0.25">
      <c r="AD8553"/>
    </row>
    <row r="8554" spans="30:30" x14ac:dyDescent="0.25">
      <c r="AD8554"/>
    </row>
    <row r="8555" spans="30:30" x14ac:dyDescent="0.25">
      <c r="AD8555"/>
    </row>
    <row r="8556" spans="30:30" x14ac:dyDescent="0.25">
      <c r="AD8556"/>
    </row>
    <row r="8557" spans="30:30" x14ac:dyDescent="0.25">
      <c r="AD8557"/>
    </row>
    <row r="8558" spans="30:30" x14ac:dyDescent="0.25">
      <c r="AD8558"/>
    </row>
    <row r="8559" spans="30:30" x14ac:dyDescent="0.25">
      <c r="AD8559"/>
    </row>
    <row r="8560" spans="30:30" x14ac:dyDescent="0.25">
      <c r="AD8560"/>
    </row>
    <row r="8561" spans="30:30" x14ac:dyDescent="0.25">
      <c r="AD8561"/>
    </row>
    <row r="8562" spans="30:30" x14ac:dyDescent="0.25">
      <c r="AD8562"/>
    </row>
    <row r="8563" spans="30:30" x14ac:dyDescent="0.25">
      <c r="AD8563"/>
    </row>
    <row r="8564" spans="30:30" x14ac:dyDescent="0.25">
      <c r="AD8564"/>
    </row>
    <row r="8565" spans="30:30" x14ac:dyDescent="0.25">
      <c r="AD8565"/>
    </row>
    <row r="8566" spans="30:30" x14ac:dyDescent="0.25">
      <c r="AD8566"/>
    </row>
    <row r="8567" spans="30:30" x14ac:dyDescent="0.25">
      <c r="AD8567"/>
    </row>
    <row r="8568" spans="30:30" x14ac:dyDescent="0.25">
      <c r="AD8568"/>
    </row>
    <row r="8569" spans="30:30" x14ac:dyDescent="0.25">
      <c r="AD8569"/>
    </row>
    <row r="8570" spans="30:30" x14ac:dyDescent="0.25">
      <c r="AD8570"/>
    </row>
    <row r="8571" spans="30:30" x14ac:dyDescent="0.25">
      <c r="AD8571"/>
    </row>
    <row r="8572" spans="30:30" x14ac:dyDescent="0.25">
      <c r="AD8572"/>
    </row>
    <row r="8573" spans="30:30" x14ac:dyDescent="0.25">
      <c r="AD8573"/>
    </row>
    <row r="8574" spans="30:30" x14ac:dyDescent="0.25">
      <c r="AD8574"/>
    </row>
    <row r="8575" spans="30:30" x14ac:dyDescent="0.25">
      <c r="AD8575"/>
    </row>
    <row r="8576" spans="30:30" x14ac:dyDescent="0.25">
      <c r="AD8576"/>
    </row>
    <row r="8577" spans="30:30" x14ac:dyDescent="0.25">
      <c r="AD8577"/>
    </row>
    <row r="8578" spans="30:30" x14ac:dyDescent="0.25">
      <c r="AD8578"/>
    </row>
    <row r="8579" spans="30:30" x14ac:dyDescent="0.25">
      <c r="AD8579"/>
    </row>
    <row r="8580" spans="30:30" x14ac:dyDescent="0.25">
      <c r="AD8580"/>
    </row>
    <row r="8581" spans="30:30" x14ac:dyDescent="0.25">
      <c r="AD8581"/>
    </row>
    <row r="8582" spans="30:30" x14ac:dyDescent="0.25">
      <c r="AD8582"/>
    </row>
    <row r="8583" spans="30:30" x14ac:dyDescent="0.25">
      <c r="AD8583"/>
    </row>
    <row r="8584" spans="30:30" x14ac:dyDescent="0.25">
      <c r="AD8584"/>
    </row>
    <row r="8585" spans="30:30" x14ac:dyDescent="0.25">
      <c r="AD8585"/>
    </row>
    <row r="8586" spans="30:30" x14ac:dyDescent="0.25">
      <c r="AD8586"/>
    </row>
    <row r="8587" spans="30:30" x14ac:dyDescent="0.25">
      <c r="AD8587"/>
    </row>
    <row r="8588" spans="30:30" x14ac:dyDescent="0.25">
      <c r="AD8588"/>
    </row>
    <row r="8589" spans="30:30" x14ac:dyDescent="0.25">
      <c r="AD8589"/>
    </row>
    <row r="8590" spans="30:30" x14ac:dyDescent="0.25">
      <c r="AD8590"/>
    </row>
    <row r="8591" spans="30:30" x14ac:dyDescent="0.25">
      <c r="AD8591"/>
    </row>
    <row r="8592" spans="30:30" x14ac:dyDescent="0.25">
      <c r="AD8592"/>
    </row>
    <row r="8593" spans="30:30" x14ac:dyDescent="0.25">
      <c r="AD8593"/>
    </row>
    <row r="8594" spans="30:30" x14ac:dyDescent="0.25">
      <c r="AD8594"/>
    </row>
    <row r="8595" spans="30:30" x14ac:dyDescent="0.25">
      <c r="AD8595"/>
    </row>
    <row r="8596" spans="30:30" x14ac:dyDescent="0.25">
      <c r="AD8596"/>
    </row>
    <row r="8597" spans="30:30" x14ac:dyDescent="0.25">
      <c r="AD8597"/>
    </row>
    <row r="8598" spans="30:30" x14ac:dyDescent="0.25">
      <c r="AD8598"/>
    </row>
    <row r="8599" spans="30:30" x14ac:dyDescent="0.25">
      <c r="AD8599"/>
    </row>
    <row r="8600" spans="30:30" x14ac:dyDescent="0.25">
      <c r="AD8600"/>
    </row>
    <row r="8601" spans="30:30" x14ac:dyDescent="0.25">
      <c r="AD8601"/>
    </row>
    <row r="8602" spans="30:30" x14ac:dyDescent="0.25">
      <c r="AD8602"/>
    </row>
    <row r="8603" spans="30:30" x14ac:dyDescent="0.25">
      <c r="AD8603"/>
    </row>
    <row r="8604" spans="30:30" x14ac:dyDescent="0.25">
      <c r="AD8604"/>
    </row>
    <row r="8605" spans="30:30" x14ac:dyDescent="0.25">
      <c r="AD8605"/>
    </row>
    <row r="8606" spans="30:30" x14ac:dyDescent="0.25">
      <c r="AD8606"/>
    </row>
    <row r="8607" spans="30:30" x14ac:dyDescent="0.25">
      <c r="AD8607"/>
    </row>
    <row r="8608" spans="30:30" x14ac:dyDescent="0.25">
      <c r="AD8608"/>
    </row>
    <row r="8609" spans="30:30" x14ac:dyDescent="0.25">
      <c r="AD8609"/>
    </row>
    <row r="8610" spans="30:30" x14ac:dyDescent="0.25">
      <c r="AD8610"/>
    </row>
    <row r="8611" spans="30:30" x14ac:dyDescent="0.25">
      <c r="AD8611"/>
    </row>
    <row r="8612" spans="30:30" x14ac:dyDescent="0.25">
      <c r="AD8612"/>
    </row>
    <row r="8613" spans="30:30" x14ac:dyDescent="0.25">
      <c r="AD8613"/>
    </row>
    <row r="8614" spans="30:30" x14ac:dyDescent="0.25">
      <c r="AD8614"/>
    </row>
    <row r="8615" spans="30:30" x14ac:dyDescent="0.25">
      <c r="AD8615"/>
    </row>
    <row r="8616" spans="30:30" x14ac:dyDescent="0.25">
      <c r="AD8616"/>
    </row>
    <row r="8617" spans="30:30" x14ac:dyDescent="0.25">
      <c r="AD8617"/>
    </row>
    <row r="8618" spans="30:30" x14ac:dyDescent="0.25">
      <c r="AD8618"/>
    </row>
    <row r="8619" spans="30:30" x14ac:dyDescent="0.25">
      <c r="AD8619"/>
    </row>
    <row r="8620" spans="30:30" x14ac:dyDescent="0.25">
      <c r="AD8620"/>
    </row>
    <row r="8621" spans="30:30" x14ac:dyDescent="0.25">
      <c r="AD8621"/>
    </row>
    <row r="8622" spans="30:30" x14ac:dyDescent="0.25">
      <c r="AD8622"/>
    </row>
    <row r="8623" spans="30:30" x14ac:dyDescent="0.25">
      <c r="AD8623"/>
    </row>
    <row r="8624" spans="30:30" x14ac:dyDescent="0.25">
      <c r="AD8624"/>
    </row>
    <row r="8625" spans="30:30" x14ac:dyDescent="0.25">
      <c r="AD8625"/>
    </row>
    <row r="8626" spans="30:30" x14ac:dyDescent="0.25">
      <c r="AD8626"/>
    </row>
    <row r="8627" spans="30:30" x14ac:dyDescent="0.25">
      <c r="AD8627"/>
    </row>
    <row r="8628" spans="30:30" x14ac:dyDescent="0.25">
      <c r="AD8628"/>
    </row>
    <row r="8629" spans="30:30" x14ac:dyDescent="0.25">
      <c r="AD8629"/>
    </row>
    <row r="8630" spans="30:30" x14ac:dyDescent="0.25">
      <c r="AD8630"/>
    </row>
    <row r="8631" spans="30:30" x14ac:dyDescent="0.25">
      <c r="AD8631"/>
    </row>
    <row r="8632" spans="30:30" x14ac:dyDescent="0.25">
      <c r="AD8632"/>
    </row>
    <row r="8633" spans="30:30" x14ac:dyDescent="0.25">
      <c r="AD8633"/>
    </row>
    <row r="8634" spans="30:30" x14ac:dyDescent="0.25">
      <c r="AD8634"/>
    </row>
    <row r="8635" spans="30:30" x14ac:dyDescent="0.25">
      <c r="AD8635"/>
    </row>
    <row r="8636" spans="30:30" x14ac:dyDescent="0.25">
      <c r="AD8636"/>
    </row>
    <row r="8637" spans="30:30" x14ac:dyDescent="0.25">
      <c r="AD8637"/>
    </row>
    <row r="8638" spans="30:30" x14ac:dyDescent="0.25">
      <c r="AD8638"/>
    </row>
    <row r="8639" spans="30:30" x14ac:dyDescent="0.25">
      <c r="AD8639"/>
    </row>
    <row r="8640" spans="30:30" x14ac:dyDescent="0.25">
      <c r="AD8640"/>
    </row>
    <row r="8641" spans="30:30" x14ac:dyDescent="0.25">
      <c r="AD8641"/>
    </row>
    <row r="8642" spans="30:30" x14ac:dyDescent="0.25">
      <c r="AD8642"/>
    </row>
    <row r="8643" spans="30:30" x14ac:dyDescent="0.25">
      <c r="AD8643"/>
    </row>
    <row r="8644" spans="30:30" x14ac:dyDescent="0.25">
      <c r="AD8644"/>
    </row>
    <row r="8645" spans="30:30" x14ac:dyDescent="0.25">
      <c r="AD8645"/>
    </row>
    <row r="8646" spans="30:30" x14ac:dyDescent="0.25">
      <c r="AD8646"/>
    </row>
    <row r="8647" spans="30:30" x14ac:dyDescent="0.25">
      <c r="AD8647"/>
    </row>
    <row r="8648" spans="30:30" x14ac:dyDescent="0.25">
      <c r="AD8648"/>
    </row>
    <row r="8649" spans="30:30" x14ac:dyDescent="0.25">
      <c r="AD8649"/>
    </row>
    <row r="8650" spans="30:30" x14ac:dyDescent="0.25">
      <c r="AD8650"/>
    </row>
    <row r="8651" spans="30:30" x14ac:dyDescent="0.25">
      <c r="AD8651"/>
    </row>
    <row r="8652" spans="30:30" x14ac:dyDescent="0.25">
      <c r="AD8652"/>
    </row>
    <row r="8653" spans="30:30" x14ac:dyDescent="0.25">
      <c r="AD8653"/>
    </row>
    <row r="8654" spans="30:30" x14ac:dyDescent="0.25">
      <c r="AD8654"/>
    </row>
    <row r="8655" spans="30:30" x14ac:dyDescent="0.25">
      <c r="AD8655"/>
    </row>
    <row r="8656" spans="30:30" x14ac:dyDescent="0.25">
      <c r="AD8656"/>
    </row>
    <row r="8657" spans="30:30" x14ac:dyDescent="0.25">
      <c r="AD8657"/>
    </row>
    <row r="8658" spans="30:30" x14ac:dyDescent="0.25">
      <c r="AD8658"/>
    </row>
    <row r="8659" spans="30:30" x14ac:dyDescent="0.25">
      <c r="AD8659"/>
    </row>
    <row r="8660" spans="30:30" x14ac:dyDescent="0.25">
      <c r="AD8660"/>
    </row>
    <row r="8661" spans="30:30" x14ac:dyDescent="0.25">
      <c r="AD8661"/>
    </row>
    <row r="8662" spans="30:30" x14ac:dyDescent="0.25">
      <c r="AD8662"/>
    </row>
    <row r="8663" spans="30:30" x14ac:dyDescent="0.25">
      <c r="AD8663"/>
    </row>
    <row r="8664" spans="30:30" x14ac:dyDescent="0.25">
      <c r="AD8664"/>
    </row>
    <row r="8665" spans="30:30" x14ac:dyDescent="0.25">
      <c r="AD8665"/>
    </row>
    <row r="8666" spans="30:30" x14ac:dyDescent="0.25">
      <c r="AD8666"/>
    </row>
    <row r="8667" spans="30:30" x14ac:dyDescent="0.25">
      <c r="AD8667"/>
    </row>
    <row r="8668" spans="30:30" x14ac:dyDescent="0.25">
      <c r="AD8668"/>
    </row>
    <row r="8669" spans="30:30" x14ac:dyDescent="0.25">
      <c r="AD8669"/>
    </row>
    <row r="8670" spans="30:30" x14ac:dyDescent="0.25">
      <c r="AD8670"/>
    </row>
    <row r="8671" spans="30:30" x14ac:dyDescent="0.25">
      <c r="AD8671"/>
    </row>
    <row r="8672" spans="30:30" x14ac:dyDescent="0.25">
      <c r="AD8672"/>
    </row>
    <row r="8673" spans="30:30" x14ac:dyDescent="0.25">
      <c r="AD8673"/>
    </row>
    <row r="8674" spans="30:30" x14ac:dyDescent="0.25">
      <c r="AD8674"/>
    </row>
    <row r="8675" spans="30:30" x14ac:dyDescent="0.25">
      <c r="AD8675"/>
    </row>
    <row r="8676" spans="30:30" x14ac:dyDescent="0.25">
      <c r="AD8676"/>
    </row>
    <row r="8677" spans="30:30" x14ac:dyDescent="0.25">
      <c r="AD8677"/>
    </row>
    <row r="8678" spans="30:30" x14ac:dyDescent="0.25">
      <c r="AD8678"/>
    </row>
    <row r="8679" spans="30:30" x14ac:dyDescent="0.25">
      <c r="AD8679"/>
    </row>
    <row r="8680" spans="30:30" x14ac:dyDescent="0.25">
      <c r="AD8680"/>
    </row>
    <row r="8681" spans="30:30" x14ac:dyDescent="0.25">
      <c r="AD8681"/>
    </row>
    <row r="8682" spans="30:30" x14ac:dyDescent="0.25">
      <c r="AD8682"/>
    </row>
    <row r="8683" spans="30:30" x14ac:dyDescent="0.25">
      <c r="AD8683"/>
    </row>
    <row r="8684" spans="30:30" x14ac:dyDescent="0.25">
      <c r="AD8684"/>
    </row>
    <row r="8685" spans="30:30" x14ac:dyDescent="0.25">
      <c r="AD8685"/>
    </row>
    <row r="8686" spans="30:30" x14ac:dyDescent="0.25">
      <c r="AD8686"/>
    </row>
    <row r="8687" spans="30:30" x14ac:dyDescent="0.25">
      <c r="AD8687"/>
    </row>
    <row r="8688" spans="30:30" x14ac:dyDescent="0.25">
      <c r="AD8688"/>
    </row>
    <row r="8689" spans="30:30" x14ac:dyDescent="0.25">
      <c r="AD8689"/>
    </row>
    <row r="8690" spans="30:30" x14ac:dyDescent="0.25">
      <c r="AD8690"/>
    </row>
    <row r="8691" spans="30:30" x14ac:dyDescent="0.25">
      <c r="AD8691"/>
    </row>
    <row r="8692" spans="30:30" x14ac:dyDescent="0.25">
      <c r="AD8692"/>
    </row>
    <row r="8693" spans="30:30" x14ac:dyDescent="0.25">
      <c r="AD8693"/>
    </row>
    <row r="8694" spans="30:30" x14ac:dyDescent="0.25">
      <c r="AD8694"/>
    </row>
    <row r="8695" spans="30:30" x14ac:dyDescent="0.25">
      <c r="AD8695"/>
    </row>
    <row r="8696" spans="30:30" x14ac:dyDescent="0.25">
      <c r="AD8696"/>
    </row>
    <row r="8697" spans="30:30" x14ac:dyDescent="0.25">
      <c r="AD8697"/>
    </row>
    <row r="8698" spans="30:30" x14ac:dyDescent="0.25">
      <c r="AD8698"/>
    </row>
    <row r="8699" spans="30:30" x14ac:dyDescent="0.25">
      <c r="AD8699"/>
    </row>
    <row r="8700" spans="30:30" x14ac:dyDescent="0.25">
      <c r="AD8700"/>
    </row>
    <row r="8701" spans="30:30" x14ac:dyDescent="0.25">
      <c r="AD8701"/>
    </row>
    <row r="8702" spans="30:30" x14ac:dyDescent="0.25">
      <c r="AD8702"/>
    </row>
    <row r="8703" spans="30:30" x14ac:dyDescent="0.25">
      <c r="AD8703"/>
    </row>
    <row r="8704" spans="30:30" x14ac:dyDescent="0.25">
      <c r="AD8704"/>
    </row>
    <row r="8705" spans="30:30" x14ac:dyDescent="0.25">
      <c r="AD8705"/>
    </row>
    <row r="8706" spans="30:30" x14ac:dyDescent="0.25">
      <c r="AD8706"/>
    </row>
    <row r="8707" spans="30:30" x14ac:dyDescent="0.25">
      <c r="AD8707"/>
    </row>
    <row r="8708" spans="30:30" x14ac:dyDescent="0.25">
      <c r="AD8708"/>
    </row>
    <row r="8709" spans="30:30" x14ac:dyDescent="0.25">
      <c r="AD8709"/>
    </row>
    <row r="8710" spans="30:30" x14ac:dyDescent="0.25">
      <c r="AD8710"/>
    </row>
    <row r="8711" spans="30:30" x14ac:dyDescent="0.25">
      <c r="AD8711"/>
    </row>
    <row r="8712" spans="30:30" x14ac:dyDescent="0.25">
      <c r="AD8712"/>
    </row>
    <row r="8713" spans="30:30" x14ac:dyDescent="0.25">
      <c r="AD8713"/>
    </row>
    <row r="8714" spans="30:30" x14ac:dyDescent="0.25">
      <c r="AD8714"/>
    </row>
    <row r="8715" spans="30:30" x14ac:dyDescent="0.25">
      <c r="AD8715"/>
    </row>
    <row r="8716" spans="30:30" x14ac:dyDescent="0.25">
      <c r="AD8716"/>
    </row>
    <row r="8717" spans="30:30" x14ac:dyDescent="0.25">
      <c r="AD8717"/>
    </row>
    <row r="8718" spans="30:30" x14ac:dyDescent="0.25">
      <c r="AD8718"/>
    </row>
    <row r="8719" spans="30:30" x14ac:dyDescent="0.25">
      <c r="AD8719"/>
    </row>
    <row r="8720" spans="30:30" x14ac:dyDescent="0.25">
      <c r="AD8720"/>
    </row>
    <row r="8721" spans="30:30" x14ac:dyDescent="0.25">
      <c r="AD8721"/>
    </row>
    <row r="8722" spans="30:30" x14ac:dyDescent="0.25">
      <c r="AD8722"/>
    </row>
    <row r="8723" spans="30:30" x14ac:dyDescent="0.25">
      <c r="AD8723"/>
    </row>
    <row r="8724" spans="30:30" x14ac:dyDescent="0.25">
      <c r="AD8724"/>
    </row>
    <row r="8725" spans="30:30" x14ac:dyDescent="0.25">
      <c r="AD8725"/>
    </row>
    <row r="8726" spans="30:30" x14ac:dyDescent="0.25">
      <c r="AD8726"/>
    </row>
    <row r="8727" spans="30:30" x14ac:dyDescent="0.25">
      <c r="AD8727"/>
    </row>
    <row r="8728" spans="30:30" x14ac:dyDescent="0.25">
      <c r="AD8728"/>
    </row>
    <row r="8729" spans="30:30" x14ac:dyDescent="0.25">
      <c r="AD8729"/>
    </row>
    <row r="8730" spans="30:30" x14ac:dyDescent="0.25">
      <c r="AD8730"/>
    </row>
    <row r="8731" spans="30:30" x14ac:dyDescent="0.25">
      <c r="AD8731"/>
    </row>
    <row r="8732" spans="30:30" x14ac:dyDescent="0.25">
      <c r="AD8732"/>
    </row>
    <row r="8733" spans="30:30" x14ac:dyDescent="0.25">
      <c r="AD8733"/>
    </row>
    <row r="8734" spans="30:30" x14ac:dyDescent="0.25">
      <c r="AD8734"/>
    </row>
    <row r="8735" spans="30:30" x14ac:dyDescent="0.25">
      <c r="AD8735"/>
    </row>
    <row r="8736" spans="30:30" x14ac:dyDescent="0.25">
      <c r="AD8736"/>
    </row>
    <row r="8737" spans="30:30" x14ac:dyDescent="0.25">
      <c r="AD8737"/>
    </row>
    <row r="8738" spans="30:30" x14ac:dyDescent="0.25">
      <c r="AD8738"/>
    </row>
    <row r="8739" spans="30:30" x14ac:dyDescent="0.25">
      <c r="AD8739"/>
    </row>
    <row r="8740" spans="30:30" x14ac:dyDescent="0.25">
      <c r="AD8740"/>
    </row>
    <row r="8741" spans="30:30" x14ac:dyDescent="0.25">
      <c r="AD8741"/>
    </row>
    <row r="8742" spans="30:30" x14ac:dyDescent="0.25">
      <c r="AD8742"/>
    </row>
    <row r="8743" spans="30:30" x14ac:dyDescent="0.25">
      <c r="AD8743"/>
    </row>
    <row r="8744" spans="30:30" x14ac:dyDescent="0.25">
      <c r="AD8744"/>
    </row>
    <row r="8745" spans="30:30" x14ac:dyDescent="0.25">
      <c r="AD8745"/>
    </row>
    <row r="8746" spans="30:30" x14ac:dyDescent="0.25">
      <c r="AD8746"/>
    </row>
    <row r="8747" spans="30:30" x14ac:dyDescent="0.25">
      <c r="AD8747"/>
    </row>
    <row r="8748" spans="30:30" x14ac:dyDescent="0.25">
      <c r="AD8748"/>
    </row>
    <row r="8749" spans="30:30" x14ac:dyDescent="0.25">
      <c r="AD8749"/>
    </row>
    <row r="8750" spans="30:30" x14ac:dyDescent="0.25">
      <c r="AD8750"/>
    </row>
    <row r="8751" spans="30:30" x14ac:dyDescent="0.25">
      <c r="AD8751"/>
    </row>
    <row r="8752" spans="30:30" x14ac:dyDescent="0.25">
      <c r="AD8752"/>
    </row>
    <row r="8753" spans="30:30" x14ac:dyDescent="0.25">
      <c r="AD8753"/>
    </row>
    <row r="8754" spans="30:30" x14ac:dyDescent="0.25">
      <c r="AD8754"/>
    </row>
    <row r="8755" spans="30:30" x14ac:dyDescent="0.25">
      <c r="AD8755"/>
    </row>
    <row r="8756" spans="30:30" x14ac:dyDescent="0.25">
      <c r="AD8756"/>
    </row>
    <row r="8757" spans="30:30" x14ac:dyDescent="0.25">
      <c r="AD8757"/>
    </row>
    <row r="8758" spans="30:30" x14ac:dyDescent="0.25">
      <c r="AD8758"/>
    </row>
    <row r="8759" spans="30:30" x14ac:dyDescent="0.25">
      <c r="AD8759"/>
    </row>
    <row r="8760" spans="30:30" x14ac:dyDescent="0.25">
      <c r="AD8760"/>
    </row>
    <row r="8761" spans="30:30" x14ac:dyDescent="0.25">
      <c r="AD8761"/>
    </row>
    <row r="8762" spans="30:30" x14ac:dyDescent="0.25">
      <c r="AD8762"/>
    </row>
    <row r="8763" spans="30:30" x14ac:dyDescent="0.25">
      <c r="AD8763"/>
    </row>
    <row r="8764" spans="30:30" x14ac:dyDescent="0.25">
      <c r="AD8764"/>
    </row>
    <row r="8765" spans="30:30" x14ac:dyDescent="0.25">
      <c r="AD8765"/>
    </row>
    <row r="8766" spans="30:30" x14ac:dyDescent="0.25">
      <c r="AD8766"/>
    </row>
    <row r="8767" spans="30:30" x14ac:dyDescent="0.25">
      <c r="AD8767"/>
    </row>
    <row r="8768" spans="30:30" x14ac:dyDescent="0.25">
      <c r="AD8768"/>
    </row>
    <row r="8769" spans="30:30" x14ac:dyDescent="0.25">
      <c r="AD8769"/>
    </row>
    <row r="8770" spans="30:30" x14ac:dyDescent="0.25">
      <c r="AD8770"/>
    </row>
    <row r="8771" spans="30:30" x14ac:dyDescent="0.25">
      <c r="AD8771"/>
    </row>
    <row r="8772" spans="30:30" x14ac:dyDescent="0.25">
      <c r="AD8772"/>
    </row>
    <row r="8773" spans="30:30" x14ac:dyDescent="0.25">
      <c r="AD8773"/>
    </row>
    <row r="8774" spans="30:30" x14ac:dyDescent="0.25">
      <c r="AD8774"/>
    </row>
    <row r="8775" spans="30:30" x14ac:dyDescent="0.25">
      <c r="AD8775"/>
    </row>
    <row r="8776" spans="30:30" x14ac:dyDescent="0.25">
      <c r="AD8776"/>
    </row>
    <row r="8777" spans="30:30" x14ac:dyDescent="0.25">
      <c r="AD8777"/>
    </row>
    <row r="8778" spans="30:30" x14ac:dyDescent="0.25">
      <c r="AD8778"/>
    </row>
    <row r="8779" spans="30:30" x14ac:dyDescent="0.25">
      <c r="AD8779"/>
    </row>
    <row r="8780" spans="30:30" x14ac:dyDescent="0.25">
      <c r="AD8780"/>
    </row>
    <row r="8781" spans="30:30" x14ac:dyDescent="0.25">
      <c r="AD8781"/>
    </row>
    <row r="8782" spans="30:30" x14ac:dyDescent="0.25">
      <c r="AD8782"/>
    </row>
    <row r="8783" spans="30:30" x14ac:dyDescent="0.25">
      <c r="AD8783"/>
    </row>
    <row r="8784" spans="30:30" x14ac:dyDescent="0.25">
      <c r="AD8784"/>
    </row>
    <row r="8785" spans="30:30" x14ac:dyDescent="0.25">
      <c r="AD8785"/>
    </row>
    <row r="8786" spans="30:30" x14ac:dyDescent="0.25">
      <c r="AD8786"/>
    </row>
    <row r="8787" spans="30:30" x14ac:dyDescent="0.25">
      <c r="AD8787"/>
    </row>
    <row r="8788" spans="30:30" x14ac:dyDescent="0.25">
      <c r="AD8788"/>
    </row>
    <row r="8789" spans="30:30" x14ac:dyDescent="0.25">
      <c r="AD8789"/>
    </row>
    <row r="8790" spans="30:30" x14ac:dyDescent="0.25">
      <c r="AD8790"/>
    </row>
    <row r="8791" spans="30:30" x14ac:dyDescent="0.25">
      <c r="AD8791"/>
    </row>
    <row r="8792" spans="30:30" x14ac:dyDescent="0.25">
      <c r="AD8792"/>
    </row>
    <row r="8793" spans="30:30" x14ac:dyDescent="0.25">
      <c r="AD8793"/>
    </row>
    <row r="8794" spans="30:30" x14ac:dyDescent="0.25">
      <c r="AD8794"/>
    </row>
    <row r="8795" spans="30:30" x14ac:dyDescent="0.25">
      <c r="AD8795"/>
    </row>
    <row r="8796" spans="30:30" x14ac:dyDescent="0.25">
      <c r="AD8796"/>
    </row>
    <row r="8797" spans="30:30" x14ac:dyDescent="0.25">
      <c r="AD8797"/>
    </row>
    <row r="8798" spans="30:30" x14ac:dyDescent="0.25">
      <c r="AD8798"/>
    </row>
    <row r="8799" spans="30:30" x14ac:dyDescent="0.25">
      <c r="AD8799"/>
    </row>
    <row r="8800" spans="30:30" x14ac:dyDescent="0.25">
      <c r="AD8800"/>
    </row>
    <row r="8801" spans="30:30" x14ac:dyDescent="0.25">
      <c r="AD8801"/>
    </row>
    <row r="8802" spans="30:30" x14ac:dyDescent="0.25">
      <c r="AD8802"/>
    </row>
    <row r="8803" spans="30:30" x14ac:dyDescent="0.25">
      <c r="AD8803"/>
    </row>
    <row r="8804" spans="30:30" x14ac:dyDescent="0.25">
      <c r="AD8804"/>
    </row>
    <row r="8805" spans="30:30" x14ac:dyDescent="0.25">
      <c r="AD8805"/>
    </row>
    <row r="8806" spans="30:30" x14ac:dyDescent="0.25">
      <c r="AD8806"/>
    </row>
    <row r="8807" spans="30:30" x14ac:dyDescent="0.25">
      <c r="AD8807"/>
    </row>
    <row r="8808" spans="30:30" x14ac:dyDescent="0.25">
      <c r="AD8808"/>
    </row>
    <row r="8809" spans="30:30" x14ac:dyDescent="0.25">
      <c r="AD8809"/>
    </row>
    <row r="8810" spans="30:30" x14ac:dyDescent="0.25">
      <c r="AD8810"/>
    </row>
    <row r="8811" spans="30:30" x14ac:dyDescent="0.25">
      <c r="AD8811"/>
    </row>
    <row r="8812" spans="30:30" x14ac:dyDescent="0.25">
      <c r="AD8812"/>
    </row>
    <row r="8813" spans="30:30" x14ac:dyDescent="0.25">
      <c r="AD8813"/>
    </row>
    <row r="8814" spans="30:30" x14ac:dyDescent="0.25">
      <c r="AD8814"/>
    </row>
    <row r="8815" spans="30:30" x14ac:dyDescent="0.25">
      <c r="AD8815"/>
    </row>
    <row r="8816" spans="30:30" x14ac:dyDescent="0.25">
      <c r="AD8816"/>
    </row>
    <row r="8817" spans="30:30" x14ac:dyDescent="0.25">
      <c r="AD8817"/>
    </row>
    <row r="8818" spans="30:30" x14ac:dyDescent="0.25">
      <c r="AD8818"/>
    </row>
    <row r="8819" spans="30:30" x14ac:dyDescent="0.25">
      <c r="AD8819"/>
    </row>
    <row r="8820" spans="30:30" x14ac:dyDescent="0.25">
      <c r="AD8820"/>
    </row>
    <row r="8821" spans="30:30" x14ac:dyDescent="0.25">
      <c r="AD8821"/>
    </row>
    <row r="8822" spans="30:30" x14ac:dyDescent="0.25">
      <c r="AD8822"/>
    </row>
    <row r="8823" spans="30:30" x14ac:dyDescent="0.25">
      <c r="AD8823"/>
    </row>
    <row r="8824" spans="30:30" x14ac:dyDescent="0.25">
      <c r="AD8824"/>
    </row>
    <row r="8825" spans="30:30" x14ac:dyDescent="0.25">
      <c r="AD8825"/>
    </row>
    <row r="8826" spans="30:30" x14ac:dyDescent="0.25">
      <c r="AD8826"/>
    </row>
    <row r="8827" spans="30:30" x14ac:dyDescent="0.25">
      <c r="AD8827"/>
    </row>
    <row r="8828" spans="30:30" x14ac:dyDescent="0.25">
      <c r="AD8828"/>
    </row>
    <row r="8829" spans="30:30" x14ac:dyDescent="0.25">
      <c r="AD8829"/>
    </row>
    <row r="8830" spans="30:30" x14ac:dyDescent="0.25">
      <c r="AD8830"/>
    </row>
    <row r="8831" spans="30:30" x14ac:dyDescent="0.25">
      <c r="AD8831"/>
    </row>
    <row r="8832" spans="30:30" x14ac:dyDescent="0.25">
      <c r="AD8832"/>
    </row>
    <row r="8833" spans="30:30" x14ac:dyDescent="0.25">
      <c r="AD8833"/>
    </row>
    <row r="8834" spans="30:30" x14ac:dyDescent="0.25">
      <c r="AD8834"/>
    </row>
    <row r="8835" spans="30:30" x14ac:dyDescent="0.25">
      <c r="AD8835"/>
    </row>
    <row r="8836" spans="30:30" x14ac:dyDescent="0.25">
      <c r="AD8836"/>
    </row>
    <row r="8837" spans="30:30" x14ac:dyDescent="0.25">
      <c r="AD8837"/>
    </row>
    <row r="8838" spans="30:30" x14ac:dyDescent="0.25">
      <c r="AD8838"/>
    </row>
    <row r="8839" spans="30:30" x14ac:dyDescent="0.25">
      <c r="AD8839"/>
    </row>
    <row r="8840" spans="30:30" x14ac:dyDescent="0.25">
      <c r="AD8840"/>
    </row>
    <row r="8841" spans="30:30" x14ac:dyDescent="0.25">
      <c r="AD8841"/>
    </row>
    <row r="8842" spans="30:30" x14ac:dyDescent="0.25">
      <c r="AD8842"/>
    </row>
    <row r="8843" spans="30:30" x14ac:dyDescent="0.25">
      <c r="AD8843"/>
    </row>
    <row r="8844" spans="30:30" x14ac:dyDescent="0.25">
      <c r="AD8844"/>
    </row>
    <row r="8845" spans="30:30" x14ac:dyDescent="0.25">
      <c r="AD8845"/>
    </row>
    <row r="8846" spans="30:30" x14ac:dyDescent="0.25">
      <c r="AD8846"/>
    </row>
    <row r="8847" spans="30:30" x14ac:dyDescent="0.25">
      <c r="AD8847"/>
    </row>
    <row r="8848" spans="30:30" x14ac:dyDescent="0.25">
      <c r="AD8848"/>
    </row>
    <row r="8849" spans="30:30" x14ac:dyDescent="0.25">
      <c r="AD8849"/>
    </row>
    <row r="8850" spans="30:30" x14ac:dyDescent="0.25">
      <c r="AD8850"/>
    </row>
    <row r="8851" spans="30:30" x14ac:dyDescent="0.25">
      <c r="AD8851"/>
    </row>
    <row r="8852" spans="30:30" x14ac:dyDescent="0.25">
      <c r="AD8852"/>
    </row>
    <row r="8853" spans="30:30" x14ac:dyDescent="0.25">
      <c r="AD8853"/>
    </row>
    <row r="8854" spans="30:30" x14ac:dyDescent="0.25">
      <c r="AD8854"/>
    </row>
    <row r="8855" spans="30:30" x14ac:dyDescent="0.25">
      <c r="AD8855"/>
    </row>
    <row r="8856" spans="30:30" x14ac:dyDescent="0.25">
      <c r="AD8856"/>
    </row>
    <row r="8857" spans="30:30" x14ac:dyDescent="0.25">
      <c r="AD8857"/>
    </row>
    <row r="8858" spans="30:30" x14ac:dyDescent="0.25">
      <c r="AD8858"/>
    </row>
    <row r="8859" spans="30:30" x14ac:dyDescent="0.25">
      <c r="AD8859"/>
    </row>
    <row r="8860" spans="30:30" x14ac:dyDescent="0.25">
      <c r="AD8860"/>
    </row>
    <row r="8861" spans="30:30" x14ac:dyDescent="0.25">
      <c r="AD8861"/>
    </row>
    <row r="8862" spans="30:30" x14ac:dyDescent="0.25">
      <c r="AD8862"/>
    </row>
    <row r="8863" spans="30:30" x14ac:dyDescent="0.25">
      <c r="AD8863"/>
    </row>
    <row r="8864" spans="30:30" x14ac:dyDescent="0.25">
      <c r="AD8864"/>
    </row>
    <row r="8865" spans="30:30" x14ac:dyDescent="0.25">
      <c r="AD8865"/>
    </row>
    <row r="8866" spans="30:30" x14ac:dyDescent="0.25">
      <c r="AD8866"/>
    </row>
    <row r="8867" spans="30:30" x14ac:dyDescent="0.25">
      <c r="AD8867"/>
    </row>
    <row r="8868" spans="30:30" x14ac:dyDescent="0.25">
      <c r="AD8868"/>
    </row>
    <row r="8869" spans="30:30" x14ac:dyDescent="0.25">
      <c r="AD8869"/>
    </row>
    <row r="8870" spans="30:30" x14ac:dyDescent="0.25">
      <c r="AD8870"/>
    </row>
    <row r="8871" spans="30:30" x14ac:dyDescent="0.25">
      <c r="AD8871"/>
    </row>
    <row r="8872" spans="30:30" x14ac:dyDescent="0.25">
      <c r="AD8872"/>
    </row>
    <row r="8873" spans="30:30" x14ac:dyDescent="0.25">
      <c r="AD8873"/>
    </row>
    <row r="8874" spans="30:30" x14ac:dyDescent="0.25">
      <c r="AD8874"/>
    </row>
    <row r="8875" spans="30:30" x14ac:dyDescent="0.25">
      <c r="AD8875"/>
    </row>
    <row r="8876" spans="30:30" x14ac:dyDescent="0.25">
      <c r="AD8876"/>
    </row>
    <row r="8877" spans="30:30" x14ac:dyDescent="0.25">
      <c r="AD8877"/>
    </row>
    <row r="8878" spans="30:30" x14ac:dyDescent="0.25">
      <c r="AD8878"/>
    </row>
    <row r="8879" spans="30:30" x14ac:dyDescent="0.25">
      <c r="AD8879"/>
    </row>
    <row r="8880" spans="30:30" x14ac:dyDescent="0.25">
      <c r="AD8880"/>
    </row>
    <row r="8881" spans="30:30" x14ac:dyDescent="0.25">
      <c r="AD8881"/>
    </row>
    <row r="8882" spans="30:30" x14ac:dyDescent="0.25">
      <c r="AD8882"/>
    </row>
    <row r="8883" spans="30:30" x14ac:dyDescent="0.25">
      <c r="AD8883"/>
    </row>
    <row r="8884" spans="30:30" x14ac:dyDescent="0.25">
      <c r="AD8884"/>
    </row>
    <row r="8885" spans="30:30" x14ac:dyDescent="0.25">
      <c r="AD8885"/>
    </row>
    <row r="8886" spans="30:30" x14ac:dyDescent="0.25">
      <c r="AD8886"/>
    </row>
    <row r="8887" spans="30:30" x14ac:dyDescent="0.25">
      <c r="AD8887"/>
    </row>
    <row r="8888" spans="30:30" x14ac:dyDescent="0.25">
      <c r="AD8888"/>
    </row>
    <row r="8889" spans="30:30" x14ac:dyDescent="0.25">
      <c r="AD8889"/>
    </row>
    <row r="8890" spans="30:30" x14ac:dyDescent="0.25">
      <c r="AD8890"/>
    </row>
    <row r="8891" spans="30:30" x14ac:dyDescent="0.25">
      <c r="AD8891"/>
    </row>
    <row r="8892" spans="30:30" x14ac:dyDescent="0.25">
      <c r="AD8892"/>
    </row>
    <row r="8893" spans="30:30" x14ac:dyDescent="0.25">
      <c r="AD8893"/>
    </row>
    <row r="8894" spans="30:30" x14ac:dyDescent="0.25">
      <c r="AD8894"/>
    </row>
    <row r="8895" spans="30:30" x14ac:dyDescent="0.25">
      <c r="AD8895"/>
    </row>
    <row r="8896" spans="30:30" x14ac:dyDescent="0.25">
      <c r="AD8896"/>
    </row>
    <row r="8897" spans="30:30" x14ac:dyDescent="0.25">
      <c r="AD8897"/>
    </row>
    <row r="8898" spans="30:30" x14ac:dyDescent="0.25">
      <c r="AD8898"/>
    </row>
    <row r="8899" spans="30:30" x14ac:dyDescent="0.25">
      <c r="AD8899"/>
    </row>
    <row r="8900" spans="30:30" x14ac:dyDescent="0.25">
      <c r="AD8900"/>
    </row>
    <row r="8901" spans="30:30" x14ac:dyDescent="0.25">
      <c r="AD8901"/>
    </row>
    <row r="8902" spans="30:30" x14ac:dyDescent="0.25">
      <c r="AD8902"/>
    </row>
    <row r="8903" spans="30:30" x14ac:dyDescent="0.25">
      <c r="AD8903"/>
    </row>
    <row r="8904" spans="30:30" x14ac:dyDescent="0.25">
      <c r="AD8904"/>
    </row>
    <row r="8905" spans="30:30" x14ac:dyDescent="0.25">
      <c r="AD8905"/>
    </row>
    <row r="8906" spans="30:30" x14ac:dyDescent="0.25">
      <c r="AD8906"/>
    </row>
    <row r="8907" spans="30:30" x14ac:dyDescent="0.25">
      <c r="AD8907"/>
    </row>
    <row r="8908" spans="30:30" x14ac:dyDescent="0.25">
      <c r="AD8908"/>
    </row>
    <row r="8909" spans="30:30" x14ac:dyDescent="0.25">
      <c r="AD8909"/>
    </row>
    <row r="8910" spans="30:30" x14ac:dyDescent="0.25">
      <c r="AD8910"/>
    </row>
    <row r="8911" spans="30:30" x14ac:dyDescent="0.25">
      <c r="AD8911"/>
    </row>
    <row r="8912" spans="30:30" x14ac:dyDescent="0.25">
      <c r="AD8912"/>
    </row>
    <row r="8913" spans="30:30" x14ac:dyDescent="0.25">
      <c r="AD8913"/>
    </row>
    <row r="8914" spans="30:30" x14ac:dyDescent="0.25">
      <c r="AD8914"/>
    </row>
    <row r="8915" spans="30:30" x14ac:dyDescent="0.25">
      <c r="AD8915"/>
    </row>
    <row r="8916" spans="30:30" x14ac:dyDescent="0.25">
      <c r="AD8916"/>
    </row>
    <row r="8917" spans="30:30" x14ac:dyDescent="0.25">
      <c r="AD8917"/>
    </row>
    <row r="8918" spans="30:30" x14ac:dyDescent="0.25">
      <c r="AD8918"/>
    </row>
    <row r="8919" spans="30:30" x14ac:dyDescent="0.25">
      <c r="AD8919"/>
    </row>
    <row r="8920" spans="30:30" x14ac:dyDescent="0.25">
      <c r="AD8920"/>
    </row>
    <row r="8921" spans="30:30" x14ac:dyDescent="0.25">
      <c r="AD8921"/>
    </row>
    <row r="8922" spans="30:30" x14ac:dyDescent="0.25">
      <c r="AD8922"/>
    </row>
    <row r="8923" spans="30:30" x14ac:dyDescent="0.25">
      <c r="AD8923"/>
    </row>
    <row r="8924" spans="30:30" x14ac:dyDescent="0.25">
      <c r="AD8924"/>
    </row>
    <row r="8925" spans="30:30" x14ac:dyDescent="0.25">
      <c r="AD8925"/>
    </row>
    <row r="8926" spans="30:30" x14ac:dyDescent="0.25">
      <c r="AD8926"/>
    </row>
    <row r="8927" spans="30:30" x14ac:dyDescent="0.25">
      <c r="AD8927"/>
    </row>
    <row r="8928" spans="30:30" x14ac:dyDescent="0.25">
      <c r="AD8928"/>
    </row>
    <row r="8929" spans="30:30" x14ac:dyDescent="0.25">
      <c r="AD8929"/>
    </row>
    <row r="8930" spans="30:30" x14ac:dyDescent="0.25">
      <c r="AD8930"/>
    </row>
    <row r="8931" spans="30:30" x14ac:dyDescent="0.25">
      <c r="AD8931"/>
    </row>
    <row r="8932" spans="30:30" x14ac:dyDescent="0.25">
      <c r="AD8932"/>
    </row>
    <row r="8933" spans="30:30" x14ac:dyDescent="0.25">
      <c r="AD8933"/>
    </row>
    <row r="8934" spans="30:30" x14ac:dyDescent="0.25">
      <c r="AD8934"/>
    </row>
    <row r="8935" spans="30:30" x14ac:dyDescent="0.25">
      <c r="AD8935"/>
    </row>
    <row r="8936" spans="30:30" x14ac:dyDescent="0.25">
      <c r="AD8936"/>
    </row>
    <row r="8937" spans="30:30" x14ac:dyDescent="0.25">
      <c r="AD8937"/>
    </row>
    <row r="8938" spans="30:30" x14ac:dyDescent="0.25">
      <c r="AD8938"/>
    </row>
    <row r="8939" spans="30:30" x14ac:dyDescent="0.25">
      <c r="AD8939"/>
    </row>
    <row r="8940" spans="30:30" x14ac:dyDescent="0.25">
      <c r="AD8940"/>
    </row>
    <row r="8941" spans="30:30" x14ac:dyDescent="0.25">
      <c r="AD8941"/>
    </row>
    <row r="8942" spans="30:30" x14ac:dyDescent="0.25">
      <c r="AD8942"/>
    </row>
    <row r="8943" spans="30:30" x14ac:dyDescent="0.25">
      <c r="AD8943"/>
    </row>
    <row r="8944" spans="30:30" x14ac:dyDescent="0.25">
      <c r="AD8944"/>
    </row>
    <row r="8945" spans="30:30" x14ac:dyDescent="0.25">
      <c r="AD8945"/>
    </row>
    <row r="8946" spans="30:30" x14ac:dyDescent="0.25">
      <c r="AD8946"/>
    </row>
    <row r="8947" spans="30:30" x14ac:dyDescent="0.25">
      <c r="AD8947"/>
    </row>
    <row r="8948" spans="30:30" x14ac:dyDescent="0.25">
      <c r="AD8948"/>
    </row>
    <row r="8949" spans="30:30" x14ac:dyDescent="0.25">
      <c r="AD8949"/>
    </row>
    <row r="8950" spans="30:30" x14ac:dyDescent="0.25">
      <c r="AD8950"/>
    </row>
    <row r="8951" spans="30:30" x14ac:dyDescent="0.25">
      <c r="AD8951"/>
    </row>
    <row r="8952" spans="30:30" x14ac:dyDescent="0.25">
      <c r="AD8952"/>
    </row>
    <row r="8953" spans="30:30" x14ac:dyDescent="0.25">
      <c r="AD8953"/>
    </row>
    <row r="8954" spans="30:30" x14ac:dyDescent="0.25">
      <c r="AD8954"/>
    </row>
    <row r="8955" spans="30:30" x14ac:dyDescent="0.25">
      <c r="AD8955"/>
    </row>
    <row r="8956" spans="30:30" x14ac:dyDescent="0.25">
      <c r="AD8956"/>
    </row>
    <row r="8957" spans="30:30" x14ac:dyDescent="0.25">
      <c r="AD8957"/>
    </row>
    <row r="8958" spans="30:30" x14ac:dyDescent="0.25">
      <c r="AD8958"/>
    </row>
    <row r="8959" spans="30:30" x14ac:dyDescent="0.25">
      <c r="AD8959"/>
    </row>
    <row r="8960" spans="30:30" x14ac:dyDescent="0.25">
      <c r="AD8960"/>
    </row>
    <row r="8961" spans="30:30" x14ac:dyDescent="0.25">
      <c r="AD8961"/>
    </row>
    <row r="8962" spans="30:30" x14ac:dyDescent="0.25">
      <c r="AD8962"/>
    </row>
    <row r="8963" spans="30:30" x14ac:dyDescent="0.25">
      <c r="AD8963"/>
    </row>
    <row r="8964" spans="30:30" x14ac:dyDescent="0.25">
      <c r="AD8964"/>
    </row>
    <row r="8965" spans="30:30" x14ac:dyDescent="0.25">
      <c r="AD8965"/>
    </row>
    <row r="8966" spans="30:30" x14ac:dyDescent="0.25">
      <c r="AD8966"/>
    </row>
    <row r="8967" spans="30:30" x14ac:dyDescent="0.25">
      <c r="AD8967"/>
    </row>
    <row r="8968" spans="30:30" x14ac:dyDescent="0.25">
      <c r="AD8968"/>
    </row>
    <row r="8969" spans="30:30" x14ac:dyDescent="0.25">
      <c r="AD8969"/>
    </row>
    <row r="8970" spans="30:30" x14ac:dyDescent="0.25">
      <c r="AD8970"/>
    </row>
    <row r="8971" spans="30:30" x14ac:dyDescent="0.25">
      <c r="AD8971"/>
    </row>
    <row r="8972" spans="30:30" x14ac:dyDescent="0.25">
      <c r="AD8972"/>
    </row>
    <row r="8973" spans="30:30" x14ac:dyDescent="0.25">
      <c r="AD8973"/>
    </row>
    <row r="8974" spans="30:30" x14ac:dyDescent="0.25">
      <c r="AD8974"/>
    </row>
    <row r="8975" spans="30:30" x14ac:dyDescent="0.25">
      <c r="AD8975"/>
    </row>
    <row r="8976" spans="30:30" x14ac:dyDescent="0.25">
      <c r="AD8976"/>
    </row>
    <row r="8977" spans="30:30" x14ac:dyDescent="0.25">
      <c r="AD8977"/>
    </row>
    <row r="8978" spans="30:30" x14ac:dyDescent="0.25">
      <c r="AD8978"/>
    </row>
    <row r="8979" spans="30:30" x14ac:dyDescent="0.25">
      <c r="AD8979"/>
    </row>
    <row r="8980" spans="30:30" x14ac:dyDescent="0.25">
      <c r="AD8980"/>
    </row>
    <row r="8981" spans="30:30" x14ac:dyDescent="0.25">
      <c r="AD8981"/>
    </row>
    <row r="8982" spans="30:30" x14ac:dyDescent="0.25">
      <c r="AD8982"/>
    </row>
    <row r="8983" spans="30:30" x14ac:dyDescent="0.25">
      <c r="AD8983"/>
    </row>
    <row r="8984" spans="30:30" x14ac:dyDescent="0.25">
      <c r="AD8984"/>
    </row>
    <row r="8985" spans="30:30" x14ac:dyDescent="0.25">
      <c r="AD8985"/>
    </row>
    <row r="8986" spans="30:30" x14ac:dyDescent="0.25">
      <c r="AD8986"/>
    </row>
    <row r="8987" spans="30:30" x14ac:dyDescent="0.25">
      <c r="AD8987"/>
    </row>
    <row r="8988" spans="30:30" x14ac:dyDescent="0.25">
      <c r="AD8988"/>
    </row>
    <row r="8989" spans="30:30" x14ac:dyDescent="0.25">
      <c r="AD8989"/>
    </row>
    <row r="8990" spans="30:30" x14ac:dyDescent="0.25">
      <c r="AD8990"/>
    </row>
    <row r="8991" spans="30:30" x14ac:dyDescent="0.25">
      <c r="AD8991"/>
    </row>
    <row r="8992" spans="30:30" x14ac:dyDescent="0.25">
      <c r="AD8992"/>
    </row>
    <row r="8993" spans="30:30" x14ac:dyDescent="0.25">
      <c r="AD8993"/>
    </row>
    <row r="8994" spans="30:30" x14ac:dyDescent="0.25">
      <c r="AD8994"/>
    </row>
    <row r="8995" spans="30:30" x14ac:dyDescent="0.25">
      <c r="AD8995"/>
    </row>
    <row r="8996" spans="30:30" x14ac:dyDescent="0.25">
      <c r="AD8996"/>
    </row>
    <row r="8997" spans="30:30" x14ac:dyDescent="0.25">
      <c r="AD8997"/>
    </row>
    <row r="8998" spans="30:30" x14ac:dyDescent="0.25">
      <c r="AD8998"/>
    </row>
    <row r="8999" spans="30:30" x14ac:dyDescent="0.25">
      <c r="AD8999"/>
    </row>
    <row r="9000" spans="30:30" x14ac:dyDescent="0.25">
      <c r="AD9000"/>
    </row>
    <row r="9001" spans="30:30" x14ac:dyDescent="0.25">
      <c r="AD9001"/>
    </row>
    <row r="9002" spans="30:30" x14ac:dyDescent="0.25">
      <c r="AD9002"/>
    </row>
    <row r="9003" spans="30:30" x14ac:dyDescent="0.25">
      <c r="AD9003"/>
    </row>
    <row r="9004" spans="30:30" x14ac:dyDescent="0.25">
      <c r="AD9004"/>
    </row>
    <row r="9005" spans="30:30" x14ac:dyDescent="0.25">
      <c r="AD9005"/>
    </row>
    <row r="9006" spans="30:30" x14ac:dyDescent="0.25">
      <c r="AD9006"/>
    </row>
    <row r="9007" spans="30:30" x14ac:dyDescent="0.25">
      <c r="AD9007"/>
    </row>
    <row r="9008" spans="30:30" x14ac:dyDescent="0.25">
      <c r="AD9008"/>
    </row>
    <row r="9009" spans="30:30" x14ac:dyDescent="0.25">
      <c r="AD9009"/>
    </row>
    <row r="9010" spans="30:30" x14ac:dyDescent="0.25">
      <c r="AD9010"/>
    </row>
    <row r="9011" spans="30:30" x14ac:dyDescent="0.25">
      <c r="AD9011"/>
    </row>
    <row r="9012" spans="30:30" x14ac:dyDescent="0.25">
      <c r="AD9012"/>
    </row>
    <row r="9013" spans="30:30" x14ac:dyDescent="0.25">
      <c r="AD9013"/>
    </row>
    <row r="9014" spans="30:30" x14ac:dyDescent="0.25">
      <c r="AD9014"/>
    </row>
    <row r="9015" spans="30:30" x14ac:dyDescent="0.25">
      <c r="AD9015"/>
    </row>
    <row r="9016" spans="30:30" x14ac:dyDescent="0.25">
      <c r="AD9016"/>
    </row>
    <row r="9017" spans="30:30" x14ac:dyDescent="0.25">
      <c r="AD9017"/>
    </row>
    <row r="9018" spans="30:30" x14ac:dyDescent="0.25">
      <c r="AD9018"/>
    </row>
    <row r="9019" spans="30:30" x14ac:dyDescent="0.25">
      <c r="AD9019"/>
    </row>
    <row r="9020" spans="30:30" x14ac:dyDescent="0.25">
      <c r="AD9020"/>
    </row>
    <row r="9021" spans="30:30" x14ac:dyDescent="0.25">
      <c r="AD9021"/>
    </row>
    <row r="9022" spans="30:30" x14ac:dyDescent="0.25">
      <c r="AD9022"/>
    </row>
    <row r="9023" spans="30:30" x14ac:dyDescent="0.25">
      <c r="AD9023"/>
    </row>
    <row r="9024" spans="30:30" x14ac:dyDescent="0.25">
      <c r="AD9024"/>
    </row>
    <row r="9025" spans="30:30" x14ac:dyDescent="0.25">
      <c r="AD9025"/>
    </row>
    <row r="9026" spans="30:30" x14ac:dyDescent="0.25">
      <c r="AD9026"/>
    </row>
    <row r="9027" spans="30:30" x14ac:dyDescent="0.25">
      <c r="AD9027"/>
    </row>
    <row r="9028" spans="30:30" x14ac:dyDescent="0.25">
      <c r="AD9028"/>
    </row>
    <row r="9029" spans="30:30" x14ac:dyDescent="0.25">
      <c r="AD9029"/>
    </row>
    <row r="9030" spans="30:30" x14ac:dyDescent="0.25">
      <c r="AD9030"/>
    </row>
    <row r="9031" spans="30:30" x14ac:dyDescent="0.25">
      <c r="AD9031"/>
    </row>
    <row r="9032" spans="30:30" x14ac:dyDescent="0.25">
      <c r="AD9032"/>
    </row>
    <row r="9033" spans="30:30" x14ac:dyDescent="0.25">
      <c r="AD9033"/>
    </row>
    <row r="9034" spans="30:30" x14ac:dyDescent="0.25">
      <c r="AD9034"/>
    </row>
    <row r="9035" spans="30:30" x14ac:dyDescent="0.25">
      <c r="AD9035"/>
    </row>
    <row r="9036" spans="30:30" x14ac:dyDescent="0.25">
      <c r="AD9036"/>
    </row>
    <row r="9037" spans="30:30" x14ac:dyDescent="0.25">
      <c r="AD9037"/>
    </row>
    <row r="9038" spans="30:30" x14ac:dyDescent="0.25">
      <c r="AD9038"/>
    </row>
    <row r="9039" spans="30:30" x14ac:dyDescent="0.25">
      <c r="AD9039"/>
    </row>
    <row r="9040" spans="30:30" x14ac:dyDescent="0.25">
      <c r="AD9040"/>
    </row>
    <row r="9041" spans="30:30" x14ac:dyDescent="0.25">
      <c r="AD9041"/>
    </row>
    <row r="9042" spans="30:30" x14ac:dyDescent="0.25">
      <c r="AD9042"/>
    </row>
    <row r="9043" spans="30:30" x14ac:dyDescent="0.25">
      <c r="AD9043"/>
    </row>
    <row r="9044" spans="30:30" x14ac:dyDescent="0.25">
      <c r="AD9044"/>
    </row>
    <row r="9045" spans="30:30" x14ac:dyDescent="0.25">
      <c r="AD9045"/>
    </row>
    <row r="9046" spans="30:30" x14ac:dyDescent="0.25">
      <c r="AD9046"/>
    </row>
    <row r="9047" spans="30:30" x14ac:dyDescent="0.25">
      <c r="AD9047"/>
    </row>
    <row r="9048" spans="30:30" x14ac:dyDescent="0.25">
      <c r="AD9048"/>
    </row>
    <row r="9049" spans="30:30" x14ac:dyDescent="0.25">
      <c r="AD9049"/>
    </row>
    <row r="9050" spans="30:30" x14ac:dyDescent="0.25">
      <c r="AD9050"/>
    </row>
    <row r="9051" spans="30:30" x14ac:dyDescent="0.25">
      <c r="AD9051"/>
    </row>
    <row r="9052" spans="30:30" x14ac:dyDescent="0.25">
      <c r="AD9052"/>
    </row>
    <row r="9053" spans="30:30" x14ac:dyDescent="0.25">
      <c r="AD9053"/>
    </row>
    <row r="9054" spans="30:30" x14ac:dyDescent="0.25">
      <c r="AD9054"/>
    </row>
    <row r="9055" spans="30:30" x14ac:dyDescent="0.25">
      <c r="AD9055"/>
    </row>
    <row r="9056" spans="30:30" x14ac:dyDescent="0.25">
      <c r="AD9056"/>
    </row>
    <row r="9057" spans="30:30" x14ac:dyDescent="0.25">
      <c r="AD9057"/>
    </row>
    <row r="9058" spans="30:30" x14ac:dyDescent="0.25">
      <c r="AD9058"/>
    </row>
    <row r="9059" spans="30:30" x14ac:dyDescent="0.25">
      <c r="AD9059"/>
    </row>
    <row r="9060" spans="30:30" x14ac:dyDescent="0.25">
      <c r="AD9060"/>
    </row>
    <row r="9061" spans="30:30" x14ac:dyDescent="0.25">
      <c r="AD9061"/>
    </row>
    <row r="9062" spans="30:30" x14ac:dyDescent="0.25">
      <c r="AD9062"/>
    </row>
    <row r="9063" spans="30:30" x14ac:dyDescent="0.25">
      <c r="AD9063"/>
    </row>
    <row r="9064" spans="30:30" x14ac:dyDescent="0.25">
      <c r="AD9064"/>
    </row>
    <row r="9065" spans="30:30" x14ac:dyDescent="0.25">
      <c r="AD9065"/>
    </row>
    <row r="9066" spans="30:30" x14ac:dyDescent="0.25">
      <c r="AD9066"/>
    </row>
    <row r="9067" spans="30:30" x14ac:dyDescent="0.25">
      <c r="AD9067"/>
    </row>
    <row r="9068" spans="30:30" x14ac:dyDescent="0.25">
      <c r="AD9068"/>
    </row>
    <row r="9069" spans="30:30" x14ac:dyDescent="0.25">
      <c r="AD9069"/>
    </row>
    <row r="9070" spans="30:30" x14ac:dyDescent="0.25">
      <c r="AD9070"/>
    </row>
    <row r="9071" spans="30:30" x14ac:dyDescent="0.25">
      <c r="AD9071"/>
    </row>
    <row r="9072" spans="30:30" x14ac:dyDescent="0.25">
      <c r="AD9072"/>
    </row>
    <row r="9073" spans="30:30" x14ac:dyDescent="0.25">
      <c r="AD9073"/>
    </row>
    <row r="9074" spans="30:30" x14ac:dyDescent="0.25">
      <c r="AD9074"/>
    </row>
    <row r="9075" spans="30:30" x14ac:dyDescent="0.25">
      <c r="AD9075"/>
    </row>
    <row r="9076" spans="30:30" x14ac:dyDescent="0.25">
      <c r="AD9076"/>
    </row>
    <row r="9077" spans="30:30" x14ac:dyDescent="0.25">
      <c r="AD9077"/>
    </row>
    <row r="9078" spans="30:30" x14ac:dyDescent="0.25">
      <c r="AD9078"/>
    </row>
    <row r="9079" spans="30:30" x14ac:dyDescent="0.25">
      <c r="AD9079"/>
    </row>
    <row r="9080" spans="30:30" x14ac:dyDescent="0.25">
      <c r="AD9080"/>
    </row>
    <row r="9081" spans="30:30" x14ac:dyDescent="0.25">
      <c r="AD9081"/>
    </row>
    <row r="9082" spans="30:30" x14ac:dyDescent="0.25">
      <c r="AD9082"/>
    </row>
    <row r="9083" spans="30:30" x14ac:dyDescent="0.25">
      <c r="AD9083"/>
    </row>
    <row r="9084" spans="30:30" x14ac:dyDescent="0.25">
      <c r="AD9084"/>
    </row>
    <row r="9085" spans="30:30" x14ac:dyDescent="0.25">
      <c r="AD9085"/>
    </row>
    <row r="9086" spans="30:30" x14ac:dyDescent="0.25">
      <c r="AD9086"/>
    </row>
    <row r="9087" spans="30:30" x14ac:dyDescent="0.25">
      <c r="AD9087"/>
    </row>
    <row r="9088" spans="30:30" x14ac:dyDescent="0.25">
      <c r="AD9088"/>
    </row>
    <row r="9089" spans="30:30" x14ac:dyDescent="0.25">
      <c r="AD9089"/>
    </row>
    <row r="9090" spans="30:30" x14ac:dyDescent="0.25">
      <c r="AD9090"/>
    </row>
    <row r="9091" spans="30:30" x14ac:dyDescent="0.25">
      <c r="AD9091"/>
    </row>
    <row r="9092" spans="30:30" x14ac:dyDescent="0.25">
      <c r="AD9092"/>
    </row>
    <row r="9093" spans="30:30" x14ac:dyDescent="0.25">
      <c r="AD9093"/>
    </row>
    <row r="9094" spans="30:30" x14ac:dyDescent="0.25">
      <c r="AD9094"/>
    </row>
    <row r="9095" spans="30:30" x14ac:dyDescent="0.25">
      <c r="AD9095"/>
    </row>
    <row r="9096" spans="30:30" x14ac:dyDescent="0.25">
      <c r="AD9096"/>
    </row>
    <row r="9097" spans="30:30" x14ac:dyDescent="0.25">
      <c r="AD9097"/>
    </row>
    <row r="9098" spans="30:30" x14ac:dyDescent="0.25">
      <c r="AD9098"/>
    </row>
    <row r="9099" spans="30:30" x14ac:dyDescent="0.25">
      <c r="AD9099"/>
    </row>
    <row r="9100" spans="30:30" x14ac:dyDescent="0.25">
      <c r="AD9100"/>
    </row>
    <row r="9101" spans="30:30" x14ac:dyDescent="0.25">
      <c r="AD9101"/>
    </row>
    <row r="9102" spans="30:30" x14ac:dyDescent="0.25">
      <c r="AD9102"/>
    </row>
    <row r="9103" spans="30:30" x14ac:dyDescent="0.25">
      <c r="AD9103"/>
    </row>
    <row r="9104" spans="30:30" x14ac:dyDescent="0.25">
      <c r="AD9104"/>
    </row>
    <row r="9105" spans="30:30" x14ac:dyDescent="0.25">
      <c r="AD9105"/>
    </row>
    <row r="9106" spans="30:30" x14ac:dyDescent="0.25">
      <c r="AD9106"/>
    </row>
    <row r="9107" spans="30:30" x14ac:dyDescent="0.25">
      <c r="AD9107"/>
    </row>
    <row r="9108" spans="30:30" x14ac:dyDescent="0.25">
      <c r="AD9108"/>
    </row>
    <row r="9109" spans="30:30" x14ac:dyDescent="0.25">
      <c r="AD9109"/>
    </row>
    <row r="9110" spans="30:30" x14ac:dyDescent="0.25">
      <c r="AD9110"/>
    </row>
    <row r="9111" spans="30:30" x14ac:dyDescent="0.25">
      <c r="AD9111"/>
    </row>
    <row r="9112" spans="30:30" x14ac:dyDescent="0.25">
      <c r="AD9112"/>
    </row>
    <row r="9113" spans="30:30" x14ac:dyDescent="0.25">
      <c r="AD9113"/>
    </row>
    <row r="9114" spans="30:30" x14ac:dyDescent="0.25">
      <c r="AD9114"/>
    </row>
    <row r="9115" spans="30:30" x14ac:dyDescent="0.25">
      <c r="AD9115"/>
    </row>
    <row r="9116" spans="30:30" x14ac:dyDescent="0.25">
      <c r="AD9116"/>
    </row>
    <row r="9117" spans="30:30" x14ac:dyDescent="0.25">
      <c r="AD9117"/>
    </row>
    <row r="9118" spans="30:30" x14ac:dyDescent="0.25">
      <c r="AD9118"/>
    </row>
    <row r="9119" spans="30:30" x14ac:dyDescent="0.25">
      <c r="AD9119"/>
    </row>
    <row r="9120" spans="30:30" x14ac:dyDescent="0.25">
      <c r="AD9120"/>
    </row>
    <row r="9121" spans="30:30" x14ac:dyDescent="0.25">
      <c r="AD9121"/>
    </row>
    <row r="9122" spans="30:30" x14ac:dyDescent="0.25">
      <c r="AD9122"/>
    </row>
    <row r="9123" spans="30:30" x14ac:dyDescent="0.25">
      <c r="AD9123"/>
    </row>
    <row r="9124" spans="30:30" x14ac:dyDescent="0.25">
      <c r="AD9124"/>
    </row>
    <row r="9125" spans="30:30" x14ac:dyDescent="0.25">
      <c r="AD9125"/>
    </row>
    <row r="9126" spans="30:30" x14ac:dyDescent="0.25">
      <c r="AD9126"/>
    </row>
    <row r="9127" spans="30:30" x14ac:dyDescent="0.25">
      <c r="AD9127"/>
    </row>
    <row r="9128" spans="30:30" x14ac:dyDescent="0.25">
      <c r="AD9128"/>
    </row>
    <row r="9129" spans="30:30" x14ac:dyDescent="0.25">
      <c r="AD9129"/>
    </row>
    <row r="9130" spans="30:30" x14ac:dyDescent="0.25">
      <c r="AD9130"/>
    </row>
    <row r="9131" spans="30:30" x14ac:dyDescent="0.25">
      <c r="AD9131"/>
    </row>
    <row r="9132" spans="30:30" x14ac:dyDescent="0.25">
      <c r="AD9132"/>
    </row>
    <row r="9133" spans="30:30" x14ac:dyDescent="0.25">
      <c r="AD9133"/>
    </row>
    <row r="9134" spans="30:30" x14ac:dyDescent="0.25">
      <c r="AD9134"/>
    </row>
    <row r="9135" spans="30:30" x14ac:dyDescent="0.25">
      <c r="AD9135"/>
    </row>
    <row r="9136" spans="30:30" x14ac:dyDescent="0.25">
      <c r="AD9136"/>
    </row>
    <row r="9137" spans="30:30" x14ac:dyDescent="0.25">
      <c r="AD9137"/>
    </row>
    <row r="9138" spans="30:30" x14ac:dyDescent="0.25">
      <c r="AD9138"/>
    </row>
    <row r="9139" spans="30:30" x14ac:dyDescent="0.25">
      <c r="AD9139"/>
    </row>
    <row r="9140" spans="30:30" x14ac:dyDescent="0.25">
      <c r="AD9140"/>
    </row>
    <row r="9141" spans="30:30" x14ac:dyDescent="0.25">
      <c r="AD9141"/>
    </row>
    <row r="9142" spans="30:30" x14ac:dyDescent="0.25">
      <c r="AD9142"/>
    </row>
    <row r="9143" spans="30:30" x14ac:dyDescent="0.25">
      <c r="AD9143"/>
    </row>
    <row r="9144" spans="30:30" x14ac:dyDescent="0.25">
      <c r="AD9144"/>
    </row>
    <row r="9145" spans="30:30" x14ac:dyDescent="0.25">
      <c r="AD9145"/>
    </row>
    <row r="9146" spans="30:30" x14ac:dyDescent="0.25">
      <c r="AD9146"/>
    </row>
    <row r="9147" spans="30:30" x14ac:dyDescent="0.25">
      <c r="AD9147"/>
    </row>
    <row r="9148" spans="30:30" x14ac:dyDescent="0.25">
      <c r="AD9148"/>
    </row>
    <row r="9149" spans="30:30" x14ac:dyDescent="0.25">
      <c r="AD9149"/>
    </row>
    <row r="9150" spans="30:30" x14ac:dyDescent="0.25">
      <c r="AD9150"/>
    </row>
    <row r="9151" spans="30:30" x14ac:dyDescent="0.25">
      <c r="AD9151"/>
    </row>
    <row r="9152" spans="30:30" x14ac:dyDescent="0.25">
      <c r="AD9152"/>
    </row>
    <row r="9153" spans="30:30" x14ac:dyDescent="0.25">
      <c r="AD9153"/>
    </row>
    <row r="9154" spans="30:30" x14ac:dyDescent="0.25">
      <c r="AD9154"/>
    </row>
    <row r="9155" spans="30:30" x14ac:dyDescent="0.25">
      <c r="AD9155"/>
    </row>
    <row r="9156" spans="30:30" x14ac:dyDescent="0.25">
      <c r="AD9156"/>
    </row>
    <row r="9157" spans="30:30" x14ac:dyDescent="0.25">
      <c r="AD9157"/>
    </row>
    <row r="9158" spans="30:30" x14ac:dyDescent="0.25">
      <c r="AD9158"/>
    </row>
    <row r="9159" spans="30:30" x14ac:dyDescent="0.25">
      <c r="AD9159"/>
    </row>
    <row r="9160" spans="30:30" x14ac:dyDescent="0.25">
      <c r="AD9160"/>
    </row>
    <row r="9161" spans="30:30" x14ac:dyDescent="0.25">
      <c r="AD9161"/>
    </row>
    <row r="9162" spans="30:30" x14ac:dyDescent="0.25">
      <c r="AD9162"/>
    </row>
    <row r="9163" spans="30:30" x14ac:dyDescent="0.25">
      <c r="AD9163"/>
    </row>
    <row r="9164" spans="30:30" x14ac:dyDescent="0.25">
      <c r="AD9164"/>
    </row>
    <row r="9165" spans="30:30" x14ac:dyDescent="0.25">
      <c r="AD9165"/>
    </row>
    <row r="9166" spans="30:30" x14ac:dyDescent="0.25">
      <c r="AD9166"/>
    </row>
    <row r="9167" spans="30:30" x14ac:dyDescent="0.25">
      <c r="AD9167"/>
    </row>
    <row r="9168" spans="30:30" x14ac:dyDescent="0.25">
      <c r="AD9168"/>
    </row>
    <row r="9169" spans="30:30" x14ac:dyDescent="0.25">
      <c r="AD9169"/>
    </row>
    <row r="9170" spans="30:30" x14ac:dyDescent="0.25">
      <c r="AD9170"/>
    </row>
    <row r="9171" spans="30:30" x14ac:dyDescent="0.25">
      <c r="AD9171"/>
    </row>
    <row r="9172" spans="30:30" x14ac:dyDescent="0.25">
      <c r="AD9172"/>
    </row>
    <row r="9173" spans="30:30" x14ac:dyDescent="0.25">
      <c r="AD9173"/>
    </row>
    <row r="9174" spans="30:30" x14ac:dyDescent="0.25">
      <c r="AD9174"/>
    </row>
    <row r="9175" spans="30:30" x14ac:dyDescent="0.25">
      <c r="AD9175"/>
    </row>
    <row r="9176" spans="30:30" x14ac:dyDescent="0.25">
      <c r="AD9176"/>
    </row>
    <row r="9177" spans="30:30" x14ac:dyDescent="0.25">
      <c r="AD9177"/>
    </row>
    <row r="9178" spans="30:30" x14ac:dyDescent="0.25">
      <c r="AD9178"/>
    </row>
    <row r="9179" spans="30:30" x14ac:dyDescent="0.25">
      <c r="AD9179"/>
    </row>
    <row r="9180" spans="30:30" x14ac:dyDescent="0.25">
      <c r="AD9180"/>
    </row>
    <row r="9181" spans="30:30" x14ac:dyDescent="0.25">
      <c r="AD9181"/>
    </row>
    <row r="9182" spans="30:30" x14ac:dyDescent="0.25">
      <c r="AD9182"/>
    </row>
    <row r="9183" spans="30:30" x14ac:dyDescent="0.25">
      <c r="AD9183"/>
    </row>
    <row r="9184" spans="30:30" x14ac:dyDescent="0.25">
      <c r="AD9184"/>
    </row>
    <row r="9185" spans="30:30" x14ac:dyDescent="0.25">
      <c r="AD9185"/>
    </row>
    <row r="9186" spans="30:30" x14ac:dyDescent="0.25">
      <c r="AD9186"/>
    </row>
    <row r="9187" spans="30:30" x14ac:dyDescent="0.25">
      <c r="AD9187"/>
    </row>
    <row r="9188" spans="30:30" x14ac:dyDescent="0.25">
      <c r="AD9188"/>
    </row>
    <row r="9189" spans="30:30" x14ac:dyDescent="0.25">
      <c r="AD9189"/>
    </row>
    <row r="9190" spans="30:30" x14ac:dyDescent="0.25">
      <c r="AD9190"/>
    </row>
    <row r="9191" spans="30:30" x14ac:dyDescent="0.25">
      <c r="AD9191"/>
    </row>
    <row r="9192" spans="30:30" x14ac:dyDescent="0.25">
      <c r="AD9192"/>
    </row>
    <row r="9193" spans="30:30" x14ac:dyDescent="0.25">
      <c r="AD9193"/>
    </row>
    <row r="9194" spans="30:30" x14ac:dyDescent="0.25">
      <c r="AD9194"/>
    </row>
    <row r="9195" spans="30:30" x14ac:dyDescent="0.25">
      <c r="AD9195"/>
    </row>
    <row r="9196" spans="30:30" x14ac:dyDescent="0.25">
      <c r="AD9196"/>
    </row>
    <row r="9197" spans="30:30" x14ac:dyDescent="0.25">
      <c r="AD9197"/>
    </row>
    <row r="9198" spans="30:30" x14ac:dyDescent="0.25">
      <c r="AD9198"/>
    </row>
    <row r="9199" spans="30:30" x14ac:dyDescent="0.25">
      <c r="AD9199"/>
    </row>
    <row r="9200" spans="30:30" x14ac:dyDescent="0.25">
      <c r="AD9200"/>
    </row>
    <row r="9201" spans="30:30" x14ac:dyDescent="0.25">
      <c r="AD9201"/>
    </row>
    <row r="9202" spans="30:30" x14ac:dyDescent="0.25">
      <c r="AD9202"/>
    </row>
    <row r="9203" spans="30:30" x14ac:dyDescent="0.25">
      <c r="AD9203"/>
    </row>
    <row r="9204" spans="30:30" x14ac:dyDescent="0.25">
      <c r="AD9204"/>
    </row>
    <row r="9205" spans="30:30" x14ac:dyDescent="0.25">
      <c r="AD9205"/>
    </row>
    <row r="9206" spans="30:30" x14ac:dyDescent="0.25">
      <c r="AD9206"/>
    </row>
    <row r="9207" spans="30:30" x14ac:dyDescent="0.25">
      <c r="AD9207"/>
    </row>
    <row r="9208" spans="30:30" x14ac:dyDescent="0.25">
      <c r="AD9208"/>
    </row>
    <row r="9209" spans="30:30" x14ac:dyDescent="0.25">
      <c r="AD9209"/>
    </row>
    <row r="9210" spans="30:30" x14ac:dyDescent="0.25">
      <c r="AD9210"/>
    </row>
    <row r="9211" spans="30:30" x14ac:dyDescent="0.25">
      <c r="AD9211"/>
    </row>
    <row r="9212" spans="30:30" x14ac:dyDescent="0.25">
      <c r="AD9212"/>
    </row>
    <row r="9213" spans="30:30" x14ac:dyDescent="0.25">
      <c r="AD9213"/>
    </row>
    <row r="9214" spans="30:30" x14ac:dyDescent="0.25">
      <c r="AD9214"/>
    </row>
    <row r="9215" spans="30:30" x14ac:dyDescent="0.25">
      <c r="AD9215"/>
    </row>
    <row r="9216" spans="30:30" x14ac:dyDescent="0.25">
      <c r="AD9216"/>
    </row>
    <row r="9217" spans="30:30" x14ac:dyDescent="0.25">
      <c r="AD9217"/>
    </row>
    <row r="9218" spans="30:30" x14ac:dyDescent="0.25">
      <c r="AD9218"/>
    </row>
    <row r="9219" spans="30:30" x14ac:dyDescent="0.25">
      <c r="AD9219"/>
    </row>
    <row r="9220" spans="30:30" x14ac:dyDescent="0.25">
      <c r="AD9220"/>
    </row>
    <row r="9221" spans="30:30" x14ac:dyDescent="0.25">
      <c r="AD9221"/>
    </row>
    <row r="9222" spans="30:30" x14ac:dyDescent="0.25">
      <c r="AD9222"/>
    </row>
    <row r="9223" spans="30:30" x14ac:dyDescent="0.25">
      <c r="AD9223"/>
    </row>
    <row r="9224" spans="30:30" x14ac:dyDescent="0.25">
      <c r="AD9224"/>
    </row>
    <row r="9225" spans="30:30" x14ac:dyDescent="0.25">
      <c r="AD9225"/>
    </row>
    <row r="9226" spans="30:30" x14ac:dyDescent="0.25">
      <c r="AD9226"/>
    </row>
    <row r="9227" spans="30:30" x14ac:dyDescent="0.25">
      <c r="AD9227"/>
    </row>
    <row r="9228" spans="30:30" x14ac:dyDescent="0.25">
      <c r="AD9228"/>
    </row>
    <row r="9229" spans="30:30" x14ac:dyDescent="0.25">
      <c r="AD9229"/>
    </row>
    <row r="9230" spans="30:30" x14ac:dyDescent="0.25">
      <c r="AD9230"/>
    </row>
    <row r="9231" spans="30:30" x14ac:dyDescent="0.25">
      <c r="AD9231"/>
    </row>
    <row r="9232" spans="30:30" x14ac:dyDescent="0.25">
      <c r="AD9232"/>
    </row>
    <row r="9233" spans="30:30" x14ac:dyDescent="0.25">
      <c r="AD9233"/>
    </row>
    <row r="9234" spans="30:30" x14ac:dyDescent="0.25">
      <c r="AD9234"/>
    </row>
    <row r="9235" spans="30:30" x14ac:dyDescent="0.25">
      <c r="AD9235"/>
    </row>
    <row r="9236" spans="30:30" x14ac:dyDescent="0.25">
      <c r="AD9236"/>
    </row>
    <row r="9237" spans="30:30" x14ac:dyDescent="0.25">
      <c r="AD9237"/>
    </row>
    <row r="9238" spans="30:30" x14ac:dyDescent="0.25">
      <c r="AD9238"/>
    </row>
    <row r="9239" spans="30:30" x14ac:dyDescent="0.25">
      <c r="AD9239"/>
    </row>
    <row r="9240" spans="30:30" x14ac:dyDescent="0.25">
      <c r="AD9240"/>
    </row>
    <row r="9241" spans="30:30" x14ac:dyDescent="0.25">
      <c r="AD9241"/>
    </row>
    <row r="9242" spans="30:30" x14ac:dyDescent="0.25">
      <c r="AD9242"/>
    </row>
    <row r="9243" spans="30:30" x14ac:dyDescent="0.25">
      <c r="AD9243"/>
    </row>
    <row r="9244" spans="30:30" x14ac:dyDescent="0.25">
      <c r="AD9244"/>
    </row>
    <row r="9245" spans="30:30" x14ac:dyDescent="0.25">
      <c r="AD9245"/>
    </row>
    <row r="9246" spans="30:30" x14ac:dyDescent="0.25">
      <c r="AD9246"/>
    </row>
    <row r="9247" spans="30:30" x14ac:dyDescent="0.25">
      <c r="AD9247"/>
    </row>
    <row r="9248" spans="30:30" x14ac:dyDescent="0.25">
      <c r="AD9248"/>
    </row>
    <row r="9249" spans="30:30" x14ac:dyDescent="0.25">
      <c r="AD9249"/>
    </row>
    <row r="9250" spans="30:30" x14ac:dyDescent="0.25">
      <c r="AD9250"/>
    </row>
    <row r="9251" spans="30:30" x14ac:dyDescent="0.25">
      <c r="AD9251"/>
    </row>
    <row r="9252" spans="30:30" x14ac:dyDescent="0.25">
      <c r="AD9252"/>
    </row>
    <row r="9253" spans="30:30" x14ac:dyDescent="0.25">
      <c r="AD9253"/>
    </row>
    <row r="9254" spans="30:30" x14ac:dyDescent="0.25">
      <c r="AD9254"/>
    </row>
    <row r="9255" spans="30:30" x14ac:dyDescent="0.25">
      <c r="AD9255"/>
    </row>
    <row r="9256" spans="30:30" x14ac:dyDescent="0.25">
      <c r="AD9256"/>
    </row>
    <row r="9257" spans="30:30" x14ac:dyDescent="0.25">
      <c r="AD9257"/>
    </row>
    <row r="9258" spans="30:30" x14ac:dyDescent="0.25">
      <c r="AD9258"/>
    </row>
    <row r="9259" spans="30:30" x14ac:dyDescent="0.25">
      <c r="AD9259"/>
    </row>
    <row r="9260" spans="30:30" x14ac:dyDescent="0.25">
      <c r="AD9260"/>
    </row>
    <row r="9261" spans="30:30" x14ac:dyDescent="0.25">
      <c r="AD9261"/>
    </row>
    <row r="9262" spans="30:30" x14ac:dyDescent="0.25">
      <c r="AD9262"/>
    </row>
    <row r="9263" spans="30:30" x14ac:dyDescent="0.25">
      <c r="AD9263"/>
    </row>
    <row r="9264" spans="30:30" x14ac:dyDescent="0.25">
      <c r="AD9264"/>
    </row>
    <row r="9265" spans="30:30" x14ac:dyDescent="0.25">
      <c r="AD9265"/>
    </row>
    <row r="9266" spans="30:30" x14ac:dyDescent="0.25">
      <c r="AD9266"/>
    </row>
    <row r="9267" spans="30:30" x14ac:dyDescent="0.25">
      <c r="AD9267"/>
    </row>
    <row r="9268" spans="30:30" x14ac:dyDescent="0.25">
      <c r="AD9268"/>
    </row>
    <row r="9269" spans="30:30" x14ac:dyDescent="0.25">
      <c r="AD9269"/>
    </row>
    <row r="9270" spans="30:30" x14ac:dyDescent="0.25">
      <c r="AD9270"/>
    </row>
    <row r="9271" spans="30:30" x14ac:dyDescent="0.25">
      <c r="AD9271"/>
    </row>
    <row r="9272" spans="30:30" x14ac:dyDescent="0.25">
      <c r="AD9272"/>
    </row>
    <row r="9273" spans="30:30" x14ac:dyDescent="0.25">
      <c r="AD9273"/>
    </row>
    <row r="9274" spans="30:30" x14ac:dyDescent="0.25">
      <c r="AD9274"/>
    </row>
    <row r="9275" spans="30:30" x14ac:dyDescent="0.25">
      <c r="AD9275"/>
    </row>
    <row r="9276" spans="30:30" x14ac:dyDescent="0.25">
      <c r="AD9276"/>
    </row>
    <row r="9277" spans="30:30" x14ac:dyDescent="0.25">
      <c r="AD9277"/>
    </row>
    <row r="9278" spans="30:30" x14ac:dyDescent="0.25">
      <c r="AD9278"/>
    </row>
    <row r="9279" spans="30:30" x14ac:dyDescent="0.25">
      <c r="AD9279"/>
    </row>
    <row r="9280" spans="30:30" x14ac:dyDescent="0.25">
      <c r="AD9280"/>
    </row>
    <row r="9281" spans="30:30" x14ac:dyDescent="0.25">
      <c r="AD9281"/>
    </row>
    <row r="9282" spans="30:30" x14ac:dyDescent="0.25">
      <c r="AD9282"/>
    </row>
    <row r="9283" spans="30:30" x14ac:dyDescent="0.25">
      <c r="AD9283"/>
    </row>
    <row r="9284" spans="30:30" x14ac:dyDescent="0.25">
      <c r="AD9284"/>
    </row>
    <row r="9285" spans="30:30" x14ac:dyDescent="0.25">
      <c r="AD9285"/>
    </row>
    <row r="9286" spans="30:30" x14ac:dyDescent="0.25">
      <c r="AD9286"/>
    </row>
    <row r="9287" spans="30:30" x14ac:dyDescent="0.25">
      <c r="AD9287"/>
    </row>
    <row r="9288" spans="30:30" x14ac:dyDescent="0.25">
      <c r="AD9288"/>
    </row>
    <row r="9289" spans="30:30" x14ac:dyDescent="0.25">
      <c r="AD9289"/>
    </row>
    <row r="9290" spans="30:30" x14ac:dyDescent="0.25">
      <c r="AD9290"/>
    </row>
    <row r="9291" spans="30:30" x14ac:dyDescent="0.25">
      <c r="AD9291"/>
    </row>
    <row r="9292" spans="30:30" x14ac:dyDescent="0.25">
      <c r="AD9292"/>
    </row>
    <row r="9293" spans="30:30" x14ac:dyDescent="0.25">
      <c r="AD9293"/>
    </row>
    <row r="9294" spans="30:30" x14ac:dyDescent="0.25">
      <c r="AD9294"/>
    </row>
    <row r="9295" spans="30:30" x14ac:dyDescent="0.25">
      <c r="AD9295"/>
    </row>
    <row r="9296" spans="30:30" x14ac:dyDescent="0.25">
      <c r="AD9296"/>
    </row>
    <row r="9297" spans="30:30" x14ac:dyDescent="0.25">
      <c r="AD9297"/>
    </row>
    <row r="9298" spans="30:30" x14ac:dyDescent="0.25">
      <c r="AD9298"/>
    </row>
    <row r="9299" spans="30:30" x14ac:dyDescent="0.25">
      <c r="AD9299"/>
    </row>
    <row r="9300" spans="30:30" x14ac:dyDescent="0.25">
      <c r="AD9300"/>
    </row>
    <row r="9301" spans="30:30" x14ac:dyDescent="0.25">
      <c r="AD9301"/>
    </row>
    <row r="9302" spans="30:30" x14ac:dyDescent="0.25">
      <c r="AD9302"/>
    </row>
    <row r="9303" spans="30:30" x14ac:dyDescent="0.25">
      <c r="AD9303"/>
    </row>
    <row r="9304" spans="30:30" x14ac:dyDescent="0.25">
      <c r="AD9304"/>
    </row>
    <row r="9305" spans="30:30" x14ac:dyDescent="0.25">
      <c r="AD9305"/>
    </row>
    <row r="9306" spans="30:30" x14ac:dyDescent="0.25">
      <c r="AD9306"/>
    </row>
    <row r="9307" spans="30:30" x14ac:dyDescent="0.25">
      <c r="AD9307"/>
    </row>
    <row r="9308" spans="30:30" x14ac:dyDescent="0.25">
      <c r="AD9308"/>
    </row>
    <row r="9309" spans="30:30" x14ac:dyDescent="0.25">
      <c r="AD9309"/>
    </row>
    <row r="9310" spans="30:30" x14ac:dyDescent="0.25">
      <c r="AD9310"/>
    </row>
    <row r="9311" spans="30:30" x14ac:dyDescent="0.25">
      <c r="AD9311"/>
    </row>
    <row r="9312" spans="30:30" x14ac:dyDescent="0.25">
      <c r="AD9312"/>
    </row>
    <row r="9313" spans="30:30" x14ac:dyDescent="0.25">
      <c r="AD9313"/>
    </row>
    <row r="9314" spans="30:30" x14ac:dyDescent="0.25">
      <c r="AD9314"/>
    </row>
    <row r="9315" spans="30:30" x14ac:dyDescent="0.25">
      <c r="AD9315"/>
    </row>
    <row r="9316" spans="30:30" x14ac:dyDescent="0.25">
      <c r="AD9316"/>
    </row>
    <row r="9317" spans="30:30" x14ac:dyDescent="0.25">
      <c r="AD9317"/>
    </row>
    <row r="9318" spans="30:30" x14ac:dyDescent="0.25">
      <c r="AD9318"/>
    </row>
    <row r="9319" spans="30:30" x14ac:dyDescent="0.25">
      <c r="AD9319"/>
    </row>
    <row r="9320" spans="30:30" x14ac:dyDescent="0.25">
      <c r="AD9320"/>
    </row>
    <row r="9321" spans="30:30" x14ac:dyDescent="0.25">
      <c r="AD9321"/>
    </row>
    <row r="9322" spans="30:30" x14ac:dyDescent="0.25">
      <c r="AD9322"/>
    </row>
    <row r="9323" spans="30:30" x14ac:dyDescent="0.25">
      <c r="AD9323"/>
    </row>
    <row r="9324" spans="30:30" x14ac:dyDescent="0.25">
      <c r="AD9324"/>
    </row>
    <row r="9325" spans="30:30" x14ac:dyDescent="0.25">
      <c r="AD9325"/>
    </row>
    <row r="9326" spans="30:30" x14ac:dyDescent="0.25">
      <c r="AD9326"/>
    </row>
    <row r="9327" spans="30:30" x14ac:dyDescent="0.25">
      <c r="AD9327"/>
    </row>
    <row r="9328" spans="30:30" x14ac:dyDescent="0.25">
      <c r="AD9328"/>
    </row>
    <row r="9329" spans="30:30" x14ac:dyDescent="0.25">
      <c r="AD9329"/>
    </row>
    <row r="9330" spans="30:30" x14ac:dyDescent="0.25">
      <c r="AD9330"/>
    </row>
    <row r="9331" spans="30:30" x14ac:dyDescent="0.25">
      <c r="AD9331"/>
    </row>
    <row r="9332" spans="30:30" x14ac:dyDescent="0.25">
      <c r="AD9332"/>
    </row>
    <row r="9333" spans="30:30" x14ac:dyDescent="0.25">
      <c r="AD9333"/>
    </row>
    <row r="9334" spans="30:30" x14ac:dyDescent="0.25">
      <c r="AD9334"/>
    </row>
    <row r="9335" spans="30:30" x14ac:dyDescent="0.25">
      <c r="AD9335"/>
    </row>
    <row r="9336" spans="30:30" x14ac:dyDescent="0.25">
      <c r="AD9336"/>
    </row>
    <row r="9337" spans="30:30" x14ac:dyDescent="0.25">
      <c r="AD9337"/>
    </row>
    <row r="9338" spans="30:30" x14ac:dyDescent="0.25">
      <c r="AD9338"/>
    </row>
    <row r="9339" spans="30:30" x14ac:dyDescent="0.25">
      <c r="AD9339"/>
    </row>
    <row r="9340" spans="30:30" x14ac:dyDescent="0.25">
      <c r="AD9340"/>
    </row>
    <row r="9341" spans="30:30" x14ac:dyDescent="0.25">
      <c r="AD9341"/>
    </row>
    <row r="9342" spans="30:30" x14ac:dyDescent="0.25">
      <c r="AD9342"/>
    </row>
    <row r="9343" spans="30:30" x14ac:dyDescent="0.25">
      <c r="AD9343"/>
    </row>
    <row r="9344" spans="30:30" x14ac:dyDescent="0.25">
      <c r="AD9344"/>
    </row>
    <row r="9345" spans="30:30" x14ac:dyDescent="0.25">
      <c r="AD9345"/>
    </row>
    <row r="9346" spans="30:30" x14ac:dyDescent="0.25">
      <c r="AD9346"/>
    </row>
    <row r="9347" spans="30:30" x14ac:dyDescent="0.25">
      <c r="AD9347"/>
    </row>
    <row r="9348" spans="30:30" x14ac:dyDescent="0.25">
      <c r="AD9348"/>
    </row>
    <row r="9349" spans="30:30" x14ac:dyDescent="0.25">
      <c r="AD9349"/>
    </row>
    <row r="9350" spans="30:30" x14ac:dyDescent="0.25">
      <c r="AD9350"/>
    </row>
    <row r="9351" spans="30:30" x14ac:dyDescent="0.25">
      <c r="AD9351"/>
    </row>
    <row r="9352" spans="30:30" x14ac:dyDescent="0.25">
      <c r="AD9352"/>
    </row>
    <row r="9353" spans="30:30" x14ac:dyDescent="0.25">
      <c r="AD9353"/>
    </row>
    <row r="9354" spans="30:30" x14ac:dyDescent="0.25">
      <c r="AD9354"/>
    </row>
    <row r="9355" spans="30:30" x14ac:dyDescent="0.25">
      <c r="AD9355"/>
    </row>
    <row r="9356" spans="30:30" x14ac:dyDescent="0.25">
      <c r="AD9356"/>
    </row>
    <row r="9357" spans="30:30" x14ac:dyDescent="0.25">
      <c r="AD9357"/>
    </row>
    <row r="9358" spans="30:30" x14ac:dyDescent="0.25">
      <c r="AD9358"/>
    </row>
    <row r="9359" spans="30:30" x14ac:dyDescent="0.25">
      <c r="AD9359"/>
    </row>
    <row r="9360" spans="30:30" x14ac:dyDescent="0.25">
      <c r="AD9360"/>
    </row>
    <row r="9361" spans="30:30" x14ac:dyDescent="0.25">
      <c r="AD9361"/>
    </row>
    <row r="9362" spans="30:30" x14ac:dyDescent="0.25">
      <c r="AD9362"/>
    </row>
    <row r="9363" spans="30:30" x14ac:dyDescent="0.25">
      <c r="AD9363"/>
    </row>
    <row r="9364" spans="30:30" x14ac:dyDescent="0.25">
      <c r="AD9364"/>
    </row>
    <row r="9365" spans="30:30" x14ac:dyDescent="0.25">
      <c r="AD9365"/>
    </row>
    <row r="9366" spans="30:30" x14ac:dyDescent="0.25">
      <c r="AD9366"/>
    </row>
    <row r="9367" spans="30:30" x14ac:dyDescent="0.25">
      <c r="AD9367"/>
    </row>
    <row r="9368" spans="30:30" x14ac:dyDescent="0.25">
      <c r="AD9368"/>
    </row>
    <row r="9369" spans="30:30" x14ac:dyDescent="0.25">
      <c r="AD9369"/>
    </row>
    <row r="9370" spans="30:30" x14ac:dyDescent="0.25">
      <c r="AD9370"/>
    </row>
    <row r="9371" spans="30:30" x14ac:dyDescent="0.25">
      <c r="AD9371"/>
    </row>
    <row r="9372" spans="30:30" x14ac:dyDescent="0.25">
      <c r="AD9372"/>
    </row>
    <row r="9373" spans="30:30" x14ac:dyDescent="0.25">
      <c r="AD9373"/>
    </row>
    <row r="9374" spans="30:30" x14ac:dyDescent="0.25">
      <c r="AD9374"/>
    </row>
    <row r="9375" spans="30:30" x14ac:dyDescent="0.25">
      <c r="AD9375"/>
    </row>
    <row r="9376" spans="30:30" x14ac:dyDescent="0.25">
      <c r="AD9376"/>
    </row>
    <row r="9377" spans="30:30" x14ac:dyDescent="0.25">
      <c r="AD9377"/>
    </row>
    <row r="9378" spans="30:30" x14ac:dyDescent="0.25">
      <c r="AD9378"/>
    </row>
    <row r="9379" spans="30:30" x14ac:dyDescent="0.25">
      <c r="AD9379"/>
    </row>
    <row r="9380" spans="30:30" x14ac:dyDescent="0.25">
      <c r="AD9380"/>
    </row>
    <row r="9381" spans="30:30" x14ac:dyDescent="0.25">
      <c r="AD9381"/>
    </row>
    <row r="9382" spans="30:30" x14ac:dyDescent="0.25">
      <c r="AD9382"/>
    </row>
    <row r="9383" spans="30:30" x14ac:dyDescent="0.25">
      <c r="AD9383"/>
    </row>
    <row r="9384" spans="30:30" x14ac:dyDescent="0.25">
      <c r="AD9384"/>
    </row>
    <row r="9385" spans="30:30" x14ac:dyDescent="0.25">
      <c r="AD9385"/>
    </row>
    <row r="9386" spans="30:30" x14ac:dyDescent="0.25">
      <c r="AD9386"/>
    </row>
    <row r="9387" spans="30:30" x14ac:dyDescent="0.25">
      <c r="AD9387"/>
    </row>
    <row r="9388" spans="30:30" x14ac:dyDescent="0.25">
      <c r="AD9388"/>
    </row>
    <row r="9389" spans="30:30" x14ac:dyDescent="0.25">
      <c r="AD9389"/>
    </row>
    <row r="9390" spans="30:30" x14ac:dyDescent="0.25">
      <c r="AD9390"/>
    </row>
    <row r="9391" spans="30:30" x14ac:dyDescent="0.25">
      <c r="AD9391"/>
    </row>
    <row r="9392" spans="30:30" x14ac:dyDescent="0.25">
      <c r="AD9392"/>
    </row>
    <row r="9393" spans="30:30" x14ac:dyDescent="0.25">
      <c r="AD9393"/>
    </row>
    <row r="9394" spans="30:30" x14ac:dyDescent="0.25">
      <c r="AD9394"/>
    </row>
    <row r="9395" spans="30:30" x14ac:dyDescent="0.25">
      <c r="AD9395"/>
    </row>
    <row r="9396" spans="30:30" x14ac:dyDescent="0.25">
      <c r="AD9396"/>
    </row>
    <row r="9397" spans="30:30" x14ac:dyDescent="0.25">
      <c r="AD9397"/>
    </row>
    <row r="9398" spans="30:30" x14ac:dyDescent="0.25">
      <c r="AD9398"/>
    </row>
    <row r="9399" spans="30:30" x14ac:dyDescent="0.25">
      <c r="AD9399"/>
    </row>
    <row r="9400" spans="30:30" x14ac:dyDescent="0.25">
      <c r="AD9400"/>
    </row>
    <row r="9401" spans="30:30" x14ac:dyDescent="0.25">
      <c r="AD9401"/>
    </row>
    <row r="9402" spans="30:30" x14ac:dyDescent="0.25">
      <c r="AD9402"/>
    </row>
    <row r="9403" spans="30:30" x14ac:dyDescent="0.25">
      <c r="AD9403"/>
    </row>
    <row r="9404" spans="30:30" x14ac:dyDescent="0.25">
      <c r="AD9404"/>
    </row>
    <row r="9405" spans="30:30" x14ac:dyDescent="0.25">
      <c r="AD9405"/>
    </row>
    <row r="9406" spans="30:30" x14ac:dyDescent="0.25">
      <c r="AD9406"/>
    </row>
    <row r="9407" spans="30:30" x14ac:dyDescent="0.25">
      <c r="AD9407"/>
    </row>
    <row r="9408" spans="30:30" x14ac:dyDescent="0.25">
      <c r="AD9408"/>
    </row>
    <row r="9409" spans="30:30" x14ac:dyDescent="0.25">
      <c r="AD9409"/>
    </row>
    <row r="9410" spans="30:30" x14ac:dyDescent="0.25">
      <c r="AD9410"/>
    </row>
    <row r="9411" spans="30:30" x14ac:dyDescent="0.25">
      <c r="AD9411"/>
    </row>
    <row r="9412" spans="30:30" x14ac:dyDescent="0.25">
      <c r="AD9412"/>
    </row>
    <row r="9413" spans="30:30" x14ac:dyDescent="0.25">
      <c r="AD9413"/>
    </row>
    <row r="9414" spans="30:30" x14ac:dyDescent="0.25">
      <c r="AD9414"/>
    </row>
    <row r="9415" spans="30:30" x14ac:dyDescent="0.25">
      <c r="AD9415"/>
    </row>
    <row r="9416" spans="30:30" x14ac:dyDescent="0.25">
      <c r="AD9416"/>
    </row>
    <row r="9417" spans="30:30" x14ac:dyDescent="0.25">
      <c r="AD9417"/>
    </row>
    <row r="9418" spans="30:30" x14ac:dyDescent="0.25">
      <c r="AD9418"/>
    </row>
    <row r="9419" spans="30:30" x14ac:dyDescent="0.25">
      <c r="AD9419"/>
    </row>
    <row r="9420" spans="30:30" x14ac:dyDescent="0.25">
      <c r="AD9420"/>
    </row>
    <row r="9421" spans="30:30" x14ac:dyDescent="0.25">
      <c r="AD9421"/>
    </row>
    <row r="9422" spans="30:30" x14ac:dyDescent="0.25">
      <c r="AD9422"/>
    </row>
    <row r="9423" spans="30:30" x14ac:dyDescent="0.25">
      <c r="AD9423"/>
    </row>
    <row r="9424" spans="30:30" x14ac:dyDescent="0.25">
      <c r="AD9424"/>
    </row>
    <row r="9425" spans="30:30" x14ac:dyDescent="0.25">
      <c r="AD9425"/>
    </row>
    <row r="9426" spans="30:30" x14ac:dyDescent="0.25">
      <c r="AD9426"/>
    </row>
    <row r="9427" spans="30:30" x14ac:dyDescent="0.25">
      <c r="AD9427"/>
    </row>
    <row r="9428" spans="30:30" x14ac:dyDescent="0.25">
      <c r="AD9428"/>
    </row>
    <row r="9429" spans="30:30" x14ac:dyDescent="0.25">
      <c r="AD9429"/>
    </row>
    <row r="9430" spans="30:30" x14ac:dyDescent="0.25">
      <c r="AD9430"/>
    </row>
    <row r="9431" spans="30:30" x14ac:dyDescent="0.25">
      <c r="AD9431"/>
    </row>
    <row r="9432" spans="30:30" x14ac:dyDescent="0.25">
      <c r="AD9432"/>
    </row>
    <row r="9433" spans="30:30" x14ac:dyDescent="0.25">
      <c r="AD9433"/>
    </row>
    <row r="9434" spans="30:30" x14ac:dyDescent="0.25">
      <c r="AD9434"/>
    </row>
    <row r="9435" spans="30:30" x14ac:dyDescent="0.25">
      <c r="AD9435"/>
    </row>
    <row r="9436" spans="30:30" x14ac:dyDescent="0.25">
      <c r="AD9436"/>
    </row>
    <row r="9437" spans="30:30" x14ac:dyDescent="0.25">
      <c r="AD9437"/>
    </row>
    <row r="9438" spans="30:30" x14ac:dyDescent="0.25">
      <c r="AD9438"/>
    </row>
    <row r="9439" spans="30:30" x14ac:dyDescent="0.25">
      <c r="AD9439"/>
    </row>
    <row r="9440" spans="30:30" x14ac:dyDescent="0.25">
      <c r="AD9440"/>
    </row>
    <row r="9441" spans="30:30" x14ac:dyDescent="0.25">
      <c r="AD9441"/>
    </row>
    <row r="9442" spans="30:30" x14ac:dyDescent="0.25">
      <c r="AD9442"/>
    </row>
    <row r="9443" spans="30:30" x14ac:dyDescent="0.25">
      <c r="AD9443"/>
    </row>
    <row r="9444" spans="30:30" x14ac:dyDescent="0.25">
      <c r="AD9444"/>
    </row>
    <row r="9445" spans="30:30" x14ac:dyDescent="0.25">
      <c r="AD9445"/>
    </row>
    <row r="9446" spans="30:30" x14ac:dyDescent="0.25">
      <c r="AD9446"/>
    </row>
    <row r="9447" spans="30:30" x14ac:dyDescent="0.25">
      <c r="AD9447"/>
    </row>
    <row r="9448" spans="30:30" x14ac:dyDescent="0.25">
      <c r="AD9448"/>
    </row>
    <row r="9449" spans="30:30" x14ac:dyDescent="0.25">
      <c r="AD9449"/>
    </row>
    <row r="9450" spans="30:30" x14ac:dyDescent="0.25">
      <c r="AD9450"/>
    </row>
    <row r="9451" spans="30:30" x14ac:dyDescent="0.25">
      <c r="AD9451"/>
    </row>
    <row r="9452" spans="30:30" x14ac:dyDescent="0.25">
      <c r="AD9452"/>
    </row>
    <row r="9453" spans="30:30" x14ac:dyDescent="0.25">
      <c r="AD9453"/>
    </row>
    <row r="9454" spans="30:30" x14ac:dyDescent="0.25">
      <c r="AD9454"/>
    </row>
    <row r="9455" spans="30:30" x14ac:dyDescent="0.25">
      <c r="AD9455"/>
    </row>
    <row r="9456" spans="30:30" x14ac:dyDescent="0.25">
      <c r="AD9456"/>
    </row>
    <row r="9457" spans="30:30" x14ac:dyDescent="0.25">
      <c r="AD9457"/>
    </row>
    <row r="9458" spans="30:30" x14ac:dyDescent="0.25">
      <c r="AD9458"/>
    </row>
    <row r="9459" spans="30:30" x14ac:dyDescent="0.25">
      <c r="AD9459"/>
    </row>
    <row r="9460" spans="30:30" x14ac:dyDescent="0.25">
      <c r="AD9460"/>
    </row>
    <row r="9461" spans="30:30" x14ac:dyDescent="0.25">
      <c r="AD9461"/>
    </row>
    <row r="9462" spans="30:30" x14ac:dyDescent="0.25">
      <c r="AD9462"/>
    </row>
    <row r="9463" spans="30:30" x14ac:dyDescent="0.25">
      <c r="AD9463"/>
    </row>
    <row r="9464" spans="30:30" x14ac:dyDescent="0.25">
      <c r="AD9464"/>
    </row>
    <row r="9465" spans="30:30" x14ac:dyDescent="0.25">
      <c r="AD9465"/>
    </row>
    <row r="9466" spans="30:30" x14ac:dyDescent="0.25">
      <c r="AD9466"/>
    </row>
    <row r="9467" spans="30:30" x14ac:dyDescent="0.25">
      <c r="AD9467"/>
    </row>
    <row r="9468" spans="30:30" x14ac:dyDescent="0.25">
      <c r="AD9468"/>
    </row>
    <row r="9469" spans="30:30" x14ac:dyDescent="0.25">
      <c r="AD9469"/>
    </row>
    <row r="9470" spans="30:30" x14ac:dyDescent="0.25">
      <c r="AD9470"/>
    </row>
    <row r="9471" spans="30:30" x14ac:dyDescent="0.25">
      <c r="AD9471"/>
    </row>
    <row r="9472" spans="30:30" x14ac:dyDescent="0.25">
      <c r="AD9472"/>
    </row>
    <row r="9473" spans="30:30" x14ac:dyDescent="0.25">
      <c r="AD9473"/>
    </row>
    <row r="9474" spans="30:30" x14ac:dyDescent="0.25">
      <c r="AD9474"/>
    </row>
    <row r="9475" spans="30:30" x14ac:dyDescent="0.25">
      <c r="AD9475"/>
    </row>
    <row r="9476" spans="30:30" x14ac:dyDescent="0.25">
      <c r="AD9476"/>
    </row>
    <row r="9477" spans="30:30" x14ac:dyDescent="0.25">
      <c r="AD9477"/>
    </row>
    <row r="9478" spans="30:30" x14ac:dyDescent="0.25">
      <c r="AD9478"/>
    </row>
    <row r="9479" spans="30:30" x14ac:dyDescent="0.25">
      <c r="AD9479"/>
    </row>
    <row r="9480" spans="30:30" x14ac:dyDescent="0.25">
      <c r="AD9480"/>
    </row>
    <row r="9481" spans="30:30" x14ac:dyDescent="0.25">
      <c r="AD9481"/>
    </row>
    <row r="9482" spans="30:30" x14ac:dyDescent="0.25">
      <c r="AD9482"/>
    </row>
    <row r="9483" spans="30:30" x14ac:dyDescent="0.25">
      <c r="AD9483"/>
    </row>
    <row r="9484" spans="30:30" x14ac:dyDescent="0.25">
      <c r="AD9484"/>
    </row>
    <row r="9485" spans="30:30" x14ac:dyDescent="0.25">
      <c r="AD9485"/>
    </row>
    <row r="9486" spans="30:30" x14ac:dyDescent="0.25">
      <c r="AD9486"/>
    </row>
    <row r="9487" spans="30:30" x14ac:dyDescent="0.25">
      <c r="AD9487"/>
    </row>
    <row r="9488" spans="30:30" x14ac:dyDescent="0.25">
      <c r="AD9488"/>
    </row>
    <row r="9489" spans="30:30" x14ac:dyDescent="0.25">
      <c r="AD9489"/>
    </row>
    <row r="9490" spans="30:30" x14ac:dyDescent="0.25">
      <c r="AD9490"/>
    </row>
    <row r="9491" spans="30:30" x14ac:dyDescent="0.25">
      <c r="AD9491"/>
    </row>
    <row r="9492" spans="30:30" x14ac:dyDescent="0.25">
      <c r="AD9492"/>
    </row>
    <row r="9493" spans="30:30" x14ac:dyDescent="0.25">
      <c r="AD9493"/>
    </row>
    <row r="9494" spans="30:30" x14ac:dyDescent="0.25">
      <c r="AD9494"/>
    </row>
    <row r="9495" spans="30:30" x14ac:dyDescent="0.25">
      <c r="AD9495"/>
    </row>
    <row r="9496" spans="30:30" x14ac:dyDescent="0.25">
      <c r="AD9496"/>
    </row>
    <row r="9497" spans="30:30" x14ac:dyDescent="0.25">
      <c r="AD9497"/>
    </row>
    <row r="9498" spans="30:30" x14ac:dyDescent="0.25">
      <c r="AD9498"/>
    </row>
    <row r="9499" spans="30:30" x14ac:dyDescent="0.25">
      <c r="AD9499"/>
    </row>
    <row r="9500" spans="30:30" x14ac:dyDescent="0.25">
      <c r="AD9500"/>
    </row>
    <row r="9501" spans="30:30" x14ac:dyDescent="0.25">
      <c r="AD9501"/>
    </row>
    <row r="9502" spans="30:30" x14ac:dyDescent="0.25">
      <c r="AD9502"/>
    </row>
    <row r="9503" spans="30:30" x14ac:dyDescent="0.25">
      <c r="AD9503"/>
    </row>
    <row r="9504" spans="30:30" x14ac:dyDescent="0.25">
      <c r="AD9504"/>
    </row>
    <row r="9505" spans="30:30" x14ac:dyDescent="0.25">
      <c r="AD9505"/>
    </row>
    <row r="9506" spans="30:30" x14ac:dyDescent="0.25">
      <c r="AD9506"/>
    </row>
    <row r="9507" spans="30:30" x14ac:dyDescent="0.25">
      <c r="AD9507"/>
    </row>
    <row r="9508" spans="30:30" x14ac:dyDescent="0.25">
      <c r="AD9508"/>
    </row>
    <row r="9509" spans="30:30" x14ac:dyDescent="0.25">
      <c r="AD9509"/>
    </row>
    <row r="9510" spans="30:30" x14ac:dyDescent="0.25">
      <c r="AD9510"/>
    </row>
    <row r="9511" spans="30:30" x14ac:dyDescent="0.25">
      <c r="AD9511"/>
    </row>
    <row r="9512" spans="30:30" x14ac:dyDescent="0.25">
      <c r="AD9512"/>
    </row>
    <row r="9513" spans="30:30" x14ac:dyDescent="0.25">
      <c r="AD9513"/>
    </row>
    <row r="9514" spans="30:30" x14ac:dyDescent="0.25">
      <c r="AD9514"/>
    </row>
    <row r="9515" spans="30:30" x14ac:dyDescent="0.25">
      <c r="AD9515"/>
    </row>
    <row r="9516" spans="30:30" x14ac:dyDescent="0.25">
      <c r="AD9516"/>
    </row>
    <row r="9517" spans="30:30" x14ac:dyDescent="0.25">
      <c r="AD9517"/>
    </row>
    <row r="9518" spans="30:30" x14ac:dyDescent="0.25">
      <c r="AD9518"/>
    </row>
    <row r="9519" spans="30:30" x14ac:dyDescent="0.25">
      <c r="AD9519"/>
    </row>
    <row r="9520" spans="30:30" x14ac:dyDescent="0.25">
      <c r="AD9520"/>
    </row>
    <row r="9521" spans="30:30" x14ac:dyDescent="0.25">
      <c r="AD9521"/>
    </row>
    <row r="9522" spans="30:30" x14ac:dyDescent="0.25">
      <c r="AD9522"/>
    </row>
    <row r="9523" spans="30:30" x14ac:dyDescent="0.25">
      <c r="AD9523"/>
    </row>
    <row r="9524" spans="30:30" x14ac:dyDescent="0.25">
      <c r="AD9524"/>
    </row>
    <row r="9525" spans="30:30" x14ac:dyDescent="0.25">
      <c r="AD9525"/>
    </row>
    <row r="9526" spans="30:30" x14ac:dyDescent="0.25">
      <c r="AD9526"/>
    </row>
    <row r="9527" spans="30:30" x14ac:dyDescent="0.25">
      <c r="AD9527"/>
    </row>
    <row r="9528" spans="30:30" x14ac:dyDescent="0.25">
      <c r="AD9528"/>
    </row>
    <row r="9529" spans="30:30" x14ac:dyDescent="0.25">
      <c r="AD9529"/>
    </row>
    <row r="9530" spans="30:30" x14ac:dyDescent="0.25">
      <c r="AD9530"/>
    </row>
    <row r="9531" spans="30:30" x14ac:dyDescent="0.25">
      <c r="AD9531"/>
    </row>
    <row r="9532" spans="30:30" x14ac:dyDescent="0.25">
      <c r="AD9532"/>
    </row>
    <row r="9533" spans="30:30" x14ac:dyDescent="0.25">
      <c r="AD9533"/>
    </row>
    <row r="9534" spans="30:30" x14ac:dyDescent="0.25">
      <c r="AD9534"/>
    </row>
    <row r="9535" spans="30:30" x14ac:dyDescent="0.25">
      <c r="AD9535"/>
    </row>
    <row r="9536" spans="30:30" x14ac:dyDescent="0.25">
      <c r="AD9536"/>
    </row>
    <row r="9537" spans="30:30" x14ac:dyDescent="0.25">
      <c r="AD9537"/>
    </row>
    <row r="9538" spans="30:30" x14ac:dyDescent="0.25">
      <c r="AD9538"/>
    </row>
    <row r="9539" spans="30:30" x14ac:dyDescent="0.25">
      <c r="AD9539"/>
    </row>
    <row r="9540" spans="30:30" x14ac:dyDescent="0.25">
      <c r="AD9540"/>
    </row>
    <row r="9541" spans="30:30" x14ac:dyDescent="0.25">
      <c r="AD9541"/>
    </row>
    <row r="9542" spans="30:30" x14ac:dyDescent="0.25">
      <c r="AD9542"/>
    </row>
    <row r="9543" spans="30:30" x14ac:dyDescent="0.25">
      <c r="AD9543"/>
    </row>
    <row r="9544" spans="30:30" x14ac:dyDescent="0.25">
      <c r="AD9544"/>
    </row>
    <row r="9545" spans="30:30" x14ac:dyDescent="0.25">
      <c r="AD9545"/>
    </row>
    <row r="9546" spans="30:30" x14ac:dyDescent="0.25">
      <c r="AD9546"/>
    </row>
    <row r="9547" spans="30:30" x14ac:dyDescent="0.25">
      <c r="AD9547"/>
    </row>
    <row r="9548" spans="30:30" x14ac:dyDescent="0.25">
      <c r="AD9548"/>
    </row>
    <row r="9549" spans="30:30" x14ac:dyDescent="0.25">
      <c r="AD9549"/>
    </row>
    <row r="9550" spans="30:30" x14ac:dyDescent="0.25">
      <c r="AD9550"/>
    </row>
    <row r="9551" spans="30:30" x14ac:dyDescent="0.25">
      <c r="AD9551"/>
    </row>
    <row r="9552" spans="30:30" x14ac:dyDescent="0.25">
      <c r="AD9552"/>
    </row>
    <row r="9553" spans="30:30" x14ac:dyDescent="0.25">
      <c r="AD9553"/>
    </row>
    <row r="9554" spans="30:30" x14ac:dyDescent="0.25">
      <c r="AD9554"/>
    </row>
    <row r="9555" spans="30:30" x14ac:dyDescent="0.25">
      <c r="AD9555"/>
    </row>
    <row r="9556" spans="30:30" x14ac:dyDescent="0.25">
      <c r="AD9556"/>
    </row>
    <row r="9557" spans="30:30" x14ac:dyDescent="0.25">
      <c r="AD9557"/>
    </row>
    <row r="9558" spans="30:30" x14ac:dyDescent="0.25">
      <c r="AD9558"/>
    </row>
    <row r="9559" spans="30:30" x14ac:dyDescent="0.25">
      <c r="AD9559"/>
    </row>
    <row r="9560" spans="30:30" x14ac:dyDescent="0.25">
      <c r="AD9560"/>
    </row>
    <row r="9561" spans="30:30" x14ac:dyDescent="0.25">
      <c r="AD9561"/>
    </row>
    <row r="9562" spans="30:30" x14ac:dyDescent="0.25">
      <c r="AD9562"/>
    </row>
    <row r="9563" spans="30:30" x14ac:dyDescent="0.25">
      <c r="AD9563"/>
    </row>
    <row r="9564" spans="30:30" x14ac:dyDescent="0.25">
      <c r="AD9564"/>
    </row>
    <row r="9565" spans="30:30" x14ac:dyDescent="0.25">
      <c r="AD9565"/>
    </row>
    <row r="9566" spans="30:30" x14ac:dyDescent="0.25">
      <c r="AD9566"/>
    </row>
    <row r="9567" spans="30:30" x14ac:dyDescent="0.25">
      <c r="AD9567"/>
    </row>
    <row r="9568" spans="30:30" x14ac:dyDescent="0.25">
      <c r="AD9568"/>
    </row>
    <row r="9569" spans="30:30" x14ac:dyDescent="0.25">
      <c r="AD9569"/>
    </row>
    <row r="9570" spans="30:30" x14ac:dyDescent="0.25">
      <c r="AD9570"/>
    </row>
    <row r="9571" spans="30:30" x14ac:dyDescent="0.25">
      <c r="AD9571"/>
    </row>
    <row r="9572" spans="30:30" x14ac:dyDescent="0.25">
      <c r="AD9572"/>
    </row>
    <row r="9573" spans="30:30" x14ac:dyDescent="0.25">
      <c r="AD9573"/>
    </row>
    <row r="9574" spans="30:30" x14ac:dyDescent="0.25">
      <c r="AD9574"/>
    </row>
    <row r="9575" spans="30:30" x14ac:dyDescent="0.25">
      <c r="AD9575"/>
    </row>
    <row r="9576" spans="30:30" x14ac:dyDescent="0.25">
      <c r="AD9576"/>
    </row>
    <row r="9577" spans="30:30" x14ac:dyDescent="0.25">
      <c r="AD9577"/>
    </row>
    <row r="9578" spans="30:30" x14ac:dyDescent="0.25">
      <c r="AD9578"/>
    </row>
    <row r="9579" spans="30:30" x14ac:dyDescent="0.25">
      <c r="AD9579"/>
    </row>
    <row r="9580" spans="30:30" x14ac:dyDescent="0.25">
      <c r="AD9580"/>
    </row>
    <row r="9581" spans="30:30" x14ac:dyDescent="0.25">
      <c r="AD9581"/>
    </row>
    <row r="9582" spans="30:30" x14ac:dyDescent="0.25">
      <c r="AD9582"/>
    </row>
    <row r="9583" spans="30:30" x14ac:dyDescent="0.25">
      <c r="AD9583"/>
    </row>
    <row r="9584" spans="30:30" x14ac:dyDescent="0.25">
      <c r="AD9584"/>
    </row>
    <row r="9585" spans="30:30" x14ac:dyDescent="0.25">
      <c r="AD9585"/>
    </row>
    <row r="9586" spans="30:30" x14ac:dyDescent="0.25">
      <c r="AD9586"/>
    </row>
    <row r="9587" spans="30:30" x14ac:dyDescent="0.25">
      <c r="AD9587"/>
    </row>
    <row r="9588" spans="30:30" x14ac:dyDescent="0.25">
      <c r="AD9588"/>
    </row>
    <row r="9589" spans="30:30" x14ac:dyDescent="0.25">
      <c r="AD9589"/>
    </row>
    <row r="9590" spans="30:30" x14ac:dyDescent="0.25">
      <c r="AD9590"/>
    </row>
    <row r="9591" spans="30:30" x14ac:dyDescent="0.25">
      <c r="AD9591"/>
    </row>
    <row r="9592" spans="30:30" x14ac:dyDescent="0.25">
      <c r="AD9592"/>
    </row>
    <row r="9593" spans="30:30" x14ac:dyDescent="0.25">
      <c r="AD9593"/>
    </row>
    <row r="9594" spans="30:30" x14ac:dyDescent="0.25">
      <c r="AD9594"/>
    </row>
    <row r="9595" spans="30:30" x14ac:dyDescent="0.25">
      <c r="AD9595"/>
    </row>
    <row r="9596" spans="30:30" x14ac:dyDescent="0.25">
      <c r="AD9596"/>
    </row>
    <row r="9597" spans="30:30" x14ac:dyDescent="0.25">
      <c r="AD9597"/>
    </row>
    <row r="9598" spans="30:30" x14ac:dyDescent="0.25">
      <c r="AD9598"/>
    </row>
    <row r="9599" spans="30:30" x14ac:dyDescent="0.25">
      <c r="AD9599"/>
    </row>
    <row r="9600" spans="30:30" x14ac:dyDescent="0.25">
      <c r="AD9600"/>
    </row>
    <row r="9601" spans="30:30" x14ac:dyDescent="0.25">
      <c r="AD9601"/>
    </row>
    <row r="9602" spans="30:30" x14ac:dyDescent="0.25">
      <c r="AD9602"/>
    </row>
    <row r="9603" spans="30:30" x14ac:dyDescent="0.25">
      <c r="AD9603"/>
    </row>
    <row r="9604" spans="30:30" x14ac:dyDescent="0.25">
      <c r="AD9604"/>
    </row>
    <row r="9605" spans="30:30" x14ac:dyDescent="0.25">
      <c r="AD9605"/>
    </row>
    <row r="9606" spans="30:30" x14ac:dyDescent="0.25">
      <c r="AD9606"/>
    </row>
    <row r="9607" spans="30:30" x14ac:dyDescent="0.25">
      <c r="AD9607"/>
    </row>
    <row r="9608" spans="30:30" x14ac:dyDescent="0.25">
      <c r="AD9608"/>
    </row>
    <row r="9609" spans="30:30" x14ac:dyDescent="0.25">
      <c r="AD9609"/>
    </row>
    <row r="9610" spans="30:30" x14ac:dyDescent="0.25">
      <c r="AD9610"/>
    </row>
    <row r="9611" spans="30:30" x14ac:dyDescent="0.25">
      <c r="AD9611"/>
    </row>
    <row r="9612" spans="30:30" x14ac:dyDescent="0.25">
      <c r="AD9612"/>
    </row>
    <row r="9613" spans="30:30" x14ac:dyDescent="0.25">
      <c r="AD9613"/>
    </row>
    <row r="9614" spans="30:30" x14ac:dyDescent="0.25">
      <c r="AD9614"/>
    </row>
    <row r="9615" spans="30:30" x14ac:dyDescent="0.25">
      <c r="AD9615"/>
    </row>
    <row r="9616" spans="30:30" x14ac:dyDescent="0.25">
      <c r="AD9616"/>
    </row>
    <row r="9617" spans="30:30" x14ac:dyDescent="0.25">
      <c r="AD9617"/>
    </row>
    <row r="9618" spans="30:30" x14ac:dyDescent="0.25">
      <c r="AD9618"/>
    </row>
    <row r="9619" spans="30:30" x14ac:dyDescent="0.25">
      <c r="AD9619"/>
    </row>
    <row r="9620" spans="30:30" x14ac:dyDescent="0.25">
      <c r="AD9620"/>
    </row>
    <row r="9621" spans="30:30" x14ac:dyDescent="0.25">
      <c r="AD9621"/>
    </row>
    <row r="9622" spans="30:30" x14ac:dyDescent="0.25">
      <c r="AD9622"/>
    </row>
    <row r="9623" spans="30:30" x14ac:dyDescent="0.25">
      <c r="AD9623"/>
    </row>
    <row r="9624" spans="30:30" x14ac:dyDescent="0.25">
      <c r="AD9624"/>
    </row>
    <row r="9625" spans="30:30" x14ac:dyDescent="0.25">
      <c r="AD9625"/>
    </row>
    <row r="9626" spans="30:30" x14ac:dyDescent="0.25">
      <c r="AD9626"/>
    </row>
    <row r="9627" spans="30:30" x14ac:dyDescent="0.25">
      <c r="AD9627"/>
    </row>
    <row r="9628" spans="30:30" x14ac:dyDescent="0.25">
      <c r="AD9628"/>
    </row>
    <row r="9629" spans="30:30" x14ac:dyDescent="0.25">
      <c r="AD9629"/>
    </row>
    <row r="9630" spans="30:30" x14ac:dyDescent="0.25">
      <c r="AD9630"/>
    </row>
    <row r="9631" spans="30:30" x14ac:dyDescent="0.25">
      <c r="AD9631"/>
    </row>
    <row r="9632" spans="30:30" x14ac:dyDescent="0.25">
      <c r="AD9632"/>
    </row>
    <row r="9633" spans="30:30" x14ac:dyDescent="0.25">
      <c r="AD9633"/>
    </row>
    <row r="9634" spans="30:30" x14ac:dyDescent="0.25">
      <c r="AD9634"/>
    </row>
    <row r="9635" spans="30:30" x14ac:dyDescent="0.25">
      <c r="AD9635"/>
    </row>
    <row r="9636" spans="30:30" x14ac:dyDescent="0.25">
      <c r="AD9636"/>
    </row>
    <row r="9637" spans="30:30" x14ac:dyDescent="0.25">
      <c r="AD9637"/>
    </row>
    <row r="9638" spans="30:30" x14ac:dyDescent="0.25">
      <c r="AD9638"/>
    </row>
    <row r="9639" spans="30:30" x14ac:dyDescent="0.25">
      <c r="AD9639"/>
    </row>
    <row r="9640" spans="30:30" x14ac:dyDescent="0.25">
      <c r="AD9640"/>
    </row>
    <row r="9641" spans="30:30" x14ac:dyDescent="0.25">
      <c r="AD9641"/>
    </row>
    <row r="9642" spans="30:30" x14ac:dyDescent="0.25">
      <c r="AD9642"/>
    </row>
    <row r="9643" spans="30:30" x14ac:dyDescent="0.25">
      <c r="AD9643"/>
    </row>
    <row r="9644" spans="30:30" x14ac:dyDescent="0.25">
      <c r="AD9644"/>
    </row>
    <row r="9645" spans="30:30" x14ac:dyDescent="0.25">
      <c r="AD9645"/>
    </row>
    <row r="9646" spans="30:30" x14ac:dyDescent="0.25">
      <c r="AD9646"/>
    </row>
    <row r="9647" spans="30:30" x14ac:dyDescent="0.25">
      <c r="AD9647"/>
    </row>
    <row r="9648" spans="30:30" x14ac:dyDescent="0.25">
      <c r="AD9648"/>
    </row>
    <row r="9649" spans="30:30" x14ac:dyDescent="0.25">
      <c r="AD9649"/>
    </row>
    <row r="9650" spans="30:30" x14ac:dyDescent="0.25">
      <c r="AD9650"/>
    </row>
    <row r="9651" spans="30:30" x14ac:dyDescent="0.25">
      <c r="AD9651"/>
    </row>
    <row r="9652" spans="30:30" x14ac:dyDescent="0.25">
      <c r="AD9652"/>
    </row>
    <row r="9653" spans="30:30" x14ac:dyDescent="0.25">
      <c r="AD9653"/>
    </row>
    <row r="9654" spans="30:30" x14ac:dyDescent="0.25">
      <c r="AD9654"/>
    </row>
    <row r="9655" spans="30:30" x14ac:dyDescent="0.25">
      <c r="AD9655"/>
    </row>
    <row r="9656" spans="30:30" x14ac:dyDescent="0.25">
      <c r="AD9656"/>
    </row>
    <row r="9657" spans="30:30" x14ac:dyDescent="0.25">
      <c r="AD9657"/>
    </row>
    <row r="9658" spans="30:30" x14ac:dyDescent="0.25">
      <c r="AD9658"/>
    </row>
    <row r="9659" spans="30:30" x14ac:dyDescent="0.25">
      <c r="AD9659"/>
    </row>
    <row r="9660" spans="30:30" x14ac:dyDescent="0.25">
      <c r="AD9660"/>
    </row>
    <row r="9661" spans="30:30" x14ac:dyDescent="0.25">
      <c r="AD9661"/>
    </row>
    <row r="9662" spans="30:30" x14ac:dyDescent="0.25">
      <c r="AD9662"/>
    </row>
    <row r="9663" spans="30:30" x14ac:dyDescent="0.25">
      <c r="AD9663"/>
    </row>
    <row r="9664" spans="30:30" x14ac:dyDescent="0.25">
      <c r="AD9664"/>
    </row>
    <row r="9665" spans="30:30" x14ac:dyDescent="0.25">
      <c r="AD9665"/>
    </row>
    <row r="9666" spans="30:30" x14ac:dyDescent="0.25">
      <c r="AD9666"/>
    </row>
    <row r="9667" spans="30:30" x14ac:dyDescent="0.25">
      <c r="AD9667"/>
    </row>
    <row r="9668" spans="30:30" x14ac:dyDescent="0.25">
      <c r="AD9668"/>
    </row>
    <row r="9669" spans="30:30" x14ac:dyDescent="0.25">
      <c r="AD9669"/>
    </row>
    <row r="9670" spans="30:30" x14ac:dyDescent="0.25">
      <c r="AD9670"/>
    </row>
    <row r="9671" spans="30:30" x14ac:dyDescent="0.25">
      <c r="AD9671"/>
    </row>
    <row r="9672" spans="30:30" x14ac:dyDescent="0.25">
      <c r="AD9672"/>
    </row>
    <row r="9673" spans="30:30" x14ac:dyDescent="0.25">
      <c r="AD9673"/>
    </row>
    <row r="9674" spans="30:30" x14ac:dyDescent="0.25">
      <c r="AD9674"/>
    </row>
    <row r="9675" spans="30:30" x14ac:dyDescent="0.25">
      <c r="AD9675"/>
    </row>
    <row r="9676" spans="30:30" x14ac:dyDescent="0.25">
      <c r="AD9676"/>
    </row>
    <row r="9677" spans="30:30" x14ac:dyDescent="0.25">
      <c r="AD9677"/>
    </row>
    <row r="9678" spans="30:30" x14ac:dyDescent="0.25">
      <c r="AD9678"/>
    </row>
    <row r="9679" spans="30:30" x14ac:dyDescent="0.25">
      <c r="AD9679"/>
    </row>
    <row r="9680" spans="30:30" x14ac:dyDescent="0.25">
      <c r="AD9680"/>
    </row>
    <row r="9681" spans="30:30" x14ac:dyDescent="0.25">
      <c r="AD9681"/>
    </row>
    <row r="9682" spans="30:30" x14ac:dyDescent="0.25">
      <c r="AD9682"/>
    </row>
    <row r="9683" spans="30:30" x14ac:dyDescent="0.25">
      <c r="AD9683"/>
    </row>
    <row r="9684" spans="30:30" x14ac:dyDescent="0.25">
      <c r="AD9684"/>
    </row>
    <row r="9685" spans="30:30" x14ac:dyDescent="0.25">
      <c r="AD9685"/>
    </row>
    <row r="9686" spans="30:30" x14ac:dyDescent="0.25">
      <c r="AD9686"/>
    </row>
    <row r="9687" spans="30:30" x14ac:dyDescent="0.25">
      <c r="AD9687"/>
    </row>
    <row r="9688" spans="30:30" x14ac:dyDescent="0.25">
      <c r="AD9688"/>
    </row>
    <row r="9689" spans="30:30" x14ac:dyDescent="0.25">
      <c r="AD9689"/>
    </row>
    <row r="9690" spans="30:30" x14ac:dyDescent="0.25">
      <c r="AD9690"/>
    </row>
    <row r="9691" spans="30:30" x14ac:dyDescent="0.25">
      <c r="AD9691"/>
    </row>
    <row r="9692" spans="30:30" x14ac:dyDescent="0.25">
      <c r="AD9692"/>
    </row>
    <row r="9693" spans="30:30" x14ac:dyDescent="0.25">
      <c r="AD9693"/>
    </row>
    <row r="9694" spans="30:30" x14ac:dyDescent="0.25">
      <c r="AD9694"/>
    </row>
    <row r="9695" spans="30:30" x14ac:dyDescent="0.25">
      <c r="AD9695"/>
    </row>
    <row r="9696" spans="30:30" x14ac:dyDescent="0.25">
      <c r="AD9696"/>
    </row>
    <row r="9697" spans="30:30" x14ac:dyDescent="0.25">
      <c r="AD9697"/>
    </row>
    <row r="9698" spans="30:30" x14ac:dyDescent="0.25">
      <c r="AD9698"/>
    </row>
    <row r="9699" spans="30:30" x14ac:dyDescent="0.25">
      <c r="AD9699"/>
    </row>
    <row r="9700" spans="30:30" x14ac:dyDescent="0.25">
      <c r="AD9700"/>
    </row>
    <row r="9701" spans="30:30" x14ac:dyDescent="0.25">
      <c r="AD9701"/>
    </row>
    <row r="9702" spans="30:30" x14ac:dyDescent="0.25">
      <c r="AD9702"/>
    </row>
    <row r="9703" spans="30:30" x14ac:dyDescent="0.25">
      <c r="AD9703"/>
    </row>
    <row r="9704" spans="30:30" x14ac:dyDescent="0.25">
      <c r="AD9704"/>
    </row>
    <row r="9705" spans="30:30" x14ac:dyDescent="0.25">
      <c r="AD9705"/>
    </row>
    <row r="9706" spans="30:30" x14ac:dyDescent="0.25">
      <c r="AD9706"/>
    </row>
    <row r="9707" spans="30:30" x14ac:dyDescent="0.25">
      <c r="AD9707"/>
    </row>
    <row r="9708" spans="30:30" x14ac:dyDescent="0.25">
      <c r="AD9708"/>
    </row>
    <row r="9709" spans="30:30" x14ac:dyDescent="0.25">
      <c r="AD9709"/>
    </row>
    <row r="9710" spans="30:30" x14ac:dyDescent="0.25">
      <c r="AD9710"/>
    </row>
    <row r="9711" spans="30:30" x14ac:dyDescent="0.25">
      <c r="AD9711"/>
    </row>
    <row r="9712" spans="30:30" x14ac:dyDescent="0.25">
      <c r="AD9712"/>
    </row>
    <row r="9713" spans="30:30" x14ac:dyDescent="0.25">
      <c r="AD9713"/>
    </row>
    <row r="9714" spans="30:30" x14ac:dyDescent="0.25">
      <c r="AD9714"/>
    </row>
    <row r="9715" spans="30:30" x14ac:dyDescent="0.25">
      <c r="AD9715"/>
    </row>
    <row r="9716" spans="30:30" x14ac:dyDescent="0.25">
      <c r="AD9716"/>
    </row>
    <row r="9717" spans="30:30" x14ac:dyDescent="0.25">
      <c r="AD9717"/>
    </row>
    <row r="9718" spans="30:30" x14ac:dyDescent="0.25">
      <c r="AD9718"/>
    </row>
    <row r="9719" spans="30:30" x14ac:dyDescent="0.25">
      <c r="AD9719"/>
    </row>
    <row r="9720" spans="30:30" x14ac:dyDescent="0.25">
      <c r="AD9720"/>
    </row>
    <row r="9721" spans="30:30" x14ac:dyDescent="0.25">
      <c r="AD9721"/>
    </row>
    <row r="9722" spans="30:30" x14ac:dyDescent="0.25">
      <c r="AD9722"/>
    </row>
    <row r="9723" spans="30:30" x14ac:dyDescent="0.25">
      <c r="AD9723"/>
    </row>
    <row r="9724" spans="30:30" x14ac:dyDescent="0.25">
      <c r="AD9724"/>
    </row>
    <row r="9725" spans="30:30" x14ac:dyDescent="0.25">
      <c r="AD9725"/>
    </row>
    <row r="9726" spans="30:30" x14ac:dyDescent="0.25">
      <c r="AD9726"/>
    </row>
    <row r="9727" spans="30:30" x14ac:dyDescent="0.25">
      <c r="AD9727"/>
    </row>
    <row r="9728" spans="30:30" x14ac:dyDescent="0.25">
      <c r="AD9728"/>
    </row>
    <row r="9729" spans="30:30" x14ac:dyDescent="0.25">
      <c r="AD9729"/>
    </row>
    <row r="9730" spans="30:30" x14ac:dyDescent="0.25">
      <c r="AD9730"/>
    </row>
    <row r="9731" spans="30:30" x14ac:dyDescent="0.25">
      <c r="AD9731"/>
    </row>
    <row r="9732" spans="30:30" x14ac:dyDescent="0.25">
      <c r="AD9732"/>
    </row>
    <row r="9733" spans="30:30" x14ac:dyDescent="0.25">
      <c r="AD9733"/>
    </row>
    <row r="9734" spans="30:30" x14ac:dyDescent="0.25">
      <c r="AD9734"/>
    </row>
    <row r="9735" spans="30:30" x14ac:dyDescent="0.25">
      <c r="AD9735"/>
    </row>
    <row r="9736" spans="30:30" x14ac:dyDescent="0.25">
      <c r="AD9736"/>
    </row>
    <row r="9737" spans="30:30" x14ac:dyDescent="0.25">
      <c r="AD9737"/>
    </row>
    <row r="9738" spans="30:30" x14ac:dyDescent="0.25">
      <c r="AD9738"/>
    </row>
    <row r="9739" spans="30:30" x14ac:dyDescent="0.25">
      <c r="AD9739"/>
    </row>
    <row r="9740" spans="30:30" x14ac:dyDescent="0.25">
      <c r="AD9740"/>
    </row>
    <row r="9741" spans="30:30" x14ac:dyDescent="0.25">
      <c r="AD9741"/>
    </row>
    <row r="9742" spans="30:30" x14ac:dyDescent="0.25">
      <c r="AD9742"/>
    </row>
    <row r="9743" spans="30:30" x14ac:dyDescent="0.25">
      <c r="AD9743"/>
    </row>
    <row r="9744" spans="30:30" x14ac:dyDescent="0.25">
      <c r="AD9744"/>
    </row>
    <row r="9745" spans="30:30" x14ac:dyDescent="0.25">
      <c r="AD9745"/>
    </row>
    <row r="9746" spans="30:30" x14ac:dyDescent="0.25">
      <c r="AD9746"/>
    </row>
    <row r="9747" spans="30:30" x14ac:dyDescent="0.25">
      <c r="AD9747"/>
    </row>
    <row r="9748" spans="30:30" x14ac:dyDescent="0.25">
      <c r="AD9748"/>
    </row>
    <row r="9749" spans="30:30" x14ac:dyDescent="0.25">
      <c r="AD9749"/>
    </row>
    <row r="9750" spans="30:30" x14ac:dyDescent="0.25">
      <c r="AD9750"/>
    </row>
    <row r="9751" spans="30:30" x14ac:dyDescent="0.25">
      <c r="AD9751"/>
    </row>
    <row r="9752" spans="30:30" x14ac:dyDescent="0.25">
      <c r="AD9752"/>
    </row>
    <row r="9753" spans="30:30" x14ac:dyDescent="0.25">
      <c r="AD9753"/>
    </row>
    <row r="9754" spans="30:30" x14ac:dyDescent="0.25">
      <c r="AD9754"/>
    </row>
    <row r="9755" spans="30:30" x14ac:dyDescent="0.25">
      <c r="AD9755"/>
    </row>
    <row r="9756" spans="30:30" x14ac:dyDescent="0.25">
      <c r="AD9756"/>
    </row>
    <row r="9757" spans="30:30" x14ac:dyDescent="0.25">
      <c r="AD9757"/>
    </row>
    <row r="9758" spans="30:30" x14ac:dyDescent="0.25">
      <c r="AD9758"/>
    </row>
    <row r="9759" spans="30:30" x14ac:dyDescent="0.25">
      <c r="AD9759"/>
    </row>
    <row r="9760" spans="30:30" x14ac:dyDescent="0.25">
      <c r="AD9760"/>
    </row>
    <row r="9761" spans="30:30" x14ac:dyDescent="0.25">
      <c r="AD9761"/>
    </row>
    <row r="9762" spans="30:30" x14ac:dyDescent="0.25">
      <c r="AD9762"/>
    </row>
    <row r="9763" spans="30:30" x14ac:dyDescent="0.25">
      <c r="AD9763"/>
    </row>
    <row r="9764" spans="30:30" x14ac:dyDescent="0.25">
      <c r="AD9764"/>
    </row>
    <row r="9765" spans="30:30" x14ac:dyDescent="0.25">
      <c r="AD9765"/>
    </row>
    <row r="9766" spans="30:30" x14ac:dyDescent="0.25">
      <c r="AD9766"/>
    </row>
    <row r="9767" spans="30:30" x14ac:dyDescent="0.25">
      <c r="AD9767"/>
    </row>
    <row r="9768" spans="30:30" x14ac:dyDescent="0.25">
      <c r="AD9768"/>
    </row>
    <row r="9769" spans="30:30" x14ac:dyDescent="0.25">
      <c r="AD9769"/>
    </row>
    <row r="9770" spans="30:30" x14ac:dyDescent="0.25">
      <c r="AD9770"/>
    </row>
    <row r="9771" spans="30:30" x14ac:dyDescent="0.25">
      <c r="AD9771"/>
    </row>
    <row r="9772" spans="30:30" x14ac:dyDescent="0.25">
      <c r="AD9772"/>
    </row>
    <row r="9773" spans="30:30" x14ac:dyDescent="0.25">
      <c r="AD9773"/>
    </row>
    <row r="9774" spans="30:30" x14ac:dyDescent="0.25">
      <c r="AD9774"/>
    </row>
    <row r="9775" spans="30:30" x14ac:dyDescent="0.25">
      <c r="AD9775"/>
    </row>
    <row r="9776" spans="30:30" x14ac:dyDescent="0.25">
      <c r="AD9776"/>
    </row>
    <row r="9777" spans="30:30" x14ac:dyDescent="0.25">
      <c r="AD9777"/>
    </row>
    <row r="9778" spans="30:30" x14ac:dyDescent="0.25">
      <c r="AD9778"/>
    </row>
    <row r="9779" spans="30:30" x14ac:dyDescent="0.25">
      <c r="AD9779"/>
    </row>
    <row r="9780" spans="30:30" x14ac:dyDescent="0.25">
      <c r="AD9780"/>
    </row>
    <row r="9781" spans="30:30" x14ac:dyDescent="0.25">
      <c r="AD9781"/>
    </row>
    <row r="9782" spans="30:30" x14ac:dyDescent="0.25">
      <c r="AD9782"/>
    </row>
    <row r="9783" spans="30:30" x14ac:dyDescent="0.25">
      <c r="AD9783"/>
    </row>
    <row r="9784" spans="30:30" x14ac:dyDescent="0.25">
      <c r="AD9784"/>
    </row>
    <row r="9785" spans="30:30" x14ac:dyDescent="0.25">
      <c r="AD9785"/>
    </row>
    <row r="9786" spans="30:30" x14ac:dyDescent="0.25">
      <c r="AD9786"/>
    </row>
    <row r="9787" spans="30:30" x14ac:dyDescent="0.25">
      <c r="AD9787"/>
    </row>
    <row r="9788" spans="30:30" x14ac:dyDescent="0.25">
      <c r="AD9788"/>
    </row>
    <row r="9789" spans="30:30" x14ac:dyDescent="0.25">
      <c r="AD9789"/>
    </row>
    <row r="9790" spans="30:30" x14ac:dyDescent="0.25">
      <c r="AD9790"/>
    </row>
    <row r="9791" spans="30:30" x14ac:dyDescent="0.25">
      <c r="AD9791"/>
    </row>
    <row r="9792" spans="30:30" x14ac:dyDescent="0.25">
      <c r="AD9792"/>
    </row>
    <row r="9793" spans="30:30" x14ac:dyDescent="0.25">
      <c r="AD9793"/>
    </row>
    <row r="9794" spans="30:30" x14ac:dyDescent="0.25">
      <c r="AD9794"/>
    </row>
    <row r="9795" spans="30:30" x14ac:dyDescent="0.25">
      <c r="AD9795"/>
    </row>
    <row r="9796" spans="30:30" x14ac:dyDescent="0.25">
      <c r="AD9796"/>
    </row>
    <row r="9797" spans="30:30" x14ac:dyDescent="0.25">
      <c r="AD9797"/>
    </row>
    <row r="9798" spans="30:30" x14ac:dyDescent="0.25">
      <c r="AD9798"/>
    </row>
    <row r="9799" spans="30:30" x14ac:dyDescent="0.25">
      <c r="AD9799"/>
    </row>
    <row r="9800" spans="30:30" x14ac:dyDescent="0.25">
      <c r="AD9800"/>
    </row>
    <row r="9801" spans="30:30" x14ac:dyDescent="0.25">
      <c r="AD9801"/>
    </row>
    <row r="9802" spans="30:30" x14ac:dyDescent="0.25">
      <c r="AD9802"/>
    </row>
    <row r="9803" spans="30:30" x14ac:dyDescent="0.25">
      <c r="AD9803"/>
    </row>
    <row r="9804" spans="30:30" x14ac:dyDescent="0.25">
      <c r="AD9804"/>
    </row>
    <row r="9805" spans="30:30" x14ac:dyDescent="0.25">
      <c r="AD9805"/>
    </row>
    <row r="9806" spans="30:30" x14ac:dyDescent="0.25">
      <c r="AD9806"/>
    </row>
    <row r="9807" spans="30:30" x14ac:dyDescent="0.25">
      <c r="AD9807"/>
    </row>
    <row r="9808" spans="30:30" x14ac:dyDescent="0.25">
      <c r="AD9808"/>
    </row>
    <row r="9809" spans="30:30" x14ac:dyDescent="0.25">
      <c r="AD9809"/>
    </row>
    <row r="9810" spans="30:30" x14ac:dyDescent="0.25">
      <c r="AD9810"/>
    </row>
    <row r="9811" spans="30:30" x14ac:dyDescent="0.25">
      <c r="AD9811"/>
    </row>
    <row r="9812" spans="30:30" x14ac:dyDescent="0.25">
      <c r="AD9812"/>
    </row>
    <row r="9813" spans="30:30" x14ac:dyDescent="0.25">
      <c r="AD9813"/>
    </row>
    <row r="9814" spans="30:30" x14ac:dyDescent="0.25">
      <c r="AD9814"/>
    </row>
    <row r="9815" spans="30:30" x14ac:dyDescent="0.25">
      <c r="AD9815"/>
    </row>
    <row r="9816" spans="30:30" x14ac:dyDescent="0.25">
      <c r="AD9816"/>
    </row>
    <row r="9817" spans="30:30" x14ac:dyDescent="0.25">
      <c r="AD9817"/>
    </row>
    <row r="9818" spans="30:30" x14ac:dyDescent="0.25">
      <c r="AD9818"/>
    </row>
    <row r="9819" spans="30:30" x14ac:dyDescent="0.25">
      <c r="AD9819"/>
    </row>
    <row r="9820" spans="30:30" x14ac:dyDescent="0.25">
      <c r="AD9820"/>
    </row>
    <row r="9821" spans="30:30" x14ac:dyDescent="0.25">
      <c r="AD9821"/>
    </row>
    <row r="9822" spans="30:30" x14ac:dyDescent="0.25">
      <c r="AD9822"/>
    </row>
    <row r="9823" spans="30:30" x14ac:dyDescent="0.25">
      <c r="AD9823"/>
    </row>
    <row r="9824" spans="30:30" x14ac:dyDescent="0.25">
      <c r="AD9824"/>
    </row>
    <row r="9825" spans="30:30" x14ac:dyDescent="0.25">
      <c r="AD9825"/>
    </row>
    <row r="9826" spans="30:30" x14ac:dyDescent="0.25">
      <c r="AD9826"/>
    </row>
    <row r="9827" spans="30:30" x14ac:dyDescent="0.25">
      <c r="AD9827"/>
    </row>
    <row r="9828" spans="30:30" x14ac:dyDescent="0.25">
      <c r="AD9828"/>
    </row>
    <row r="9829" spans="30:30" x14ac:dyDescent="0.25">
      <c r="AD9829"/>
    </row>
    <row r="9830" spans="30:30" x14ac:dyDescent="0.25">
      <c r="AD9830"/>
    </row>
    <row r="9831" spans="30:30" x14ac:dyDescent="0.25">
      <c r="AD9831"/>
    </row>
    <row r="9832" spans="30:30" x14ac:dyDescent="0.25">
      <c r="AD9832"/>
    </row>
    <row r="9833" spans="30:30" x14ac:dyDescent="0.25">
      <c r="AD9833"/>
    </row>
    <row r="9834" spans="30:30" x14ac:dyDescent="0.25">
      <c r="AD9834"/>
    </row>
    <row r="9835" spans="30:30" x14ac:dyDescent="0.25">
      <c r="AD9835"/>
    </row>
    <row r="9836" spans="30:30" x14ac:dyDescent="0.25">
      <c r="AD9836"/>
    </row>
    <row r="9837" spans="30:30" x14ac:dyDescent="0.25">
      <c r="AD9837"/>
    </row>
    <row r="9838" spans="30:30" x14ac:dyDescent="0.25">
      <c r="AD9838"/>
    </row>
    <row r="9839" spans="30:30" x14ac:dyDescent="0.25">
      <c r="AD9839"/>
    </row>
    <row r="9840" spans="30:30" x14ac:dyDescent="0.25">
      <c r="AD9840"/>
    </row>
    <row r="9841" spans="30:30" x14ac:dyDescent="0.25">
      <c r="AD9841"/>
    </row>
    <row r="9842" spans="30:30" x14ac:dyDescent="0.25">
      <c r="AD9842"/>
    </row>
    <row r="9843" spans="30:30" x14ac:dyDescent="0.25">
      <c r="AD9843"/>
    </row>
    <row r="9844" spans="30:30" x14ac:dyDescent="0.25">
      <c r="AD9844"/>
    </row>
    <row r="9845" spans="30:30" x14ac:dyDescent="0.25">
      <c r="AD9845"/>
    </row>
    <row r="9846" spans="30:30" x14ac:dyDescent="0.25">
      <c r="AD9846"/>
    </row>
    <row r="9847" spans="30:30" x14ac:dyDescent="0.25">
      <c r="AD9847"/>
    </row>
    <row r="9848" spans="30:30" x14ac:dyDescent="0.25">
      <c r="AD9848"/>
    </row>
    <row r="9849" spans="30:30" x14ac:dyDescent="0.25">
      <c r="AD9849"/>
    </row>
    <row r="9850" spans="30:30" x14ac:dyDescent="0.25">
      <c r="AD9850"/>
    </row>
    <row r="9851" spans="30:30" x14ac:dyDescent="0.25">
      <c r="AD9851"/>
    </row>
    <row r="9852" spans="30:30" x14ac:dyDescent="0.25">
      <c r="AD9852"/>
    </row>
    <row r="9853" spans="30:30" x14ac:dyDescent="0.25">
      <c r="AD9853"/>
    </row>
    <row r="9854" spans="30:30" x14ac:dyDescent="0.25">
      <c r="AD9854"/>
    </row>
    <row r="9855" spans="30:30" x14ac:dyDescent="0.25">
      <c r="AD9855"/>
    </row>
    <row r="9856" spans="30:30" x14ac:dyDescent="0.25">
      <c r="AD9856"/>
    </row>
    <row r="9857" spans="30:30" x14ac:dyDescent="0.25">
      <c r="AD9857"/>
    </row>
    <row r="9858" spans="30:30" x14ac:dyDescent="0.25">
      <c r="AD9858"/>
    </row>
    <row r="9859" spans="30:30" x14ac:dyDescent="0.25">
      <c r="AD9859"/>
    </row>
    <row r="9860" spans="30:30" x14ac:dyDescent="0.25">
      <c r="AD9860"/>
    </row>
    <row r="9861" spans="30:30" x14ac:dyDescent="0.25">
      <c r="AD9861"/>
    </row>
    <row r="9862" spans="30:30" x14ac:dyDescent="0.25">
      <c r="AD9862"/>
    </row>
    <row r="9863" spans="30:30" x14ac:dyDescent="0.25">
      <c r="AD9863"/>
    </row>
    <row r="9864" spans="30:30" x14ac:dyDescent="0.25">
      <c r="AD9864"/>
    </row>
    <row r="9865" spans="30:30" x14ac:dyDescent="0.25">
      <c r="AD9865"/>
    </row>
    <row r="9866" spans="30:30" x14ac:dyDescent="0.25">
      <c r="AD9866"/>
    </row>
    <row r="9867" spans="30:30" x14ac:dyDescent="0.25">
      <c r="AD9867"/>
    </row>
    <row r="9868" spans="30:30" x14ac:dyDescent="0.25">
      <c r="AD9868"/>
    </row>
    <row r="9869" spans="30:30" x14ac:dyDescent="0.25">
      <c r="AD9869"/>
    </row>
    <row r="9870" spans="30:30" x14ac:dyDescent="0.25">
      <c r="AD9870"/>
    </row>
    <row r="9871" spans="30:30" x14ac:dyDescent="0.25">
      <c r="AD9871"/>
    </row>
    <row r="9872" spans="30:30" x14ac:dyDescent="0.25">
      <c r="AD9872"/>
    </row>
    <row r="9873" spans="30:30" x14ac:dyDescent="0.25">
      <c r="AD9873"/>
    </row>
    <row r="9874" spans="30:30" x14ac:dyDescent="0.25">
      <c r="AD9874"/>
    </row>
    <row r="9875" spans="30:30" x14ac:dyDescent="0.25">
      <c r="AD9875"/>
    </row>
    <row r="9876" spans="30:30" x14ac:dyDescent="0.25">
      <c r="AD9876"/>
    </row>
    <row r="9877" spans="30:30" x14ac:dyDescent="0.25">
      <c r="AD9877"/>
    </row>
    <row r="9878" spans="30:30" x14ac:dyDescent="0.25">
      <c r="AD9878"/>
    </row>
    <row r="9879" spans="30:30" x14ac:dyDescent="0.25">
      <c r="AD9879"/>
    </row>
    <row r="9880" spans="30:30" x14ac:dyDescent="0.25">
      <c r="AD9880"/>
    </row>
    <row r="9881" spans="30:30" x14ac:dyDescent="0.25">
      <c r="AD9881"/>
    </row>
    <row r="9882" spans="30:30" x14ac:dyDescent="0.25">
      <c r="AD9882"/>
    </row>
    <row r="9883" spans="30:30" x14ac:dyDescent="0.25">
      <c r="AD9883"/>
    </row>
    <row r="9884" spans="30:30" x14ac:dyDescent="0.25">
      <c r="AD9884"/>
    </row>
    <row r="9885" spans="30:30" x14ac:dyDescent="0.25">
      <c r="AD9885"/>
    </row>
    <row r="9886" spans="30:30" x14ac:dyDescent="0.25">
      <c r="AD9886"/>
    </row>
    <row r="9887" spans="30:30" x14ac:dyDescent="0.25">
      <c r="AD9887"/>
    </row>
    <row r="9888" spans="30:30" x14ac:dyDescent="0.25">
      <c r="AD9888"/>
    </row>
    <row r="9889" spans="30:30" x14ac:dyDescent="0.25">
      <c r="AD9889"/>
    </row>
    <row r="9890" spans="30:30" x14ac:dyDescent="0.25">
      <c r="AD9890"/>
    </row>
    <row r="9891" spans="30:30" x14ac:dyDescent="0.25">
      <c r="AD9891"/>
    </row>
    <row r="9892" spans="30:30" x14ac:dyDescent="0.25">
      <c r="AD9892"/>
    </row>
    <row r="9893" spans="30:30" x14ac:dyDescent="0.25">
      <c r="AD9893"/>
    </row>
    <row r="9894" spans="30:30" x14ac:dyDescent="0.25">
      <c r="AD9894"/>
    </row>
    <row r="9895" spans="30:30" x14ac:dyDescent="0.25">
      <c r="AD9895"/>
    </row>
    <row r="9896" spans="30:30" x14ac:dyDescent="0.25">
      <c r="AD9896"/>
    </row>
    <row r="9897" spans="30:30" x14ac:dyDescent="0.25">
      <c r="AD9897"/>
    </row>
    <row r="9898" spans="30:30" x14ac:dyDescent="0.25">
      <c r="AD9898"/>
    </row>
    <row r="9899" spans="30:30" x14ac:dyDescent="0.25">
      <c r="AD9899"/>
    </row>
    <row r="9900" spans="30:30" x14ac:dyDescent="0.25">
      <c r="AD9900"/>
    </row>
    <row r="9901" spans="30:30" x14ac:dyDescent="0.25">
      <c r="AD9901"/>
    </row>
    <row r="9902" spans="30:30" x14ac:dyDescent="0.25">
      <c r="AD9902"/>
    </row>
    <row r="9903" spans="30:30" x14ac:dyDescent="0.25">
      <c r="AD9903"/>
    </row>
    <row r="9904" spans="30:30" x14ac:dyDescent="0.25">
      <c r="AD9904"/>
    </row>
    <row r="9905" spans="30:30" x14ac:dyDescent="0.25">
      <c r="AD9905"/>
    </row>
    <row r="9906" spans="30:30" x14ac:dyDescent="0.25">
      <c r="AD9906"/>
    </row>
    <row r="9907" spans="30:30" x14ac:dyDescent="0.25">
      <c r="AD9907"/>
    </row>
    <row r="9908" spans="30:30" x14ac:dyDescent="0.25">
      <c r="AD9908"/>
    </row>
    <row r="9909" spans="30:30" x14ac:dyDescent="0.25">
      <c r="AD9909"/>
    </row>
    <row r="9910" spans="30:30" x14ac:dyDescent="0.25">
      <c r="AD9910"/>
    </row>
    <row r="9911" spans="30:30" x14ac:dyDescent="0.25">
      <c r="AD9911"/>
    </row>
    <row r="9912" spans="30:30" x14ac:dyDescent="0.25">
      <c r="AD9912"/>
    </row>
    <row r="9913" spans="30:30" x14ac:dyDescent="0.25">
      <c r="AD9913"/>
    </row>
    <row r="9914" spans="30:30" x14ac:dyDescent="0.25">
      <c r="AD9914"/>
    </row>
    <row r="9915" spans="30:30" x14ac:dyDescent="0.25">
      <c r="AD9915"/>
    </row>
    <row r="9916" spans="30:30" x14ac:dyDescent="0.25">
      <c r="AD9916"/>
    </row>
    <row r="9917" spans="30:30" x14ac:dyDescent="0.25">
      <c r="AD9917"/>
    </row>
    <row r="9918" spans="30:30" x14ac:dyDescent="0.25">
      <c r="AD9918"/>
    </row>
    <row r="9919" spans="30:30" x14ac:dyDescent="0.25">
      <c r="AD9919"/>
    </row>
    <row r="9920" spans="30:30" x14ac:dyDescent="0.25">
      <c r="AD9920"/>
    </row>
    <row r="9921" spans="30:30" x14ac:dyDescent="0.25">
      <c r="AD9921"/>
    </row>
    <row r="9922" spans="30:30" x14ac:dyDescent="0.25">
      <c r="AD9922"/>
    </row>
    <row r="9923" spans="30:30" x14ac:dyDescent="0.25">
      <c r="AD9923"/>
    </row>
    <row r="9924" spans="30:30" x14ac:dyDescent="0.25">
      <c r="AD9924"/>
    </row>
    <row r="9925" spans="30:30" x14ac:dyDescent="0.25">
      <c r="AD9925"/>
    </row>
    <row r="9926" spans="30:30" x14ac:dyDescent="0.25">
      <c r="AD9926"/>
    </row>
    <row r="9927" spans="30:30" x14ac:dyDescent="0.25">
      <c r="AD9927"/>
    </row>
    <row r="9928" spans="30:30" x14ac:dyDescent="0.25">
      <c r="AD9928"/>
    </row>
    <row r="9929" spans="30:30" x14ac:dyDescent="0.25">
      <c r="AD9929"/>
    </row>
    <row r="9930" spans="30:30" x14ac:dyDescent="0.25">
      <c r="AD9930"/>
    </row>
    <row r="9931" spans="30:30" x14ac:dyDescent="0.25">
      <c r="AD9931"/>
    </row>
    <row r="9932" spans="30:30" x14ac:dyDescent="0.25">
      <c r="AD9932"/>
    </row>
    <row r="9933" spans="30:30" x14ac:dyDescent="0.25">
      <c r="AD9933"/>
    </row>
    <row r="9934" spans="30:30" x14ac:dyDescent="0.25">
      <c r="AD9934"/>
    </row>
    <row r="9935" spans="30:30" x14ac:dyDescent="0.25">
      <c r="AD9935"/>
    </row>
    <row r="9936" spans="30:30" x14ac:dyDescent="0.25">
      <c r="AD9936"/>
    </row>
    <row r="9937" spans="30:30" x14ac:dyDescent="0.25">
      <c r="AD9937"/>
    </row>
    <row r="9938" spans="30:30" x14ac:dyDescent="0.25">
      <c r="AD9938"/>
    </row>
    <row r="9939" spans="30:30" x14ac:dyDescent="0.25">
      <c r="AD9939"/>
    </row>
    <row r="9940" spans="30:30" x14ac:dyDescent="0.25">
      <c r="AD9940"/>
    </row>
    <row r="9941" spans="30:30" x14ac:dyDescent="0.25">
      <c r="AD9941"/>
    </row>
    <row r="9942" spans="30:30" x14ac:dyDescent="0.25">
      <c r="AD9942"/>
    </row>
    <row r="9943" spans="30:30" x14ac:dyDescent="0.25">
      <c r="AD9943"/>
    </row>
    <row r="9944" spans="30:30" x14ac:dyDescent="0.25">
      <c r="AD9944"/>
    </row>
    <row r="9945" spans="30:30" x14ac:dyDescent="0.25">
      <c r="AD9945"/>
    </row>
    <row r="9946" spans="30:30" x14ac:dyDescent="0.25">
      <c r="AD9946"/>
    </row>
    <row r="9947" spans="30:30" x14ac:dyDescent="0.25">
      <c r="AD9947"/>
    </row>
    <row r="9948" spans="30:30" x14ac:dyDescent="0.25">
      <c r="AD9948"/>
    </row>
    <row r="9949" spans="30:30" x14ac:dyDescent="0.25">
      <c r="AD9949"/>
    </row>
    <row r="9950" spans="30:30" x14ac:dyDescent="0.25">
      <c r="AD9950"/>
    </row>
    <row r="9951" spans="30:30" x14ac:dyDescent="0.25">
      <c r="AD9951"/>
    </row>
    <row r="9952" spans="30:30" x14ac:dyDescent="0.25">
      <c r="AD9952"/>
    </row>
    <row r="9953" spans="30:30" x14ac:dyDescent="0.25">
      <c r="AD9953"/>
    </row>
    <row r="9954" spans="30:30" x14ac:dyDescent="0.25">
      <c r="AD9954"/>
    </row>
    <row r="9955" spans="30:30" x14ac:dyDescent="0.25">
      <c r="AD9955"/>
    </row>
    <row r="9956" spans="30:30" x14ac:dyDescent="0.25">
      <c r="AD9956"/>
    </row>
    <row r="9957" spans="30:30" x14ac:dyDescent="0.25">
      <c r="AD9957"/>
    </row>
    <row r="9958" spans="30:30" x14ac:dyDescent="0.25">
      <c r="AD9958"/>
    </row>
    <row r="9959" spans="30:30" x14ac:dyDescent="0.25">
      <c r="AD9959"/>
    </row>
    <row r="9960" spans="30:30" x14ac:dyDescent="0.25">
      <c r="AD9960"/>
    </row>
    <row r="9961" spans="30:30" x14ac:dyDescent="0.25">
      <c r="AD9961"/>
    </row>
    <row r="9962" spans="30:30" x14ac:dyDescent="0.25">
      <c r="AD9962"/>
    </row>
    <row r="9963" spans="30:30" x14ac:dyDescent="0.25">
      <c r="AD9963"/>
    </row>
    <row r="9964" spans="30:30" x14ac:dyDescent="0.25">
      <c r="AD9964"/>
    </row>
    <row r="9965" spans="30:30" x14ac:dyDescent="0.25">
      <c r="AD9965"/>
    </row>
    <row r="9966" spans="30:30" x14ac:dyDescent="0.25">
      <c r="AD9966"/>
    </row>
    <row r="9967" spans="30:30" x14ac:dyDescent="0.25">
      <c r="AD9967"/>
    </row>
    <row r="9968" spans="30:30" x14ac:dyDescent="0.25">
      <c r="AD9968"/>
    </row>
    <row r="9969" spans="30:30" x14ac:dyDescent="0.25">
      <c r="AD9969"/>
    </row>
    <row r="9970" spans="30:30" x14ac:dyDescent="0.25">
      <c r="AD9970"/>
    </row>
    <row r="9971" spans="30:30" x14ac:dyDescent="0.25">
      <c r="AD9971"/>
    </row>
    <row r="9972" spans="30:30" x14ac:dyDescent="0.25">
      <c r="AD9972"/>
    </row>
    <row r="9973" spans="30:30" x14ac:dyDescent="0.25">
      <c r="AD9973"/>
    </row>
    <row r="9974" spans="30:30" x14ac:dyDescent="0.25">
      <c r="AD9974"/>
    </row>
    <row r="9975" spans="30:30" x14ac:dyDescent="0.25">
      <c r="AD9975"/>
    </row>
    <row r="9976" spans="30:30" x14ac:dyDescent="0.25">
      <c r="AD9976"/>
    </row>
    <row r="9977" spans="30:30" x14ac:dyDescent="0.25">
      <c r="AD9977"/>
    </row>
    <row r="9978" spans="30:30" x14ac:dyDescent="0.25">
      <c r="AD9978"/>
    </row>
    <row r="9979" spans="30:30" x14ac:dyDescent="0.25">
      <c r="AD9979"/>
    </row>
    <row r="9980" spans="30:30" x14ac:dyDescent="0.25">
      <c r="AD9980"/>
    </row>
    <row r="9981" spans="30:30" x14ac:dyDescent="0.25">
      <c r="AD9981"/>
    </row>
    <row r="9982" spans="30:30" x14ac:dyDescent="0.25">
      <c r="AD9982"/>
    </row>
    <row r="9983" spans="30:30" x14ac:dyDescent="0.25">
      <c r="AD9983"/>
    </row>
    <row r="9984" spans="30:30" x14ac:dyDescent="0.25">
      <c r="AD9984"/>
    </row>
    <row r="9985" spans="30:30" x14ac:dyDescent="0.25">
      <c r="AD9985"/>
    </row>
    <row r="9986" spans="30:30" x14ac:dyDescent="0.25">
      <c r="AD9986"/>
    </row>
    <row r="9987" spans="30:30" x14ac:dyDescent="0.25">
      <c r="AD9987"/>
    </row>
    <row r="9988" spans="30:30" x14ac:dyDescent="0.25">
      <c r="AD9988"/>
    </row>
    <row r="9989" spans="30:30" x14ac:dyDescent="0.25">
      <c r="AD9989"/>
    </row>
    <row r="9990" spans="30:30" x14ac:dyDescent="0.25">
      <c r="AD9990"/>
    </row>
    <row r="9991" spans="30:30" x14ac:dyDescent="0.25">
      <c r="AD9991"/>
    </row>
    <row r="9992" spans="30:30" x14ac:dyDescent="0.25">
      <c r="AD9992"/>
    </row>
    <row r="9993" spans="30:30" x14ac:dyDescent="0.25">
      <c r="AD9993"/>
    </row>
    <row r="9994" spans="30:30" x14ac:dyDescent="0.25">
      <c r="AD9994"/>
    </row>
    <row r="9995" spans="30:30" x14ac:dyDescent="0.25">
      <c r="AD9995"/>
    </row>
    <row r="9996" spans="30:30" x14ac:dyDescent="0.25">
      <c r="AD9996"/>
    </row>
    <row r="9997" spans="30:30" x14ac:dyDescent="0.25">
      <c r="AD9997"/>
    </row>
    <row r="9998" spans="30:30" x14ac:dyDescent="0.25">
      <c r="AD9998"/>
    </row>
    <row r="9999" spans="30:30" x14ac:dyDescent="0.25">
      <c r="AD9999"/>
    </row>
    <row r="10000" spans="30:30" x14ac:dyDescent="0.25">
      <c r="AD10000"/>
    </row>
    <row r="10001" spans="30:30" x14ac:dyDescent="0.25">
      <c r="AD10001"/>
    </row>
    <row r="10002" spans="30:30" x14ac:dyDescent="0.25">
      <c r="AD10002"/>
    </row>
    <row r="10003" spans="30:30" x14ac:dyDescent="0.25">
      <c r="AD10003"/>
    </row>
    <row r="10004" spans="30:30" x14ac:dyDescent="0.25">
      <c r="AD10004"/>
    </row>
    <row r="10005" spans="30:30" x14ac:dyDescent="0.25">
      <c r="AD10005"/>
    </row>
    <row r="10006" spans="30:30" x14ac:dyDescent="0.25">
      <c r="AD10006"/>
    </row>
    <row r="10007" spans="30:30" x14ac:dyDescent="0.25">
      <c r="AD10007"/>
    </row>
    <row r="10008" spans="30:30" x14ac:dyDescent="0.25">
      <c r="AD10008"/>
    </row>
    <row r="10009" spans="30:30" x14ac:dyDescent="0.25">
      <c r="AD10009"/>
    </row>
    <row r="10010" spans="30:30" x14ac:dyDescent="0.25">
      <c r="AD10010"/>
    </row>
    <row r="10011" spans="30:30" x14ac:dyDescent="0.25">
      <c r="AD10011"/>
    </row>
    <row r="10012" spans="30:30" x14ac:dyDescent="0.25">
      <c r="AD10012"/>
    </row>
    <row r="10013" spans="30:30" x14ac:dyDescent="0.25">
      <c r="AD10013"/>
    </row>
    <row r="10014" spans="30:30" x14ac:dyDescent="0.25">
      <c r="AD10014"/>
    </row>
    <row r="10015" spans="30:30" x14ac:dyDescent="0.25">
      <c r="AD10015"/>
    </row>
    <row r="10016" spans="30:30" x14ac:dyDescent="0.25">
      <c r="AD10016"/>
    </row>
    <row r="10017" spans="30:30" x14ac:dyDescent="0.25">
      <c r="AD10017"/>
    </row>
    <row r="10018" spans="30:30" x14ac:dyDescent="0.25">
      <c r="AD10018"/>
    </row>
    <row r="10019" spans="30:30" x14ac:dyDescent="0.25">
      <c r="AD10019"/>
    </row>
    <row r="10020" spans="30:30" x14ac:dyDescent="0.25">
      <c r="AD10020"/>
    </row>
    <row r="10021" spans="30:30" x14ac:dyDescent="0.25">
      <c r="AD10021"/>
    </row>
    <row r="10022" spans="30:30" x14ac:dyDescent="0.25">
      <c r="AD10022"/>
    </row>
    <row r="10023" spans="30:30" x14ac:dyDescent="0.25">
      <c r="AD10023"/>
    </row>
    <row r="10024" spans="30:30" x14ac:dyDescent="0.25">
      <c r="AD10024"/>
    </row>
    <row r="10025" spans="30:30" x14ac:dyDescent="0.25">
      <c r="AD10025"/>
    </row>
    <row r="10026" spans="30:30" x14ac:dyDescent="0.25">
      <c r="AD10026"/>
    </row>
    <row r="10027" spans="30:30" x14ac:dyDescent="0.25">
      <c r="AD10027"/>
    </row>
    <row r="10028" spans="30:30" x14ac:dyDescent="0.25">
      <c r="AD10028"/>
    </row>
    <row r="10029" spans="30:30" x14ac:dyDescent="0.25">
      <c r="AD10029"/>
    </row>
    <row r="10030" spans="30:30" x14ac:dyDescent="0.25">
      <c r="AD10030"/>
    </row>
    <row r="10031" spans="30:30" x14ac:dyDescent="0.25">
      <c r="AD10031"/>
    </row>
    <row r="10032" spans="30:30" x14ac:dyDescent="0.25">
      <c r="AD10032"/>
    </row>
    <row r="10033" spans="30:30" x14ac:dyDescent="0.25">
      <c r="AD10033"/>
    </row>
    <row r="10034" spans="30:30" x14ac:dyDescent="0.25">
      <c r="AD10034"/>
    </row>
    <row r="10035" spans="30:30" x14ac:dyDescent="0.25">
      <c r="AD10035"/>
    </row>
    <row r="10036" spans="30:30" x14ac:dyDescent="0.25">
      <c r="AD10036"/>
    </row>
    <row r="10037" spans="30:30" x14ac:dyDescent="0.25">
      <c r="AD10037"/>
    </row>
    <row r="10038" spans="30:30" x14ac:dyDescent="0.25">
      <c r="AD10038"/>
    </row>
    <row r="10039" spans="30:30" x14ac:dyDescent="0.25">
      <c r="AD10039"/>
    </row>
    <row r="10040" spans="30:30" x14ac:dyDescent="0.25">
      <c r="AD10040"/>
    </row>
    <row r="10041" spans="30:30" x14ac:dyDescent="0.25">
      <c r="AD10041"/>
    </row>
    <row r="10042" spans="30:30" x14ac:dyDescent="0.25">
      <c r="AD10042"/>
    </row>
    <row r="10043" spans="30:30" x14ac:dyDescent="0.25">
      <c r="AD10043"/>
    </row>
    <row r="10044" spans="30:30" x14ac:dyDescent="0.25">
      <c r="AD10044"/>
    </row>
    <row r="10045" spans="30:30" x14ac:dyDescent="0.25">
      <c r="AD10045"/>
    </row>
    <row r="10046" spans="30:30" x14ac:dyDescent="0.25">
      <c r="AD10046"/>
    </row>
    <row r="10047" spans="30:30" x14ac:dyDescent="0.25">
      <c r="AD10047"/>
    </row>
    <row r="10048" spans="30:30" x14ac:dyDescent="0.25">
      <c r="AD10048"/>
    </row>
    <row r="10049" spans="30:30" x14ac:dyDescent="0.25">
      <c r="AD10049"/>
    </row>
    <row r="10050" spans="30:30" x14ac:dyDescent="0.25">
      <c r="AD10050"/>
    </row>
    <row r="10051" spans="30:30" x14ac:dyDescent="0.25">
      <c r="AD10051"/>
    </row>
    <row r="10052" spans="30:30" x14ac:dyDescent="0.25">
      <c r="AD10052"/>
    </row>
    <row r="10053" spans="30:30" x14ac:dyDescent="0.25">
      <c r="AD10053"/>
    </row>
    <row r="10054" spans="30:30" x14ac:dyDescent="0.25">
      <c r="AD10054"/>
    </row>
    <row r="10055" spans="30:30" x14ac:dyDescent="0.25">
      <c r="AD10055"/>
    </row>
    <row r="10056" spans="30:30" x14ac:dyDescent="0.25">
      <c r="AD10056"/>
    </row>
    <row r="10057" spans="30:30" x14ac:dyDescent="0.25">
      <c r="AD10057"/>
    </row>
    <row r="10058" spans="30:30" x14ac:dyDescent="0.25">
      <c r="AD10058"/>
    </row>
    <row r="10059" spans="30:30" x14ac:dyDescent="0.25">
      <c r="AD10059"/>
    </row>
    <row r="10060" spans="30:30" x14ac:dyDescent="0.25">
      <c r="AD10060"/>
    </row>
    <row r="10061" spans="30:30" x14ac:dyDescent="0.25">
      <c r="AD10061"/>
    </row>
    <row r="10062" spans="30:30" x14ac:dyDescent="0.25">
      <c r="AD10062"/>
    </row>
    <row r="10063" spans="30:30" x14ac:dyDescent="0.25">
      <c r="AD10063"/>
    </row>
    <row r="10064" spans="30:30" x14ac:dyDescent="0.25">
      <c r="AD10064"/>
    </row>
    <row r="10065" spans="30:30" x14ac:dyDescent="0.25">
      <c r="AD10065"/>
    </row>
    <row r="10066" spans="30:30" x14ac:dyDescent="0.25">
      <c r="AD10066"/>
    </row>
    <row r="10067" spans="30:30" x14ac:dyDescent="0.25">
      <c r="AD10067"/>
    </row>
    <row r="10068" spans="30:30" x14ac:dyDescent="0.25">
      <c r="AD10068"/>
    </row>
    <row r="10069" spans="30:30" x14ac:dyDescent="0.25">
      <c r="AD10069"/>
    </row>
    <row r="10070" spans="30:30" x14ac:dyDescent="0.25">
      <c r="AD10070"/>
    </row>
    <row r="10071" spans="30:30" x14ac:dyDescent="0.25">
      <c r="AD10071"/>
    </row>
    <row r="10072" spans="30:30" x14ac:dyDescent="0.25">
      <c r="AD10072"/>
    </row>
    <row r="10073" spans="30:30" x14ac:dyDescent="0.25">
      <c r="AD10073"/>
    </row>
    <row r="10074" spans="30:30" x14ac:dyDescent="0.25">
      <c r="AD10074"/>
    </row>
    <row r="10075" spans="30:30" x14ac:dyDescent="0.25">
      <c r="AD10075"/>
    </row>
    <row r="10076" spans="30:30" x14ac:dyDescent="0.25">
      <c r="AD10076"/>
    </row>
    <row r="10077" spans="30:30" x14ac:dyDescent="0.25">
      <c r="AD10077"/>
    </row>
    <row r="10078" spans="30:30" x14ac:dyDescent="0.25">
      <c r="AD10078"/>
    </row>
    <row r="10079" spans="30:30" x14ac:dyDescent="0.25">
      <c r="AD10079"/>
    </row>
    <row r="10080" spans="30:30" x14ac:dyDescent="0.25">
      <c r="AD10080"/>
    </row>
    <row r="10081" spans="30:30" x14ac:dyDescent="0.25">
      <c r="AD10081"/>
    </row>
    <row r="10082" spans="30:30" x14ac:dyDescent="0.25">
      <c r="AD10082"/>
    </row>
    <row r="10083" spans="30:30" x14ac:dyDescent="0.25">
      <c r="AD10083"/>
    </row>
    <row r="10084" spans="30:30" x14ac:dyDescent="0.25">
      <c r="AD10084"/>
    </row>
    <row r="10085" spans="30:30" x14ac:dyDescent="0.25">
      <c r="AD10085"/>
    </row>
    <row r="10086" spans="30:30" x14ac:dyDescent="0.25">
      <c r="AD10086"/>
    </row>
    <row r="10087" spans="30:30" x14ac:dyDescent="0.25">
      <c r="AD10087"/>
    </row>
    <row r="10088" spans="30:30" x14ac:dyDescent="0.25">
      <c r="AD10088"/>
    </row>
    <row r="10089" spans="30:30" x14ac:dyDescent="0.25">
      <c r="AD10089"/>
    </row>
    <row r="10090" spans="30:30" x14ac:dyDescent="0.25">
      <c r="AD10090"/>
    </row>
    <row r="10091" spans="30:30" x14ac:dyDescent="0.25">
      <c r="AD10091"/>
    </row>
    <row r="10092" spans="30:30" x14ac:dyDescent="0.25">
      <c r="AD10092"/>
    </row>
    <row r="10093" spans="30:30" x14ac:dyDescent="0.25">
      <c r="AD10093"/>
    </row>
    <row r="10094" spans="30:30" x14ac:dyDescent="0.25">
      <c r="AD10094"/>
    </row>
    <row r="10095" spans="30:30" x14ac:dyDescent="0.25">
      <c r="AD10095"/>
    </row>
    <row r="10096" spans="30:30" x14ac:dyDescent="0.25">
      <c r="AD10096"/>
    </row>
    <row r="10097" spans="30:30" x14ac:dyDescent="0.25">
      <c r="AD10097"/>
    </row>
    <row r="10098" spans="30:30" x14ac:dyDescent="0.25">
      <c r="AD10098"/>
    </row>
    <row r="10099" spans="30:30" x14ac:dyDescent="0.25">
      <c r="AD10099"/>
    </row>
    <row r="10100" spans="30:30" x14ac:dyDescent="0.25">
      <c r="AD10100"/>
    </row>
    <row r="10101" spans="30:30" x14ac:dyDescent="0.25">
      <c r="AD10101"/>
    </row>
    <row r="10102" spans="30:30" x14ac:dyDescent="0.25">
      <c r="AD10102"/>
    </row>
    <row r="10103" spans="30:30" x14ac:dyDescent="0.25">
      <c r="AD10103"/>
    </row>
    <row r="10104" spans="30:30" x14ac:dyDescent="0.25">
      <c r="AD10104"/>
    </row>
    <row r="10105" spans="30:30" x14ac:dyDescent="0.25">
      <c r="AD10105"/>
    </row>
    <row r="10106" spans="30:30" x14ac:dyDescent="0.25">
      <c r="AD10106"/>
    </row>
    <row r="10107" spans="30:30" x14ac:dyDescent="0.25">
      <c r="AD10107"/>
    </row>
    <row r="10108" spans="30:30" x14ac:dyDescent="0.25">
      <c r="AD10108"/>
    </row>
    <row r="10109" spans="30:30" x14ac:dyDescent="0.25">
      <c r="AD10109"/>
    </row>
    <row r="10110" spans="30:30" x14ac:dyDescent="0.25">
      <c r="AD10110"/>
    </row>
    <row r="10111" spans="30:30" x14ac:dyDescent="0.25">
      <c r="AD10111"/>
    </row>
    <row r="10112" spans="30:30" x14ac:dyDescent="0.25">
      <c r="AD10112"/>
    </row>
    <row r="10113" spans="30:30" x14ac:dyDescent="0.25">
      <c r="AD10113"/>
    </row>
    <row r="10114" spans="30:30" x14ac:dyDescent="0.25">
      <c r="AD10114"/>
    </row>
    <row r="10115" spans="30:30" x14ac:dyDescent="0.25">
      <c r="AD10115"/>
    </row>
    <row r="10116" spans="30:30" x14ac:dyDescent="0.25">
      <c r="AD10116"/>
    </row>
    <row r="10117" spans="30:30" x14ac:dyDescent="0.25">
      <c r="AD10117"/>
    </row>
    <row r="10118" spans="30:30" x14ac:dyDescent="0.25">
      <c r="AD10118"/>
    </row>
    <row r="10119" spans="30:30" x14ac:dyDescent="0.25">
      <c r="AD10119"/>
    </row>
    <row r="10120" spans="30:30" x14ac:dyDescent="0.25">
      <c r="AD10120"/>
    </row>
    <row r="10121" spans="30:30" x14ac:dyDescent="0.25">
      <c r="AD10121"/>
    </row>
    <row r="10122" spans="30:30" x14ac:dyDescent="0.25">
      <c r="AD10122"/>
    </row>
    <row r="10123" spans="30:30" x14ac:dyDescent="0.25">
      <c r="AD10123"/>
    </row>
    <row r="10124" spans="30:30" x14ac:dyDescent="0.25">
      <c r="AD10124"/>
    </row>
    <row r="10125" spans="30:30" x14ac:dyDescent="0.25">
      <c r="AD10125"/>
    </row>
    <row r="10126" spans="30:30" x14ac:dyDescent="0.25">
      <c r="AD10126"/>
    </row>
    <row r="10127" spans="30:30" x14ac:dyDescent="0.25">
      <c r="AD10127"/>
    </row>
    <row r="10128" spans="30:30" x14ac:dyDescent="0.25">
      <c r="AD10128"/>
    </row>
    <row r="10129" spans="30:30" x14ac:dyDescent="0.25">
      <c r="AD10129"/>
    </row>
    <row r="10130" spans="30:30" x14ac:dyDescent="0.25">
      <c r="AD10130"/>
    </row>
    <row r="10131" spans="30:30" x14ac:dyDescent="0.25">
      <c r="AD10131"/>
    </row>
    <row r="10132" spans="30:30" x14ac:dyDescent="0.25">
      <c r="AD10132"/>
    </row>
    <row r="10133" spans="30:30" x14ac:dyDescent="0.25">
      <c r="AD10133"/>
    </row>
    <row r="10134" spans="30:30" x14ac:dyDescent="0.25">
      <c r="AD10134"/>
    </row>
    <row r="10135" spans="30:30" x14ac:dyDescent="0.25">
      <c r="AD10135"/>
    </row>
    <row r="10136" spans="30:30" x14ac:dyDescent="0.25">
      <c r="AD10136"/>
    </row>
    <row r="10137" spans="30:30" x14ac:dyDescent="0.25">
      <c r="AD10137"/>
    </row>
    <row r="10138" spans="30:30" x14ac:dyDescent="0.25">
      <c r="AD10138"/>
    </row>
    <row r="10139" spans="30:30" x14ac:dyDescent="0.25">
      <c r="AD10139"/>
    </row>
    <row r="10140" spans="30:30" x14ac:dyDescent="0.25">
      <c r="AD10140"/>
    </row>
    <row r="10141" spans="30:30" x14ac:dyDescent="0.25">
      <c r="AD10141"/>
    </row>
    <row r="10142" spans="30:30" x14ac:dyDescent="0.25">
      <c r="AD10142"/>
    </row>
    <row r="10143" spans="30:30" x14ac:dyDescent="0.25">
      <c r="AD10143"/>
    </row>
    <row r="10144" spans="30:30" x14ac:dyDescent="0.25">
      <c r="AD10144"/>
    </row>
    <row r="10145" spans="30:30" x14ac:dyDescent="0.25">
      <c r="AD10145"/>
    </row>
    <row r="10146" spans="30:30" x14ac:dyDescent="0.25">
      <c r="AD10146"/>
    </row>
    <row r="10147" spans="30:30" x14ac:dyDescent="0.25">
      <c r="AD10147"/>
    </row>
    <row r="10148" spans="30:30" x14ac:dyDescent="0.25">
      <c r="AD10148"/>
    </row>
    <row r="10149" spans="30:30" x14ac:dyDescent="0.25">
      <c r="AD10149"/>
    </row>
    <row r="10150" spans="30:30" x14ac:dyDescent="0.25">
      <c r="AD10150"/>
    </row>
    <row r="10151" spans="30:30" x14ac:dyDescent="0.25">
      <c r="AD10151"/>
    </row>
    <row r="10152" spans="30:30" x14ac:dyDescent="0.25">
      <c r="AD10152"/>
    </row>
    <row r="10153" spans="30:30" x14ac:dyDescent="0.25">
      <c r="AD10153"/>
    </row>
    <row r="10154" spans="30:30" x14ac:dyDescent="0.25">
      <c r="AD10154"/>
    </row>
    <row r="10155" spans="30:30" x14ac:dyDescent="0.25">
      <c r="AD10155"/>
    </row>
    <row r="10156" spans="30:30" x14ac:dyDescent="0.25">
      <c r="AD10156"/>
    </row>
    <row r="10157" spans="30:30" x14ac:dyDescent="0.25">
      <c r="AD10157"/>
    </row>
    <row r="10158" spans="30:30" x14ac:dyDescent="0.25">
      <c r="AD10158"/>
    </row>
    <row r="10159" spans="30:30" x14ac:dyDescent="0.25">
      <c r="AD10159"/>
    </row>
    <row r="10160" spans="30:30" x14ac:dyDescent="0.25">
      <c r="AD10160"/>
    </row>
    <row r="10161" spans="30:30" x14ac:dyDescent="0.25">
      <c r="AD10161"/>
    </row>
    <row r="10162" spans="30:30" x14ac:dyDescent="0.25">
      <c r="AD10162"/>
    </row>
    <row r="10163" spans="30:30" x14ac:dyDescent="0.25">
      <c r="AD10163"/>
    </row>
    <row r="10164" spans="30:30" x14ac:dyDescent="0.25">
      <c r="AD10164"/>
    </row>
    <row r="10165" spans="30:30" x14ac:dyDescent="0.25">
      <c r="AD10165"/>
    </row>
    <row r="10166" spans="30:30" x14ac:dyDescent="0.25">
      <c r="AD10166"/>
    </row>
    <row r="10167" spans="30:30" x14ac:dyDescent="0.25">
      <c r="AD10167"/>
    </row>
    <row r="10168" spans="30:30" x14ac:dyDescent="0.25">
      <c r="AD10168"/>
    </row>
    <row r="10169" spans="30:30" x14ac:dyDescent="0.25">
      <c r="AD10169"/>
    </row>
    <row r="10170" spans="30:30" x14ac:dyDescent="0.25">
      <c r="AD10170"/>
    </row>
    <row r="10171" spans="30:30" x14ac:dyDescent="0.25">
      <c r="AD10171"/>
    </row>
    <row r="10172" spans="30:30" x14ac:dyDescent="0.25">
      <c r="AD10172"/>
    </row>
    <row r="10173" spans="30:30" x14ac:dyDescent="0.25">
      <c r="AD10173"/>
    </row>
    <row r="10174" spans="30:30" x14ac:dyDescent="0.25">
      <c r="AD10174"/>
    </row>
    <row r="10175" spans="30:30" x14ac:dyDescent="0.25">
      <c r="AD10175"/>
    </row>
    <row r="10176" spans="30:30" x14ac:dyDescent="0.25">
      <c r="AD10176"/>
    </row>
    <row r="10177" spans="30:30" x14ac:dyDescent="0.25">
      <c r="AD10177"/>
    </row>
    <row r="10178" spans="30:30" x14ac:dyDescent="0.25">
      <c r="AD10178"/>
    </row>
    <row r="10179" spans="30:30" x14ac:dyDescent="0.25">
      <c r="AD10179"/>
    </row>
    <row r="10180" spans="30:30" x14ac:dyDescent="0.25">
      <c r="AD10180"/>
    </row>
    <row r="10181" spans="30:30" x14ac:dyDescent="0.25">
      <c r="AD10181"/>
    </row>
    <row r="10182" spans="30:30" x14ac:dyDescent="0.25">
      <c r="AD10182"/>
    </row>
    <row r="10183" spans="30:30" x14ac:dyDescent="0.25">
      <c r="AD10183"/>
    </row>
    <row r="10184" spans="30:30" x14ac:dyDescent="0.25">
      <c r="AD10184"/>
    </row>
    <row r="10185" spans="30:30" x14ac:dyDescent="0.25">
      <c r="AD10185"/>
    </row>
    <row r="10186" spans="30:30" x14ac:dyDescent="0.25">
      <c r="AD10186"/>
    </row>
    <row r="10187" spans="30:30" x14ac:dyDescent="0.25">
      <c r="AD10187"/>
    </row>
    <row r="10188" spans="30:30" x14ac:dyDescent="0.25">
      <c r="AD10188"/>
    </row>
    <row r="10189" spans="30:30" x14ac:dyDescent="0.25">
      <c r="AD10189"/>
    </row>
    <row r="10190" spans="30:30" x14ac:dyDescent="0.25">
      <c r="AD10190"/>
    </row>
    <row r="10191" spans="30:30" x14ac:dyDescent="0.25">
      <c r="AD10191"/>
    </row>
    <row r="10192" spans="30:30" x14ac:dyDescent="0.25">
      <c r="AD10192"/>
    </row>
    <row r="10193" spans="30:30" x14ac:dyDescent="0.25">
      <c r="AD10193"/>
    </row>
    <row r="10194" spans="30:30" x14ac:dyDescent="0.25">
      <c r="AD10194"/>
    </row>
    <row r="10195" spans="30:30" x14ac:dyDescent="0.25">
      <c r="AD10195"/>
    </row>
    <row r="10196" spans="30:30" x14ac:dyDescent="0.25">
      <c r="AD10196"/>
    </row>
    <row r="10197" spans="30:30" x14ac:dyDescent="0.25">
      <c r="AD10197"/>
    </row>
    <row r="10198" spans="30:30" x14ac:dyDescent="0.25">
      <c r="AD10198"/>
    </row>
    <row r="10199" spans="30:30" x14ac:dyDescent="0.25">
      <c r="AD10199"/>
    </row>
    <row r="10200" spans="30:30" x14ac:dyDescent="0.25">
      <c r="AD10200"/>
    </row>
    <row r="10201" spans="30:30" x14ac:dyDescent="0.25">
      <c r="AD10201"/>
    </row>
    <row r="10202" spans="30:30" x14ac:dyDescent="0.25">
      <c r="AD10202"/>
    </row>
    <row r="10203" spans="30:30" x14ac:dyDescent="0.25">
      <c r="AD10203"/>
    </row>
    <row r="10204" spans="30:30" x14ac:dyDescent="0.25">
      <c r="AD10204"/>
    </row>
    <row r="10205" spans="30:30" x14ac:dyDescent="0.25">
      <c r="AD10205"/>
    </row>
    <row r="10206" spans="30:30" x14ac:dyDescent="0.25">
      <c r="AD10206"/>
    </row>
    <row r="10207" spans="30:30" x14ac:dyDescent="0.25">
      <c r="AD10207"/>
    </row>
    <row r="10208" spans="30:30" x14ac:dyDescent="0.25">
      <c r="AD10208"/>
    </row>
    <row r="10209" spans="30:30" x14ac:dyDescent="0.25">
      <c r="AD10209"/>
    </row>
    <row r="10210" spans="30:30" x14ac:dyDescent="0.25">
      <c r="AD10210"/>
    </row>
    <row r="10211" spans="30:30" x14ac:dyDescent="0.25">
      <c r="AD10211"/>
    </row>
    <row r="10212" spans="30:30" x14ac:dyDescent="0.25">
      <c r="AD10212"/>
    </row>
    <row r="10213" spans="30:30" x14ac:dyDescent="0.25">
      <c r="AD10213"/>
    </row>
    <row r="10214" spans="30:30" x14ac:dyDescent="0.25">
      <c r="AD10214"/>
    </row>
    <row r="10215" spans="30:30" x14ac:dyDescent="0.25">
      <c r="AD10215"/>
    </row>
    <row r="10216" spans="30:30" x14ac:dyDescent="0.25">
      <c r="AD10216"/>
    </row>
    <row r="10217" spans="30:30" x14ac:dyDescent="0.25">
      <c r="AD10217"/>
    </row>
    <row r="10218" spans="30:30" x14ac:dyDescent="0.25">
      <c r="AD10218"/>
    </row>
    <row r="10219" spans="30:30" x14ac:dyDescent="0.25">
      <c r="AD10219"/>
    </row>
    <row r="10220" spans="30:30" x14ac:dyDescent="0.25">
      <c r="AD10220"/>
    </row>
    <row r="10221" spans="30:30" x14ac:dyDescent="0.25">
      <c r="AD10221"/>
    </row>
    <row r="10222" spans="30:30" x14ac:dyDescent="0.25">
      <c r="AD10222"/>
    </row>
    <row r="10223" spans="30:30" x14ac:dyDescent="0.25">
      <c r="AD10223"/>
    </row>
    <row r="10224" spans="30:30" x14ac:dyDescent="0.25">
      <c r="AD10224"/>
    </row>
    <row r="10225" spans="30:30" x14ac:dyDescent="0.25">
      <c r="AD10225"/>
    </row>
    <row r="10226" spans="30:30" x14ac:dyDescent="0.25">
      <c r="AD10226"/>
    </row>
    <row r="10227" spans="30:30" x14ac:dyDescent="0.25">
      <c r="AD10227"/>
    </row>
    <row r="10228" spans="30:30" x14ac:dyDescent="0.25">
      <c r="AD10228"/>
    </row>
    <row r="10229" spans="30:30" x14ac:dyDescent="0.25">
      <c r="AD10229"/>
    </row>
    <row r="10230" spans="30:30" x14ac:dyDescent="0.25">
      <c r="AD10230"/>
    </row>
    <row r="10231" spans="30:30" x14ac:dyDescent="0.25">
      <c r="AD10231"/>
    </row>
    <row r="10232" spans="30:30" x14ac:dyDescent="0.25">
      <c r="AD10232"/>
    </row>
    <row r="10233" spans="30:30" x14ac:dyDescent="0.25">
      <c r="AD10233"/>
    </row>
    <row r="10234" spans="30:30" x14ac:dyDescent="0.25">
      <c r="AD10234"/>
    </row>
    <row r="10235" spans="30:30" x14ac:dyDescent="0.25">
      <c r="AD10235"/>
    </row>
    <row r="10236" spans="30:30" x14ac:dyDescent="0.25">
      <c r="AD10236"/>
    </row>
    <row r="10237" spans="30:30" x14ac:dyDescent="0.25">
      <c r="AD10237"/>
    </row>
    <row r="10238" spans="30:30" x14ac:dyDescent="0.25">
      <c r="AD10238"/>
    </row>
    <row r="10239" spans="30:30" x14ac:dyDescent="0.25">
      <c r="AD10239"/>
    </row>
    <row r="10240" spans="30:30" x14ac:dyDescent="0.25">
      <c r="AD10240"/>
    </row>
    <row r="10241" spans="30:30" x14ac:dyDescent="0.25">
      <c r="AD10241"/>
    </row>
    <row r="10242" spans="30:30" x14ac:dyDescent="0.25">
      <c r="AD10242"/>
    </row>
    <row r="10243" spans="30:30" x14ac:dyDescent="0.25">
      <c r="AD10243"/>
    </row>
    <row r="10244" spans="30:30" x14ac:dyDescent="0.25">
      <c r="AD10244"/>
    </row>
    <row r="10245" spans="30:30" x14ac:dyDescent="0.25">
      <c r="AD10245"/>
    </row>
    <row r="10246" spans="30:30" x14ac:dyDescent="0.25">
      <c r="AD10246"/>
    </row>
    <row r="10247" spans="30:30" x14ac:dyDescent="0.25">
      <c r="AD10247"/>
    </row>
    <row r="10248" spans="30:30" x14ac:dyDescent="0.25">
      <c r="AD10248"/>
    </row>
    <row r="10249" spans="30:30" x14ac:dyDescent="0.25">
      <c r="AD10249"/>
    </row>
    <row r="10250" spans="30:30" x14ac:dyDescent="0.25">
      <c r="AD10250"/>
    </row>
    <row r="10251" spans="30:30" x14ac:dyDescent="0.25">
      <c r="AD10251"/>
    </row>
    <row r="10252" spans="30:30" x14ac:dyDescent="0.25">
      <c r="AD10252"/>
    </row>
    <row r="10253" spans="30:30" x14ac:dyDescent="0.25">
      <c r="AD10253"/>
    </row>
    <row r="10254" spans="30:30" x14ac:dyDescent="0.25">
      <c r="AD10254"/>
    </row>
    <row r="10255" spans="30:30" x14ac:dyDescent="0.25">
      <c r="AD10255"/>
    </row>
    <row r="10256" spans="30:30" x14ac:dyDescent="0.25">
      <c r="AD10256"/>
    </row>
    <row r="10257" spans="30:30" x14ac:dyDescent="0.25">
      <c r="AD10257"/>
    </row>
    <row r="10258" spans="30:30" x14ac:dyDescent="0.25">
      <c r="AD10258"/>
    </row>
    <row r="10259" spans="30:30" x14ac:dyDescent="0.25">
      <c r="AD10259"/>
    </row>
    <row r="10260" spans="30:30" x14ac:dyDescent="0.25">
      <c r="AD10260"/>
    </row>
    <row r="10261" spans="30:30" x14ac:dyDescent="0.25">
      <c r="AD10261"/>
    </row>
    <row r="10262" spans="30:30" x14ac:dyDescent="0.25">
      <c r="AD10262"/>
    </row>
    <row r="10263" spans="30:30" x14ac:dyDescent="0.25">
      <c r="AD10263"/>
    </row>
    <row r="10264" spans="30:30" x14ac:dyDescent="0.25">
      <c r="AD10264"/>
    </row>
    <row r="10265" spans="30:30" x14ac:dyDescent="0.25">
      <c r="AD10265"/>
    </row>
    <row r="10266" spans="30:30" x14ac:dyDescent="0.25">
      <c r="AD10266"/>
    </row>
    <row r="10267" spans="30:30" x14ac:dyDescent="0.25">
      <c r="AD10267"/>
    </row>
    <row r="10268" spans="30:30" x14ac:dyDescent="0.25">
      <c r="AD10268"/>
    </row>
    <row r="10269" spans="30:30" x14ac:dyDescent="0.25">
      <c r="AD10269"/>
    </row>
    <row r="10270" spans="30:30" x14ac:dyDescent="0.25">
      <c r="AD10270"/>
    </row>
    <row r="10271" spans="30:30" x14ac:dyDescent="0.25">
      <c r="AD10271"/>
    </row>
    <row r="10272" spans="30:30" x14ac:dyDescent="0.25">
      <c r="AD10272"/>
    </row>
    <row r="10273" spans="30:30" x14ac:dyDescent="0.25">
      <c r="AD10273"/>
    </row>
    <row r="10274" spans="30:30" x14ac:dyDescent="0.25">
      <c r="AD10274"/>
    </row>
    <row r="10275" spans="30:30" x14ac:dyDescent="0.25">
      <c r="AD10275"/>
    </row>
    <row r="10276" spans="30:30" x14ac:dyDescent="0.25">
      <c r="AD10276"/>
    </row>
    <row r="10277" spans="30:30" x14ac:dyDescent="0.25">
      <c r="AD10277"/>
    </row>
    <row r="10278" spans="30:30" x14ac:dyDescent="0.25">
      <c r="AD10278"/>
    </row>
    <row r="10279" spans="30:30" x14ac:dyDescent="0.25">
      <c r="AD10279"/>
    </row>
    <row r="10280" spans="30:30" x14ac:dyDescent="0.25">
      <c r="AD10280"/>
    </row>
    <row r="10281" spans="30:30" x14ac:dyDescent="0.25">
      <c r="AD10281"/>
    </row>
    <row r="10282" spans="30:30" x14ac:dyDescent="0.25">
      <c r="AD10282"/>
    </row>
    <row r="10283" spans="30:30" x14ac:dyDescent="0.25">
      <c r="AD10283"/>
    </row>
    <row r="10284" spans="30:30" x14ac:dyDescent="0.25">
      <c r="AD10284"/>
    </row>
    <row r="10285" spans="30:30" x14ac:dyDescent="0.25">
      <c r="AD10285"/>
    </row>
    <row r="10286" spans="30:30" x14ac:dyDescent="0.25">
      <c r="AD10286"/>
    </row>
    <row r="10287" spans="30:30" x14ac:dyDescent="0.25">
      <c r="AD10287"/>
    </row>
    <row r="10288" spans="30:30" x14ac:dyDescent="0.25">
      <c r="AD10288"/>
    </row>
    <row r="10289" spans="30:30" x14ac:dyDescent="0.25">
      <c r="AD10289"/>
    </row>
    <row r="10290" spans="30:30" x14ac:dyDescent="0.25">
      <c r="AD10290"/>
    </row>
    <row r="10291" spans="30:30" x14ac:dyDescent="0.25">
      <c r="AD10291"/>
    </row>
    <row r="10292" spans="30:30" x14ac:dyDescent="0.25">
      <c r="AD10292"/>
    </row>
    <row r="10293" spans="30:30" x14ac:dyDescent="0.25">
      <c r="AD10293"/>
    </row>
    <row r="10294" spans="30:30" x14ac:dyDescent="0.25">
      <c r="AD10294"/>
    </row>
    <row r="10295" spans="30:30" x14ac:dyDescent="0.25">
      <c r="AD10295"/>
    </row>
    <row r="10296" spans="30:30" x14ac:dyDescent="0.25">
      <c r="AD10296"/>
    </row>
    <row r="10297" spans="30:30" x14ac:dyDescent="0.25">
      <c r="AD10297"/>
    </row>
    <row r="10298" spans="30:30" x14ac:dyDescent="0.25">
      <c r="AD10298"/>
    </row>
    <row r="10299" spans="30:30" x14ac:dyDescent="0.25">
      <c r="AD10299"/>
    </row>
    <row r="10300" spans="30:30" x14ac:dyDescent="0.25">
      <c r="AD10300"/>
    </row>
    <row r="10301" spans="30:30" x14ac:dyDescent="0.25">
      <c r="AD10301"/>
    </row>
    <row r="10302" spans="30:30" x14ac:dyDescent="0.25">
      <c r="AD10302"/>
    </row>
    <row r="10303" spans="30:30" x14ac:dyDescent="0.25">
      <c r="AD10303"/>
    </row>
    <row r="10304" spans="30:30" x14ac:dyDescent="0.25">
      <c r="AD10304"/>
    </row>
    <row r="10305" spans="30:30" x14ac:dyDescent="0.25">
      <c r="AD10305"/>
    </row>
    <row r="10306" spans="30:30" x14ac:dyDescent="0.25">
      <c r="AD10306"/>
    </row>
    <row r="10307" spans="30:30" x14ac:dyDescent="0.25">
      <c r="AD10307"/>
    </row>
    <row r="10308" spans="30:30" x14ac:dyDescent="0.25">
      <c r="AD10308"/>
    </row>
    <row r="10309" spans="30:30" x14ac:dyDescent="0.25">
      <c r="AD10309"/>
    </row>
    <row r="10310" spans="30:30" x14ac:dyDescent="0.25">
      <c r="AD10310"/>
    </row>
    <row r="10311" spans="30:30" x14ac:dyDescent="0.25">
      <c r="AD10311"/>
    </row>
    <row r="10312" spans="30:30" x14ac:dyDescent="0.25">
      <c r="AD10312"/>
    </row>
    <row r="10313" spans="30:30" x14ac:dyDescent="0.25">
      <c r="AD10313"/>
    </row>
    <row r="10314" spans="30:30" x14ac:dyDescent="0.25">
      <c r="AD10314"/>
    </row>
    <row r="10315" spans="30:30" x14ac:dyDescent="0.25">
      <c r="AD10315"/>
    </row>
    <row r="10316" spans="30:30" x14ac:dyDescent="0.25">
      <c r="AD10316"/>
    </row>
    <row r="10317" spans="30:30" x14ac:dyDescent="0.25">
      <c r="AD10317"/>
    </row>
    <row r="10318" spans="30:30" x14ac:dyDescent="0.25">
      <c r="AD10318"/>
    </row>
    <row r="10319" spans="30:30" x14ac:dyDescent="0.25">
      <c r="AD10319"/>
    </row>
    <row r="10320" spans="30:30" x14ac:dyDescent="0.25">
      <c r="AD10320"/>
    </row>
    <row r="10321" spans="30:30" x14ac:dyDescent="0.25">
      <c r="AD10321"/>
    </row>
    <row r="10322" spans="30:30" x14ac:dyDescent="0.25">
      <c r="AD10322"/>
    </row>
    <row r="10323" spans="30:30" x14ac:dyDescent="0.25">
      <c r="AD10323"/>
    </row>
    <row r="10324" spans="30:30" x14ac:dyDescent="0.25">
      <c r="AD10324"/>
    </row>
    <row r="10325" spans="30:30" x14ac:dyDescent="0.25">
      <c r="AD10325"/>
    </row>
    <row r="10326" spans="30:30" x14ac:dyDescent="0.25">
      <c r="AD10326"/>
    </row>
    <row r="10327" spans="30:30" x14ac:dyDescent="0.25">
      <c r="AD10327"/>
    </row>
    <row r="10328" spans="30:30" x14ac:dyDescent="0.25">
      <c r="AD10328"/>
    </row>
    <row r="10329" spans="30:30" x14ac:dyDescent="0.25">
      <c r="AD10329"/>
    </row>
    <row r="10330" spans="30:30" x14ac:dyDescent="0.25">
      <c r="AD10330"/>
    </row>
    <row r="10331" spans="30:30" x14ac:dyDescent="0.25">
      <c r="AD10331"/>
    </row>
    <row r="10332" spans="30:30" x14ac:dyDescent="0.25">
      <c r="AD10332"/>
    </row>
    <row r="10333" spans="30:30" x14ac:dyDescent="0.25">
      <c r="AD10333"/>
    </row>
    <row r="10334" spans="30:30" x14ac:dyDescent="0.25">
      <c r="AD10334"/>
    </row>
    <row r="10335" spans="30:30" x14ac:dyDescent="0.25">
      <c r="AD10335"/>
    </row>
    <row r="10336" spans="30:30" x14ac:dyDescent="0.25">
      <c r="AD10336"/>
    </row>
    <row r="10337" spans="30:30" x14ac:dyDescent="0.25">
      <c r="AD10337"/>
    </row>
    <row r="10338" spans="30:30" x14ac:dyDescent="0.25">
      <c r="AD10338"/>
    </row>
    <row r="10339" spans="30:30" x14ac:dyDescent="0.25">
      <c r="AD10339"/>
    </row>
    <row r="10340" spans="30:30" x14ac:dyDescent="0.25">
      <c r="AD10340"/>
    </row>
    <row r="10341" spans="30:30" x14ac:dyDescent="0.25">
      <c r="AD10341"/>
    </row>
    <row r="10342" spans="30:30" x14ac:dyDescent="0.25">
      <c r="AD10342"/>
    </row>
    <row r="10343" spans="30:30" x14ac:dyDescent="0.25">
      <c r="AD10343"/>
    </row>
    <row r="10344" spans="30:30" x14ac:dyDescent="0.25">
      <c r="AD10344"/>
    </row>
    <row r="10345" spans="30:30" x14ac:dyDescent="0.25">
      <c r="AD10345"/>
    </row>
    <row r="10346" spans="30:30" x14ac:dyDescent="0.25">
      <c r="AD10346"/>
    </row>
    <row r="10347" spans="30:30" x14ac:dyDescent="0.25">
      <c r="AD10347"/>
    </row>
    <row r="10348" spans="30:30" x14ac:dyDescent="0.25">
      <c r="AD10348"/>
    </row>
    <row r="10349" spans="30:30" x14ac:dyDescent="0.25">
      <c r="AD10349"/>
    </row>
    <row r="10350" spans="30:30" x14ac:dyDescent="0.25">
      <c r="AD10350"/>
    </row>
    <row r="10351" spans="30:30" x14ac:dyDescent="0.25">
      <c r="AD10351"/>
    </row>
    <row r="10352" spans="30:30" x14ac:dyDescent="0.25">
      <c r="AD10352"/>
    </row>
    <row r="10353" spans="30:30" x14ac:dyDescent="0.25">
      <c r="AD10353"/>
    </row>
    <row r="10354" spans="30:30" x14ac:dyDescent="0.25">
      <c r="AD10354"/>
    </row>
    <row r="10355" spans="30:30" x14ac:dyDescent="0.25">
      <c r="AD10355"/>
    </row>
    <row r="10356" spans="30:30" x14ac:dyDescent="0.25">
      <c r="AD10356"/>
    </row>
    <row r="10357" spans="30:30" x14ac:dyDescent="0.25">
      <c r="AD10357"/>
    </row>
    <row r="10358" spans="30:30" x14ac:dyDescent="0.25">
      <c r="AD10358"/>
    </row>
    <row r="10359" spans="30:30" x14ac:dyDescent="0.25">
      <c r="AD10359"/>
    </row>
    <row r="10360" spans="30:30" x14ac:dyDescent="0.25">
      <c r="AD10360"/>
    </row>
    <row r="10361" spans="30:30" x14ac:dyDescent="0.25">
      <c r="AD10361"/>
    </row>
    <row r="10362" spans="30:30" x14ac:dyDescent="0.25">
      <c r="AD10362"/>
    </row>
    <row r="10363" spans="30:30" x14ac:dyDescent="0.25">
      <c r="AD10363"/>
    </row>
    <row r="10364" spans="30:30" x14ac:dyDescent="0.25">
      <c r="AD10364"/>
    </row>
    <row r="10365" spans="30:30" x14ac:dyDescent="0.25">
      <c r="AD10365"/>
    </row>
    <row r="10366" spans="30:30" x14ac:dyDescent="0.25">
      <c r="AD10366"/>
    </row>
    <row r="10367" spans="30:30" x14ac:dyDescent="0.25">
      <c r="AD10367"/>
    </row>
    <row r="10368" spans="30:30" x14ac:dyDescent="0.25">
      <c r="AD10368"/>
    </row>
    <row r="10369" spans="30:30" x14ac:dyDescent="0.25">
      <c r="AD10369"/>
    </row>
    <row r="10370" spans="30:30" x14ac:dyDescent="0.25">
      <c r="AD10370"/>
    </row>
    <row r="10371" spans="30:30" x14ac:dyDescent="0.25">
      <c r="AD10371"/>
    </row>
    <row r="10372" spans="30:30" x14ac:dyDescent="0.25">
      <c r="AD10372"/>
    </row>
    <row r="10373" spans="30:30" x14ac:dyDescent="0.25">
      <c r="AD10373"/>
    </row>
    <row r="10374" spans="30:30" x14ac:dyDescent="0.25">
      <c r="AD10374"/>
    </row>
    <row r="10375" spans="30:30" x14ac:dyDescent="0.25">
      <c r="AD10375"/>
    </row>
    <row r="10376" spans="30:30" x14ac:dyDescent="0.25">
      <c r="AD10376"/>
    </row>
    <row r="10377" spans="30:30" x14ac:dyDescent="0.25">
      <c r="AD10377"/>
    </row>
    <row r="10378" spans="30:30" x14ac:dyDescent="0.25">
      <c r="AD10378"/>
    </row>
    <row r="10379" spans="30:30" x14ac:dyDescent="0.25">
      <c r="AD10379"/>
    </row>
    <row r="10380" spans="30:30" x14ac:dyDescent="0.25">
      <c r="AD10380"/>
    </row>
    <row r="10381" spans="30:30" x14ac:dyDescent="0.25">
      <c r="AD10381"/>
    </row>
    <row r="10382" spans="30:30" x14ac:dyDescent="0.25">
      <c r="AD10382"/>
    </row>
    <row r="10383" spans="30:30" x14ac:dyDescent="0.25">
      <c r="AD10383"/>
    </row>
    <row r="10384" spans="30:30" x14ac:dyDescent="0.25">
      <c r="AD10384"/>
    </row>
    <row r="10385" spans="30:30" x14ac:dyDescent="0.25">
      <c r="AD10385"/>
    </row>
    <row r="10386" spans="30:30" x14ac:dyDescent="0.25">
      <c r="AD10386"/>
    </row>
    <row r="10387" spans="30:30" x14ac:dyDescent="0.25">
      <c r="AD10387"/>
    </row>
    <row r="10388" spans="30:30" x14ac:dyDescent="0.25">
      <c r="AD10388"/>
    </row>
    <row r="10389" spans="30:30" x14ac:dyDescent="0.25">
      <c r="AD10389"/>
    </row>
    <row r="10390" spans="30:30" x14ac:dyDescent="0.25">
      <c r="AD10390"/>
    </row>
    <row r="10391" spans="30:30" x14ac:dyDescent="0.25">
      <c r="AD10391"/>
    </row>
    <row r="10392" spans="30:30" x14ac:dyDescent="0.25">
      <c r="AD10392"/>
    </row>
    <row r="10393" spans="30:30" x14ac:dyDescent="0.25">
      <c r="AD10393"/>
    </row>
    <row r="10394" spans="30:30" x14ac:dyDescent="0.25">
      <c r="AD10394"/>
    </row>
    <row r="10395" spans="30:30" x14ac:dyDescent="0.25">
      <c r="AD10395"/>
    </row>
    <row r="10396" spans="30:30" x14ac:dyDescent="0.25">
      <c r="AD10396"/>
    </row>
    <row r="10397" spans="30:30" x14ac:dyDescent="0.25">
      <c r="AD10397"/>
    </row>
    <row r="10398" spans="30:30" x14ac:dyDescent="0.25">
      <c r="AD10398"/>
    </row>
    <row r="10399" spans="30:30" x14ac:dyDescent="0.25">
      <c r="AD10399"/>
    </row>
    <row r="10400" spans="30:30" x14ac:dyDescent="0.25">
      <c r="AD10400"/>
    </row>
    <row r="10401" spans="30:30" x14ac:dyDescent="0.25">
      <c r="AD10401"/>
    </row>
    <row r="10402" spans="30:30" x14ac:dyDescent="0.25">
      <c r="AD10402"/>
    </row>
    <row r="10403" spans="30:30" x14ac:dyDescent="0.25">
      <c r="AD10403"/>
    </row>
    <row r="10404" spans="30:30" x14ac:dyDescent="0.25">
      <c r="AD10404"/>
    </row>
    <row r="10405" spans="30:30" x14ac:dyDescent="0.25">
      <c r="AD10405"/>
    </row>
    <row r="10406" spans="30:30" x14ac:dyDescent="0.25">
      <c r="AD10406"/>
    </row>
    <row r="10407" spans="30:30" x14ac:dyDescent="0.25">
      <c r="AD10407"/>
    </row>
    <row r="10408" spans="30:30" x14ac:dyDescent="0.25">
      <c r="AD10408"/>
    </row>
    <row r="10409" spans="30:30" x14ac:dyDescent="0.25">
      <c r="AD10409"/>
    </row>
    <row r="10410" spans="30:30" x14ac:dyDescent="0.25">
      <c r="AD10410"/>
    </row>
    <row r="10411" spans="30:30" x14ac:dyDescent="0.25">
      <c r="AD10411"/>
    </row>
    <row r="10412" spans="30:30" x14ac:dyDescent="0.25">
      <c r="AD10412"/>
    </row>
    <row r="10413" spans="30:30" x14ac:dyDescent="0.25">
      <c r="AD10413"/>
    </row>
    <row r="10414" spans="30:30" x14ac:dyDescent="0.25">
      <c r="AD10414"/>
    </row>
    <row r="10415" spans="30:30" x14ac:dyDescent="0.25">
      <c r="AD10415"/>
    </row>
    <row r="10416" spans="30:30" x14ac:dyDescent="0.25">
      <c r="AD10416"/>
    </row>
    <row r="10417" spans="30:30" x14ac:dyDescent="0.25">
      <c r="AD10417"/>
    </row>
    <row r="10418" spans="30:30" x14ac:dyDescent="0.25">
      <c r="AD10418"/>
    </row>
    <row r="10419" spans="30:30" x14ac:dyDescent="0.25">
      <c r="AD10419"/>
    </row>
    <row r="10420" spans="30:30" x14ac:dyDescent="0.25">
      <c r="AD10420"/>
    </row>
    <row r="10421" spans="30:30" x14ac:dyDescent="0.25">
      <c r="AD10421"/>
    </row>
    <row r="10422" spans="30:30" x14ac:dyDescent="0.25">
      <c r="AD10422"/>
    </row>
    <row r="10423" spans="30:30" x14ac:dyDescent="0.25">
      <c r="AD10423"/>
    </row>
    <row r="10424" spans="30:30" x14ac:dyDescent="0.25">
      <c r="AD10424"/>
    </row>
    <row r="10425" spans="30:30" x14ac:dyDescent="0.25">
      <c r="AD10425"/>
    </row>
    <row r="10426" spans="30:30" x14ac:dyDescent="0.25">
      <c r="AD10426"/>
    </row>
    <row r="10427" spans="30:30" x14ac:dyDescent="0.25">
      <c r="AD10427"/>
    </row>
    <row r="10428" spans="30:30" x14ac:dyDescent="0.25">
      <c r="AD10428"/>
    </row>
    <row r="10429" spans="30:30" x14ac:dyDescent="0.25">
      <c r="AD10429"/>
    </row>
    <row r="10430" spans="30:30" x14ac:dyDescent="0.25">
      <c r="AD10430"/>
    </row>
    <row r="10431" spans="30:30" x14ac:dyDescent="0.25">
      <c r="AD10431"/>
    </row>
    <row r="10432" spans="30:30" x14ac:dyDescent="0.25">
      <c r="AD10432"/>
    </row>
    <row r="10433" spans="30:30" x14ac:dyDescent="0.25">
      <c r="AD10433"/>
    </row>
    <row r="10434" spans="30:30" x14ac:dyDescent="0.25">
      <c r="AD10434"/>
    </row>
    <row r="10435" spans="30:30" x14ac:dyDescent="0.25">
      <c r="AD10435"/>
    </row>
    <row r="10436" spans="30:30" x14ac:dyDescent="0.25">
      <c r="AD10436"/>
    </row>
    <row r="10437" spans="30:30" x14ac:dyDescent="0.25">
      <c r="AD10437"/>
    </row>
    <row r="10438" spans="30:30" x14ac:dyDescent="0.25">
      <c r="AD10438"/>
    </row>
    <row r="10439" spans="30:30" x14ac:dyDescent="0.25">
      <c r="AD10439"/>
    </row>
    <row r="10440" spans="30:30" x14ac:dyDescent="0.25">
      <c r="AD10440"/>
    </row>
    <row r="10441" spans="30:30" x14ac:dyDescent="0.25">
      <c r="AD10441"/>
    </row>
    <row r="10442" spans="30:30" x14ac:dyDescent="0.25">
      <c r="AD10442"/>
    </row>
    <row r="10443" spans="30:30" x14ac:dyDescent="0.25">
      <c r="AD10443"/>
    </row>
    <row r="10444" spans="30:30" x14ac:dyDescent="0.25">
      <c r="AD10444"/>
    </row>
    <row r="10445" spans="30:30" x14ac:dyDescent="0.25">
      <c r="AD10445"/>
    </row>
    <row r="10446" spans="30:30" x14ac:dyDescent="0.25">
      <c r="AD10446"/>
    </row>
    <row r="10447" spans="30:30" x14ac:dyDescent="0.25">
      <c r="AD10447"/>
    </row>
    <row r="10448" spans="30:30" x14ac:dyDescent="0.25">
      <c r="AD10448"/>
    </row>
    <row r="10449" spans="30:30" x14ac:dyDescent="0.25">
      <c r="AD10449"/>
    </row>
    <row r="10450" spans="30:30" x14ac:dyDescent="0.25">
      <c r="AD10450"/>
    </row>
    <row r="10451" spans="30:30" x14ac:dyDescent="0.25">
      <c r="AD10451"/>
    </row>
    <row r="10452" spans="30:30" x14ac:dyDescent="0.25">
      <c r="AD10452"/>
    </row>
    <row r="10453" spans="30:30" x14ac:dyDescent="0.25">
      <c r="AD10453"/>
    </row>
    <row r="10454" spans="30:30" x14ac:dyDescent="0.25">
      <c r="AD10454"/>
    </row>
    <row r="10455" spans="30:30" x14ac:dyDescent="0.25">
      <c r="AD10455"/>
    </row>
    <row r="10456" spans="30:30" x14ac:dyDescent="0.25">
      <c r="AD10456"/>
    </row>
    <row r="10457" spans="30:30" x14ac:dyDescent="0.25">
      <c r="AD10457"/>
    </row>
    <row r="10458" spans="30:30" x14ac:dyDescent="0.25">
      <c r="AD10458"/>
    </row>
    <row r="10459" spans="30:30" x14ac:dyDescent="0.25">
      <c r="AD10459"/>
    </row>
    <row r="10460" spans="30:30" x14ac:dyDescent="0.25">
      <c r="AD10460"/>
    </row>
    <row r="10461" spans="30:30" x14ac:dyDescent="0.25">
      <c r="AD10461"/>
    </row>
    <row r="10462" spans="30:30" x14ac:dyDescent="0.25">
      <c r="AD10462"/>
    </row>
    <row r="10463" spans="30:30" x14ac:dyDescent="0.25">
      <c r="AD10463"/>
    </row>
    <row r="10464" spans="30:30" x14ac:dyDescent="0.25">
      <c r="AD10464"/>
    </row>
    <row r="10465" spans="30:30" x14ac:dyDescent="0.25">
      <c r="AD10465"/>
    </row>
    <row r="10466" spans="30:30" x14ac:dyDescent="0.25">
      <c r="AD10466"/>
    </row>
    <row r="10467" spans="30:30" x14ac:dyDescent="0.25">
      <c r="AD10467"/>
    </row>
    <row r="10468" spans="30:30" x14ac:dyDescent="0.25">
      <c r="AD10468"/>
    </row>
    <row r="10469" spans="30:30" x14ac:dyDescent="0.25">
      <c r="AD10469"/>
    </row>
    <row r="10470" spans="30:30" x14ac:dyDescent="0.25">
      <c r="AD10470"/>
    </row>
    <row r="10471" spans="30:30" x14ac:dyDescent="0.25">
      <c r="AD10471"/>
    </row>
    <row r="10472" spans="30:30" x14ac:dyDescent="0.25">
      <c r="AD10472"/>
    </row>
    <row r="10473" spans="30:30" x14ac:dyDescent="0.25">
      <c r="AD10473"/>
    </row>
    <row r="10474" spans="30:30" x14ac:dyDescent="0.25">
      <c r="AD10474"/>
    </row>
    <row r="10475" spans="30:30" x14ac:dyDescent="0.25">
      <c r="AD10475"/>
    </row>
    <row r="10476" spans="30:30" x14ac:dyDescent="0.25">
      <c r="AD10476"/>
    </row>
    <row r="10477" spans="30:30" x14ac:dyDescent="0.25">
      <c r="AD10477"/>
    </row>
    <row r="10478" spans="30:30" x14ac:dyDescent="0.25">
      <c r="AD10478"/>
    </row>
    <row r="10479" spans="30:30" x14ac:dyDescent="0.25">
      <c r="AD10479"/>
    </row>
    <row r="10480" spans="30:30" x14ac:dyDescent="0.25">
      <c r="AD10480"/>
    </row>
    <row r="10481" spans="30:30" x14ac:dyDescent="0.25">
      <c r="AD10481"/>
    </row>
    <row r="10482" spans="30:30" x14ac:dyDescent="0.25">
      <c r="AD10482"/>
    </row>
    <row r="10483" spans="30:30" x14ac:dyDescent="0.25">
      <c r="AD10483"/>
    </row>
    <row r="10484" spans="30:30" x14ac:dyDescent="0.25">
      <c r="AD10484"/>
    </row>
    <row r="10485" spans="30:30" x14ac:dyDescent="0.25">
      <c r="AD10485"/>
    </row>
    <row r="10486" spans="30:30" x14ac:dyDescent="0.25">
      <c r="AD10486"/>
    </row>
    <row r="10487" spans="30:30" x14ac:dyDescent="0.25">
      <c r="AD10487"/>
    </row>
    <row r="10488" spans="30:30" x14ac:dyDescent="0.25">
      <c r="AD10488"/>
    </row>
    <row r="10489" spans="30:30" x14ac:dyDescent="0.25">
      <c r="AD10489"/>
    </row>
    <row r="10490" spans="30:30" x14ac:dyDescent="0.25">
      <c r="AD10490"/>
    </row>
    <row r="10491" spans="30:30" x14ac:dyDescent="0.25">
      <c r="AD10491"/>
    </row>
    <row r="10492" spans="30:30" x14ac:dyDescent="0.25">
      <c r="AD10492"/>
    </row>
    <row r="10493" spans="30:30" x14ac:dyDescent="0.25">
      <c r="AD10493"/>
    </row>
    <row r="10494" spans="30:30" x14ac:dyDescent="0.25">
      <c r="AD10494"/>
    </row>
    <row r="10495" spans="30:30" x14ac:dyDescent="0.25">
      <c r="AD10495"/>
    </row>
    <row r="10496" spans="30:30" x14ac:dyDescent="0.25">
      <c r="AD10496"/>
    </row>
    <row r="10497" spans="30:30" x14ac:dyDescent="0.25">
      <c r="AD10497"/>
    </row>
    <row r="10498" spans="30:30" x14ac:dyDescent="0.25">
      <c r="AD10498"/>
    </row>
    <row r="10499" spans="30:30" x14ac:dyDescent="0.25">
      <c r="AD10499"/>
    </row>
    <row r="10500" spans="30:30" x14ac:dyDescent="0.25">
      <c r="AD10500"/>
    </row>
    <row r="10501" spans="30:30" x14ac:dyDescent="0.25">
      <c r="AD10501"/>
    </row>
    <row r="10502" spans="30:30" x14ac:dyDescent="0.25">
      <c r="AD10502"/>
    </row>
    <row r="10503" spans="30:30" x14ac:dyDescent="0.25">
      <c r="AD10503"/>
    </row>
    <row r="10504" spans="30:30" x14ac:dyDescent="0.25">
      <c r="AD10504"/>
    </row>
    <row r="10505" spans="30:30" x14ac:dyDescent="0.25">
      <c r="AD10505"/>
    </row>
    <row r="10506" spans="30:30" x14ac:dyDescent="0.25">
      <c r="AD10506"/>
    </row>
    <row r="10507" spans="30:30" x14ac:dyDescent="0.25">
      <c r="AD10507"/>
    </row>
    <row r="10508" spans="30:30" x14ac:dyDescent="0.25">
      <c r="AD10508"/>
    </row>
    <row r="10509" spans="30:30" x14ac:dyDescent="0.25">
      <c r="AD10509"/>
    </row>
    <row r="10510" spans="30:30" x14ac:dyDescent="0.25">
      <c r="AD10510"/>
    </row>
    <row r="10511" spans="30:30" x14ac:dyDescent="0.25">
      <c r="AD10511"/>
    </row>
    <row r="10512" spans="30:30" x14ac:dyDescent="0.25">
      <c r="AD10512"/>
    </row>
    <row r="10513" spans="30:30" x14ac:dyDescent="0.25">
      <c r="AD10513"/>
    </row>
    <row r="10514" spans="30:30" x14ac:dyDescent="0.25">
      <c r="AD10514"/>
    </row>
    <row r="10515" spans="30:30" x14ac:dyDescent="0.25">
      <c r="AD10515"/>
    </row>
    <row r="10516" spans="30:30" x14ac:dyDescent="0.25">
      <c r="AD10516"/>
    </row>
    <row r="10517" spans="30:30" x14ac:dyDescent="0.25">
      <c r="AD10517"/>
    </row>
    <row r="10518" spans="30:30" x14ac:dyDescent="0.25">
      <c r="AD10518"/>
    </row>
    <row r="10519" spans="30:30" x14ac:dyDescent="0.25">
      <c r="AD10519"/>
    </row>
    <row r="10520" spans="30:30" x14ac:dyDescent="0.25">
      <c r="AD10520"/>
    </row>
    <row r="10521" spans="30:30" x14ac:dyDescent="0.25">
      <c r="AD10521"/>
    </row>
    <row r="10522" spans="30:30" x14ac:dyDescent="0.25">
      <c r="AD10522"/>
    </row>
    <row r="10523" spans="30:30" x14ac:dyDescent="0.25">
      <c r="AD10523"/>
    </row>
    <row r="10524" spans="30:30" x14ac:dyDescent="0.25">
      <c r="AD10524"/>
    </row>
    <row r="10525" spans="30:30" x14ac:dyDescent="0.25">
      <c r="AD10525"/>
    </row>
    <row r="10526" spans="30:30" x14ac:dyDescent="0.25">
      <c r="AD10526"/>
    </row>
    <row r="10527" spans="30:30" x14ac:dyDescent="0.25">
      <c r="AD10527"/>
    </row>
    <row r="10528" spans="30:30" x14ac:dyDescent="0.25">
      <c r="AD10528"/>
    </row>
    <row r="10529" spans="30:30" x14ac:dyDescent="0.25">
      <c r="AD10529"/>
    </row>
    <row r="10530" spans="30:30" x14ac:dyDescent="0.25">
      <c r="AD10530"/>
    </row>
    <row r="10531" spans="30:30" x14ac:dyDescent="0.25">
      <c r="AD10531"/>
    </row>
    <row r="10532" spans="30:30" x14ac:dyDescent="0.25">
      <c r="AD10532"/>
    </row>
    <row r="10533" spans="30:30" x14ac:dyDescent="0.25">
      <c r="AD10533"/>
    </row>
    <row r="10534" spans="30:30" x14ac:dyDescent="0.25">
      <c r="AD10534"/>
    </row>
    <row r="10535" spans="30:30" x14ac:dyDescent="0.25">
      <c r="AD10535"/>
    </row>
    <row r="10536" spans="30:30" x14ac:dyDescent="0.25">
      <c r="AD10536"/>
    </row>
    <row r="10537" spans="30:30" x14ac:dyDescent="0.25">
      <c r="AD10537"/>
    </row>
    <row r="10538" spans="30:30" x14ac:dyDescent="0.25">
      <c r="AD10538"/>
    </row>
    <row r="10539" spans="30:30" x14ac:dyDescent="0.25">
      <c r="AD10539"/>
    </row>
    <row r="10540" spans="30:30" x14ac:dyDescent="0.25">
      <c r="AD10540"/>
    </row>
    <row r="10541" spans="30:30" x14ac:dyDescent="0.25">
      <c r="AD10541"/>
    </row>
    <row r="10542" spans="30:30" x14ac:dyDescent="0.25">
      <c r="AD10542"/>
    </row>
    <row r="10543" spans="30:30" x14ac:dyDescent="0.25">
      <c r="AD10543"/>
    </row>
    <row r="10544" spans="30:30" x14ac:dyDescent="0.25">
      <c r="AD10544"/>
    </row>
    <row r="10545" spans="30:30" x14ac:dyDescent="0.25">
      <c r="AD10545"/>
    </row>
    <row r="10546" spans="30:30" x14ac:dyDescent="0.25">
      <c r="AD10546"/>
    </row>
    <row r="10547" spans="30:30" x14ac:dyDescent="0.25">
      <c r="AD10547"/>
    </row>
    <row r="10548" spans="30:30" x14ac:dyDescent="0.25">
      <c r="AD10548"/>
    </row>
    <row r="10549" spans="30:30" x14ac:dyDescent="0.25">
      <c r="AD10549"/>
    </row>
    <row r="10550" spans="30:30" x14ac:dyDescent="0.25">
      <c r="AD10550"/>
    </row>
    <row r="10551" spans="30:30" x14ac:dyDescent="0.25">
      <c r="AD10551"/>
    </row>
    <row r="10552" spans="30:30" x14ac:dyDescent="0.25">
      <c r="AD10552"/>
    </row>
    <row r="10553" spans="30:30" x14ac:dyDescent="0.25">
      <c r="AD10553"/>
    </row>
    <row r="10554" spans="30:30" x14ac:dyDescent="0.25">
      <c r="AD10554"/>
    </row>
    <row r="10555" spans="30:30" x14ac:dyDescent="0.25">
      <c r="AD10555"/>
    </row>
    <row r="10556" spans="30:30" x14ac:dyDescent="0.25">
      <c r="AD10556"/>
    </row>
    <row r="10557" spans="30:30" x14ac:dyDescent="0.25">
      <c r="AD10557"/>
    </row>
    <row r="10558" spans="30:30" x14ac:dyDescent="0.25">
      <c r="AD10558"/>
    </row>
    <row r="10559" spans="30:30" x14ac:dyDescent="0.25">
      <c r="AD10559"/>
    </row>
    <row r="10560" spans="30:30" x14ac:dyDescent="0.25">
      <c r="AD10560"/>
    </row>
    <row r="10561" spans="30:30" x14ac:dyDescent="0.25">
      <c r="AD10561"/>
    </row>
    <row r="10562" spans="30:30" x14ac:dyDescent="0.25">
      <c r="AD10562"/>
    </row>
    <row r="10563" spans="30:30" x14ac:dyDescent="0.25">
      <c r="AD10563"/>
    </row>
    <row r="10564" spans="30:30" x14ac:dyDescent="0.25">
      <c r="AD10564"/>
    </row>
    <row r="10565" spans="30:30" x14ac:dyDescent="0.25">
      <c r="AD10565"/>
    </row>
    <row r="10566" spans="30:30" x14ac:dyDescent="0.25">
      <c r="AD10566"/>
    </row>
    <row r="10567" spans="30:30" x14ac:dyDescent="0.25">
      <c r="AD10567"/>
    </row>
    <row r="10568" spans="30:30" x14ac:dyDescent="0.25">
      <c r="AD10568"/>
    </row>
    <row r="10569" spans="30:30" x14ac:dyDescent="0.25">
      <c r="AD10569"/>
    </row>
    <row r="10570" spans="30:30" x14ac:dyDescent="0.25">
      <c r="AD10570"/>
    </row>
    <row r="10571" spans="30:30" x14ac:dyDescent="0.25">
      <c r="AD10571"/>
    </row>
    <row r="10572" spans="30:30" x14ac:dyDescent="0.25">
      <c r="AD10572"/>
    </row>
    <row r="10573" spans="30:30" x14ac:dyDescent="0.25">
      <c r="AD10573"/>
    </row>
    <row r="10574" spans="30:30" x14ac:dyDescent="0.25">
      <c r="AD10574"/>
    </row>
    <row r="10575" spans="30:30" x14ac:dyDescent="0.25">
      <c r="AD10575"/>
    </row>
    <row r="10576" spans="30:30" x14ac:dyDescent="0.25">
      <c r="AD10576"/>
    </row>
    <row r="10577" spans="30:30" x14ac:dyDescent="0.25">
      <c r="AD10577"/>
    </row>
    <row r="10578" spans="30:30" x14ac:dyDescent="0.25">
      <c r="AD10578"/>
    </row>
    <row r="10579" spans="30:30" x14ac:dyDescent="0.25">
      <c r="AD10579"/>
    </row>
    <row r="10580" spans="30:30" x14ac:dyDescent="0.25">
      <c r="AD10580"/>
    </row>
    <row r="10581" spans="30:30" x14ac:dyDescent="0.25">
      <c r="AD10581"/>
    </row>
    <row r="10582" spans="30:30" x14ac:dyDescent="0.25">
      <c r="AD10582"/>
    </row>
    <row r="10583" spans="30:30" x14ac:dyDescent="0.25">
      <c r="AD10583"/>
    </row>
    <row r="10584" spans="30:30" x14ac:dyDescent="0.25">
      <c r="AD10584"/>
    </row>
    <row r="10585" spans="30:30" x14ac:dyDescent="0.25">
      <c r="AD10585"/>
    </row>
    <row r="10586" spans="30:30" x14ac:dyDescent="0.25">
      <c r="AD10586"/>
    </row>
    <row r="10587" spans="30:30" x14ac:dyDescent="0.25">
      <c r="AD10587"/>
    </row>
    <row r="10588" spans="30:30" x14ac:dyDescent="0.25">
      <c r="AD10588"/>
    </row>
    <row r="10589" spans="30:30" x14ac:dyDescent="0.25">
      <c r="AD10589"/>
    </row>
    <row r="10590" spans="30:30" x14ac:dyDescent="0.25">
      <c r="AD10590"/>
    </row>
    <row r="10591" spans="30:30" x14ac:dyDescent="0.25">
      <c r="AD10591"/>
    </row>
    <row r="10592" spans="30:30" x14ac:dyDescent="0.25">
      <c r="AD10592"/>
    </row>
    <row r="10593" spans="30:30" x14ac:dyDescent="0.25">
      <c r="AD10593"/>
    </row>
    <row r="10594" spans="30:30" x14ac:dyDescent="0.25">
      <c r="AD10594"/>
    </row>
    <row r="10595" spans="30:30" x14ac:dyDescent="0.25">
      <c r="AD10595"/>
    </row>
    <row r="10596" spans="30:30" x14ac:dyDescent="0.25">
      <c r="AD10596"/>
    </row>
    <row r="10597" spans="30:30" x14ac:dyDescent="0.25">
      <c r="AD10597"/>
    </row>
    <row r="10598" spans="30:30" x14ac:dyDescent="0.25">
      <c r="AD10598"/>
    </row>
    <row r="10599" spans="30:30" x14ac:dyDescent="0.25">
      <c r="AD10599"/>
    </row>
    <row r="10600" spans="30:30" x14ac:dyDescent="0.25">
      <c r="AD10600"/>
    </row>
    <row r="10601" spans="30:30" x14ac:dyDescent="0.25">
      <c r="AD10601"/>
    </row>
    <row r="10602" spans="30:30" x14ac:dyDescent="0.25">
      <c r="AD10602"/>
    </row>
    <row r="10603" spans="30:30" x14ac:dyDescent="0.25">
      <c r="AD10603"/>
    </row>
    <row r="10604" spans="30:30" x14ac:dyDescent="0.25">
      <c r="AD10604"/>
    </row>
    <row r="10605" spans="30:30" x14ac:dyDescent="0.25">
      <c r="AD10605"/>
    </row>
    <row r="10606" spans="30:30" x14ac:dyDescent="0.25">
      <c r="AD10606"/>
    </row>
    <row r="10607" spans="30:30" x14ac:dyDescent="0.25">
      <c r="AD10607"/>
    </row>
    <row r="10608" spans="30:30" x14ac:dyDescent="0.25">
      <c r="AD10608"/>
    </row>
    <row r="10609" spans="30:30" x14ac:dyDescent="0.25">
      <c r="AD10609"/>
    </row>
    <row r="10610" spans="30:30" x14ac:dyDescent="0.25">
      <c r="AD10610"/>
    </row>
    <row r="10611" spans="30:30" x14ac:dyDescent="0.25">
      <c r="AD10611"/>
    </row>
    <row r="10612" spans="30:30" x14ac:dyDescent="0.25">
      <c r="AD10612"/>
    </row>
    <row r="10613" spans="30:30" x14ac:dyDescent="0.25">
      <c r="AD10613"/>
    </row>
    <row r="10614" spans="30:30" x14ac:dyDescent="0.25">
      <c r="AD10614"/>
    </row>
    <row r="10615" spans="30:30" x14ac:dyDescent="0.25">
      <c r="AD10615"/>
    </row>
    <row r="10616" spans="30:30" x14ac:dyDescent="0.25">
      <c r="AD10616"/>
    </row>
    <row r="10617" spans="30:30" x14ac:dyDescent="0.25">
      <c r="AD10617"/>
    </row>
    <row r="10618" spans="30:30" x14ac:dyDescent="0.25">
      <c r="AD10618"/>
    </row>
    <row r="10619" spans="30:30" x14ac:dyDescent="0.25">
      <c r="AD10619"/>
    </row>
    <row r="10620" spans="30:30" x14ac:dyDescent="0.25">
      <c r="AD10620"/>
    </row>
    <row r="10621" spans="30:30" x14ac:dyDescent="0.25">
      <c r="AD10621"/>
    </row>
    <row r="10622" spans="30:30" x14ac:dyDescent="0.25">
      <c r="AD10622"/>
    </row>
    <row r="10623" spans="30:30" x14ac:dyDescent="0.25">
      <c r="AD10623"/>
    </row>
    <row r="10624" spans="30:30" x14ac:dyDescent="0.25">
      <c r="AD10624"/>
    </row>
    <row r="10625" spans="30:30" x14ac:dyDescent="0.25">
      <c r="AD10625"/>
    </row>
    <row r="10626" spans="30:30" x14ac:dyDescent="0.25">
      <c r="AD10626"/>
    </row>
    <row r="10627" spans="30:30" x14ac:dyDescent="0.25">
      <c r="AD10627"/>
    </row>
    <row r="10628" spans="30:30" x14ac:dyDescent="0.25">
      <c r="AD10628"/>
    </row>
    <row r="10629" spans="30:30" x14ac:dyDescent="0.25">
      <c r="AD10629"/>
    </row>
    <row r="10630" spans="30:30" x14ac:dyDescent="0.25">
      <c r="AD10630"/>
    </row>
    <row r="10631" spans="30:30" x14ac:dyDescent="0.25">
      <c r="AD10631"/>
    </row>
    <row r="10632" spans="30:30" x14ac:dyDescent="0.25">
      <c r="AD10632"/>
    </row>
    <row r="10633" spans="30:30" x14ac:dyDescent="0.25">
      <c r="AD10633"/>
    </row>
    <row r="10634" spans="30:30" x14ac:dyDescent="0.25">
      <c r="AD10634"/>
    </row>
    <row r="10635" spans="30:30" x14ac:dyDescent="0.25">
      <c r="AD10635"/>
    </row>
    <row r="10636" spans="30:30" x14ac:dyDescent="0.25">
      <c r="AD10636"/>
    </row>
    <row r="10637" spans="30:30" x14ac:dyDescent="0.25">
      <c r="AD10637"/>
    </row>
    <row r="10638" spans="30:30" x14ac:dyDescent="0.25">
      <c r="AD10638"/>
    </row>
    <row r="10639" spans="30:30" x14ac:dyDescent="0.25">
      <c r="AD10639"/>
    </row>
    <row r="10640" spans="30:30" x14ac:dyDescent="0.25">
      <c r="AD10640"/>
    </row>
    <row r="10641" spans="30:30" x14ac:dyDescent="0.25">
      <c r="AD10641"/>
    </row>
    <row r="10642" spans="30:30" x14ac:dyDescent="0.25">
      <c r="AD10642"/>
    </row>
    <row r="10643" spans="30:30" x14ac:dyDescent="0.25">
      <c r="AD10643"/>
    </row>
    <row r="10644" spans="30:30" x14ac:dyDescent="0.25">
      <c r="AD10644"/>
    </row>
    <row r="10645" spans="30:30" x14ac:dyDescent="0.25">
      <c r="AD10645"/>
    </row>
    <row r="10646" spans="30:30" x14ac:dyDescent="0.25">
      <c r="AD10646"/>
    </row>
    <row r="10647" spans="30:30" x14ac:dyDescent="0.25">
      <c r="AD10647"/>
    </row>
    <row r="10648" spans="30:30" x14ac:dyDescent="0.25">
      <c r="AD10648"/>
    </row>
    <row r="10649" spans="30:30" x14ac:dyDescent="0.25">
      <c r="AD10649"/>
    </row>
    <row r="10650" spans="30:30" x14ac:dyDescent="0.25">
      <c r="AD10650"/>
    </row>
    <row r="10651" spans="30:30" x14ac:dyDescent="0.25">
      <c r="AD10651"/>
    </row>
    <row r="10652" spans="30:30" x14ac:dyDescent="0.25">
      <c r="AD10652"/>
    </row>
    <row r="10653" spans="30:30" x14ac:dyDescent="0.25">
      <c r="AD10653"/>
    </row>
    <row r="10654" spans="30:30" x14ac:dyDescent="0.25">
      <c r="AD10654"/>
    </row>
    <row r="10655" spans="30:30" x14ac:dyDescent="0.25">
      <c r="AD10655"/>
    </row>
    <row r="10656" spans="30:30" x14ac:dyDescent="0.25">
      <c r="AD10656"/>
    </row>
    <row r="10657" spans="30:30" x14ac:dyDescent="0.25">
      <c r="AD10657"/>
    </row>
    <row r="10658" spans="30:30" x14ac:dyDescent="0.25">
      <c r="AD10658"/>
    </row>
    <row r="10659" spans="30:30" x14ac:dyDescent="0.25">
      <c r="AD10659"/>
    </row>
    <row r="10660" spans="30:30" x14ac:dyDescent="0.25">
      <c r="AD10660"/>
    </row>
    <row r="10661" spans="30:30" x14ac:dyDescent="0.25">
      <c r="AD10661"/>
    </row>
    <row r="10662" spans="30:30" x14ac:dyDescent="0.25">
      <c r="AD10662"/>
    </row>
    <row r="10663" spans="30:30" x14ac:dyDescent="0.25">
      <c r="AD10663"/>
    </row>
    <row r="10664" spans="30:30" x14ac:dyDescent="0.25">
      <c r="AD10664"/>
    </row>
    <row r="10665" spans="30:30" x14ac:dyDescent="0.25">
      <c r="AD10665"/>
    </row>
    <row r="10666" spans="30:30" x14ac:dyDescent="0.25">
      <c r="AD10666"/>
    </row>
    <row r="10667" spans="30:30" x14ac:dyDescent="0.25">
      <c r="AD10667"/>
    </row>
    <row r="10668" spans="30:30" x14ac:dyDescent="0.25">
      <c r="AD10668"/>
    </row>
    <row r="10669" spans="30:30" x14ac:dyDescent="0.25">
      <c r="AD10669"/>
    </row>
    <row r="10670" spans="30:30" x14ac:dyDescent="0.25">
      <c r="AD10670"/>
    </row>
    <row r="10671" spans="30:30" x14ac:dyDescent="0.25">
      <c r="AD10671"/>
    </row>
    <row r="10672" spans="30:30" x14ac:dyDescent="0.25">
      <c r="AD10672"/>
    </row>
    <row r="10673" spans="30:30" x14ac:dyDescent="0.25">
      <c r="AD10673"/>
    </row>
    <row r="10674" spans="30:30" x14ac:dyDescent="0.25">
      <c r="AD10674"/>
    </row>
    <row r="10675" spans="30:30" x14ac:dyDescent="0.25">
      <c r="AD10675"/>
    </row>
    <row r="10676" spans="30:30" x14ac:dyDescent="0.25">
      <c r="AD10676"/>
    </row>
    <row r="10677" spans="30:30" x14ac:dyDescent="0.25">
      <c r="AD10677"/>
    </row>
    <row r="10678" spans="30:30" x14ac:dyDescent="0.25">
      <c r="AD10678"/>
    </row>
    <row r="10679" spans="30:30" x14ac:dyDescent="0.25">
      <c r="AD10679"/>
    </row>
    <row r="10680" spans="30:30" x14ac:dyDescent="0.25">
      <c r="AD10680"/>
    </row>
    <row r="10681" spans="30:30" x14ac:dyDescent="0.25">
      <c r="AD10681"/>
    </row>
    <row r="10682" spans="30:30" x14ac:dyDescent="0.25">
      <c r="AD10682"/>
    </row>
    <row r="10683" spans="30:30" x14ac:dyDescent="0.25">
      <c r="AD10683"/>
    </row>
    <row r="10684" spans="30:30" x14ac:dyDescent="0.25">
      <c r="AD10684"/>
    </row>
    <row r="10685" spans="30:30" x14ac:dyDescent="0.25">
      <c r="AD10685"/>
    </row>
    <row r="10686" spans="30:30" x14ac:dyDescent="0.25">
      <c r="AD10686"/>
    </row>
    <row r="10687" spans="30:30" x14ac:dyDescent="0.25">
      <c r="AD10687"/>
    </row>
    <row r="10688" spans="30:30" x14ac:dyDescent="0.25">
      <c r="AD10688"/>
    </row>
    <row r="10689" spans="30:30" x14ac:dyDescent="0.25">
      <c r="AD10689"/>
    </row>
    <row r="10690" spans="30:30" x14ac:dyDescent="0.25">
      <c r="AD10690"/>
    </row>
    <row r="10691" spans="30:30" x14ac:dyDescent="0.25">
      <c r="AD10691"/>
    </row>
    <row r="10692" spans="30:30" x14ac:dyDescent="0.25">
      <c r="AD10692"/>
    </row>
    <row r="10693" spans="30:30" x14ac:dyDescent="0.25">
      <c r="AD10693"/>
    </row>
    <row r="10694" spans="30:30" x14ac:dyDescent="0.25">
      <c r="AD10694"/>
    </row>
    <row r="10695" spans="30:30" x14ac:dyDescent="0.25">
      <c r="AD10695"/>
    </row>
    <row r="10696" spans="30:30" x14ac:dyDescent="0.25">
      <c r="AD10696"/>
    </row>
    <row r="10697" spans="30:30" x14ac:dyDescent="0.25">
      <c r="AD10697"/>
    </row>
    <row r="10698" spans="30:30" x14ac:dyDescent="0.25">
      <c r="AD10698"/>
    </row>
    <row r="10699" spans="30:30" x14ac:dyDescent="0.25">
      <c r="AD10699"/>
    </row>
    <row r="10700" spans="30:30" x14ac:dyDescent="0.25">
      <c r="AD10700"/>
    </row>
    <row r="10701" spans="30:30" x14ac:dyDescent="0.25">
      <c r="AD10701"/>
    </row>
    <row r="10702" spans="30:30" x14ac:dyDescent="0.25">
      <c r="AD10702"/>
    </row>
    <row r="10703" spans="30:30" x14ac:dyDescent="0.25">
      <c r="AD10703"/>
    </row>
    <row r="10704" spans="30:30" x14ac:dyDescent="0.25">
      <c r="AD10704"/>
    </row>
    <row r="10705" spans="30:30" x14ac:dyDescent="0.25">
      <c r="AD10705"/>
    </row>
    <row r="10706" spans="30:30" x14ac:dyDescent="0.25">
      <c r="AD10706"/>
    </row>
    <row r="10707" spans="30:30" x14ac:dyDescent="0.25">
      <c r="AD10707"/>
    </row>
    <row r="10708" spans="30:30" x14ac:dyDescent="0.25">
      <c r="AD10708"/>
    </row>
    <row r="10709" spans="30:30" x14ac:dyDescent="0.25">
      <c r="AD10709"/>
    </row>
    <row r="10710" spans="30:30" x14ac:dyDescent="0.25">
      <c r="AD10710"/>
    </row>
    <row r="10711" spans="30:30" x14ac:dyDescent="0.25">
      <c r="AD10711"/>
    </row>
    <row r="10712" spans="30:30" x14ac:dyDescent="0.25">
      <c r="AD10712"/>
    </row>
    <row r="10713" spans="30:30" x14ac:dyDescent="0.25">
      <c r="AD10713"/>
    </row>
    <row r="10714" spans="30:30" x14ac:dyDescent="0.25">
      <c r="AD10714"/>
    </row>
    <row r="10715" spans="30:30" x14ac:dyDescent="0.25">
      <c r="AD10715"/>
    </row>
    <row r="10716" spans="30:30" x14ac:dyDescent="0.25">
      <c r="AD10716"/>
    </row>
    <row r="10717" spans="30:30" x14ac:dyDescent="0.25">
      <c r="AD10717"/>
    </row>
    <row r="10718" spans="30:30" x14ac:dyDescent="0.25">
      <c r="AD10718"/>
    </row>
    <row r="10719" spans="30:30" x14ac:dyDescent="0.25">
      <c r="AD10719"/>
    </row>
    <row r="10720" spans="30:30" x14ac:dyDescent="0.25">
      <c r="AD10720"/>
    </row>
    <row r="10721" spans="30:30" x14ac:dyDescent="0.25">
      <c r="AD10721"/>
    </row>
    <row r="10722" spans="30:30" x14ac:dyDescent="0.25">
      <c r="AD10722"/>
    </row>
    <row r="10723" spans="30:30" x14ac:dyDescent="0.25">
      <c r="AD10723"/>
    </row>
    <row r="10724" spans="30:30" x14ac:dyDescent="0.25">
      <c r="AD10724"/>
    </row>
    <row r="10725" spans="30:30" x14ac:dyDescent="0.25">
      <c r="AD10725"/>
    </row>
    <row r="10726" spans="30:30" x14ac:dyDescent="0.25">
      <c r="AD10726"/>
    </row>
    <row r="10727" spans="30:30" x14ac:dyDescent="0.25">
      <c r="AD10727"/>
    </row>
    <row r="10728" spans="30:30" x14ac:dyDescent="0.25">
      <c r="AD10728"/>
    </row>
    <row r="10729" spans="30:30" x14ac:dyDescent="0.25">
      <c r="AD10729"/>
    </row>
    <row r="10730" spans="30:30" x14ac:dyDescent="0.25">
      <c r="AD10730"/>
    </row>
    <row r="10731" spans="30:30" x14ac:dyDescent="0.25">
      <c r="AD10731"/>
    </row>
    <row r="10732" spans="30:30" x14ac:dyDescent="0.25">
      <c r="AD10732"/>
    </row>
    <row r="10733" spans="30:30" x14ac:dyDescent="0.25">
      <c r="AD10733"/>
    </row>
    <row r="10734" spans="30:30" x14ac:dyDescent="0.25">
      <c r="AD10734"/>
    </row>
    <row r="10735" spans="30:30" x14ac:dyDescent="0.25">
      <c r="AD10735"/>
    </row>
    <row r="10736" spans="30:30" x14ac:dyDescent="0.25">
      <c r="AD10736"/>
    </row>
    <row r="10737" spans="30:30" x14ac:dyDescent="0.25">
      <c r="AD10737"/>
    </row>
    <row r="10738" spans="30:30" x14ac:dyDescent="0.25">
      <c r="AD10738"/>
    </row>
    <row r="10739" spans="30:30" x14ac:dyDescent="0.25">
      <c r="AD10739"/>
    </row>
    <row r="10740" spans="30:30" x14ac:dyDescent="0.25">
      <c r="AD10740"/>
    </row>
    <row r="10741" spans="30:30" x14ac:dyDescent="0.25">
      <c r="AD10741"/>
    </row>
    <row r="10742" spans="30:30" x14ac:dyDescent="0.25">
      <c r="AD10742"/>
    </row>
    <row r="10743" spans="30:30" x14ac:dyDescent="0.25">
      <c r="AD10743"/>
    </row>
    <row r="10744" spans="30:30" x14ac:dyDescent="0.25">
      <c r="AD10744"/>
    </row>
    <row r="10745" spans="30:30" x14ac:dyDescent="0.25">
      <c r="AD10745"/>
    </row>
    <row r="10746" spans="30:30" x14ac:dyDescent="0.25">
      <c r="AD10746"/>
    </row>
    <row r="10747" spans="30:30" x14ac:dyDescent="0.25">
      <c r="AD10747"/>
    </row>
    <row r="10748" spans="30:30" x14ac:dyDescent="0.25">
      <c r="AD10748"/>
    </row>
    <row r="10749" spans="30:30" x14ac:dyDescent="0.25">
      <c r="AD10749"/>
    </row>
    <row r="10750" spans="30:30" x14ac:dyDescent="0.25">
      <c r="AD10750"/>
    </row>
    <row r="10751" spans="30:30" x14ac:dyDescent="0.25">
      <c r="AD10751"/>
    </row>
    <row r="10752" spans="30:30" x14ac:dyDescent="0.25">
      <c r="AD10752"/>
    </row>
    <row r="10753" spans="30:30" x14ac:dyDescent="0.25">
      <c r="AD10753"/>
    </row>
    <row r="10754" spans="30:30" x14ac:dyDescent="0.25">
      <c r="AD10754"/>
    </row>
    <row r="10755" spans="30:30" x14ac:dyDescent="0.25">
      <c r="AD10755"/>
    </row>
    <row r="10756" spans="30:30" x14ac:dyDescent="0.25">
      <c r="AD10756"/>
    </row>
    <row r="10757" spans="30:30" x14ac:dyDescent="0.25">
      <c r="AD10757"/>
    </row>
    <row r="10758" spans="30:30" x14ac:dyDescent="0.25">
      <c r="AD10758"/>
    </row>
    <row r="10759" spans="30:30" x14ac:dyDescent="0.25">
      <c r="AD10759"/>
    </row>
    <row r="10760" spans="30:30" x14ac:dyDescent="0.25">
      <c r="AD10760"/>
    </row>
    <row r="10761" spans="30:30" x14ac:dyDescent="0.25">
      <c r="AD10761"/>
    </row>
    <row r="10762" spans="30:30" x14ac:dyDescent="0.25">
      <c r="AD10762"/>
    </row>
    <row r="10763" spans="30:30" x14ac:dyDescent="0.25">
      <c r="AD10763"/>
    </row>
    <row r="10764" spans="30:30" x14ac:dyDescent="0.25">
      <c r="AD10764"/>
    </row>
    <row r="10765" spans="30:30" x14ac:dyDescent="0.25">
      <c r="AD10765"/>
    </row>
    <row r="10766" spans="30:30" x14ac:dyDescent="0.25">
      <c r="AD10766"/>
    </row>
    <row r="10767" spans="30:30" x14ac:dyDescent="0.25">
      <c r="AD10767"/>
    </row>
    <row r="10768" spans="30:30" x14ac:dyDescent="0.25">
      <c r="AD10768"/>
    </row>
    <row r="10769" spans="30:30" x14ac:dyDescent="0.25">
      <c r="AD10769"/>
    </row>
    <row r="10770" spans="30:30" x14ac:dyDescent="0.25">
      <c r="AD10770"/>
    </row>
    <row r="10771" spans="30:30" x14ac:dyDescent="0.25">
      <c r="AD10771"/>
    </row>
    <row r="10772" spans="30:30" x14ac:dyDescent="0.25">
      <c r="AD10772"/>
    </row>
    <row r="10773" spans="30:30" x14ac:dyDescent="0.25">
      <c r="AD10773"/>
    </row>
    <row r="10774" spans="30:30" x14ac:dyDescent="0.25">
      <c r="AD10774"/>
    </row>
    <row r="10775" spans="30:30" x14ac:dyDescent="0.25">
      <c r="AD10775"/>
    </row>
    <row r="10776" spans="30:30" x14ac:dyDescent="0.25">
      <c r="AD10776"/>
    </row>
    <row r="10777" spans="30:30" x14ac:dyDescent="0.25">
      <c r="AD10777"/>
    </row>
    <row r="10778" spans="30:30" x14ac:dyDescent="0.25">
      <c r="AD10778"/>
    </row>
    <row r="10779" spans="30:30" x14ac:dyDescent="0.25">
      <c r="AD10779"/>
    </row>
    <row r="10780" spans="30:30" x14ac:dyDescent="0.25">
      <c r="AD10780"/>
    </row>
    <row r="10781" spans="30:30" x14ac:dyDescent="0.25">
      <c r="AD10781"/>
    </row>
    <row r="10782" spans="30:30" x14ac:dyDescent="0.25">
      <c r="AD10782"/>
    </row>
    <row r="10783" spans="30:30" x14ac:dyDescent="0.25">
      <c r="AD10783"/>
    </row>
    <row r="10784" spans="30:30" x14ac:dyDescent="0.25">
      <c r="AD10784"/>
    </row>
    <row r="10785" spans="30:30" x14ac:dyDescent="0.25">
      <c r="AD10785"/>
    </row>
    <row r="10786" spans="30:30" x14ac:dyDescent="0.25">
      <c r="AD10786"/>
    </row>
    <row r="10787" spans="30:30" x14ac:dyDescent="0.25">
      <c r="AD10787"/>
    </row>
    <row r="10788" spans="30:30" x14ac:dyDescent="0.25">
      <c r="AD10788"/>
    </row>
    <row r="10789" spans="30:30" x14ac:dyDescent="0.25">
      <c r="AD10789"/>
    </row>
    <row r="10790" spans="30:30" x14ac:dyDescent="0.25">
      <c r="AD10790"/>
    </row>
    <row r="10791" spans="30:30" x14ac:dyDescent="0.25">
      <c r="AD10791"/>
    </row>
    <row r="10792" spans="30:30" x14ac:dyDescent="0.25">
      <c r="AD10792"/>
    </row>
    <row r="10793" spans="30:30" x14ac:dyDescent="0.25">
      <c r="AD10793"/>
    </row>
    <row r="10794" spans="30:30" x14ac:dyDescent="0.25">
      <c r="AD10794"/>
    </row>
    <row r="10795" spans="30:30" x14ac:dyDescent="0.25">
      <c r="AD10795"/>
    </row>
    <row r="10796" spans="30:30" x14ac:dyDescent="0.25">
      <c r="AD10796"/>
    </row>
    <row r="10797" spans="30:30" x14ac:dyDescent="0.25">
      <c r="AD10797"/>
    </row>
    <row r="10798" spans="30:30" x14ac:dyDescent="0.25">
      <c r="AD10798"/>
    </row>
    <row r="10799" spans="30:30" x14ac:dyDescent="0.25">
      <c r="AD10799"/>
    </row>
    <row r="10800" spans="30:30" x14ac:dyDescent="0.25">
      <c r="AD10800"/>
    </row>
    <row r="10801" spans="30:30" x14ac:dyDescent="0.25">
      <c r="AD10801"/>
    </row>
    <row r="10802" spans="30:30" x14ac:dyDescent="0.25">
      <c r="AD10802"/>
    </row>
    <row r="10803" spans="30:30" x14ac:dyDescent="0.25">
      <c r="AD10803"/>
    </row>
    <row r="10804" spans="30:30" x14ac:dyDescent="0.25">
      <c r="AD10804"/>
    </row>
    <row r="10805" spans="30:30" x14ac:dyDescent="0.25">
      <c r="AD10805"/>
    </row>
    <row r="10806" spans="30:30" x14ac:dyDescent="0.25">
      <c r="AD10806"/>
    </row>
    <row r="10807" spans="30:30" x14ac:dyDescent="0.25">
      <c r="AD10807"/>
    </row>
    <row r="10808" spans="30:30" x14ac:dyDescent="0.25">
      <c r="AD10808"/>
    </row>
    <row r="10809" spans="30:30" x14ac:dyDescent="0.25">
      <c r="AD10809"/>
    </row>
    <row r="10810" spans="30:30" x14ac:dyDescent="0.25">
      <c r="AD10810"/>
    </row>
    <row r="10811" spans="30:30" x14ac:dyDescent="0.25">
      <c r="AD10811"/>
    </row>
    <row r="10812" spans="30:30" x14ac:dyDescent="0.25">
      <c r="AD10812"/>
    </row>
    <row r="10813" spans="30:30" x14ac:dyDescent="0.25">
      <c r="AD10813"/>
    </row>
    <row r="10814" spans="30:30" x14ac:dyDescent="0.25">
      <c r="AD10814"/>
    </row>
    <row r="10815" spans="30:30" x14ac:dyDescent="0.25">
      <c r="AD10815"/>
    </row>
    <row r="10816" spans="30:30" x14ac:dyDescent="0.25">
      <c r="AD10816"/>
    </row>
    <row r="10817" spans="30:30" x14ac:dyDescent="0.25">
      <c r="AD10817"/>
    </row>
    <row r="10818" spans="30:30" x14ac:dyDescent="0.25">
      <c r="AD10818"/>
    </row>
    <row r="10819" spans="30:30" x14ac:dyDescent="0.25">
      <c r="AD10819"/>
    </row>
    <row r="10820" spans="30:30" x14ac:dyDescent="0.25">
      <c r="AD10820"/>
    </row>
    <row r="10821" spans="30:30" x14ac:dyDescent="0.25">
      <c r="AD10821"/>
    </row>
    <row r="10822" spans="30:30" x14ac:dyDescent="0.25">
      <c r="AD10822"/>
    </row>
    <row r="10823" spans="30:30" x14ac:dyDescent="0.25">
      <c r="AD10823"/>
    </row>
    <row r="10824" spans="30:30" x14ac:dyDescent="0.25">
      <c r="AD10824"/>
    </row>
    <row r="10825" spans="30:30" x14ac:dyDescent="0.25">
      <c r="AD10825"/>
    </row>
    <row r="10826" spans="30:30" x14ac:dyDescent="0.25">
      <c r="AD10826"/>
    </row>
    <row r="10827" spans="30:30" x14ac:dyDescent="0.25">
      <c r="AD10827"/>
    </row>
    <row r="10828" spans="30:30" x14ac:dyDescent="0.25">
      <c r="AD10828"/>
    </row>
    <row r="10829" spans="30:30" x14ac:dyDescent="0.25">
      <c r="AD10829"/>
    </row>
    <row r="10830" spans="30:30" x14ac:dyDescent="0.25">
      <c r="AD10830"/>
    </row>
    <row r="10831" spans="30:30" x14ac:dyDescent="0.25">
      <c r="AD10831"/>
    </row>
    <row r="10832" spans="30:30" x14ac:dyDescent="0.25">
      <c r="AD10832"/>
    </row>
    <row r="10833" spans="30:30" x14ac:dyDescent="0.25">
      <c r="AD10833"/>
    </row>
    <row r="10834" spans="30:30" x14ac:dyDescent="0.25">
      <c r="AD10834"/>
    </row>
    <row r="10835" spans="30:30" x14ac:dyDescent="0.25">
      <c r="AD10835"/>
    </row>
    <row r="10836" spans="30:30" x14ac:dyDescent="0.25">
      <c r="AD10836"/>
    </row>
    <row r="10837" spans="30:30" x14ac:dyDescent="0.25">
      <c r="AD10837"/>
    </row>
    <row r="10838" spans="30:30" x14ac:dyDescent="0.25">
      <c r="AD10838"/>
    </row>
    <row r="10839" spans="30:30" x14ac:dyDescent="0.25">
      <c r="AD10839"/>
    </row>
    <row r="10840" spans="30:30" x14ac:dyDescent="0.25">
      <c r="AD10840"/>
    </row>
    <row r="10841" spans="30:30" x14ac:dyDescent="0.25">
      <c r="AD10841"/>
    </row>
    <row r="10842" spans="30:30" x14ac:dyDescent="0.25">
      <c r="AD10842"/>
    </row>
    <row r="10843" spans="30:30" x14ac:dyDescent="0.25">
      <c r="AD10843"/>
    </row>
    <row r="10844" spans="30:30" x14ac:dyDescent="0.25">
      <c r="AD10844"/>
    </row>
    <row r="10845" spans="30:30" x14ac:dyDescent="0.25">
      <c r="AD10845"/>
    </row>
    <row r="10846" spans="30:30" x14ac:dyDescent="0.25">
      <c r="AD10846"/>
    </row>
    <row r="10847" spans="30:30" x14ac:dyDescent="0.25">
      <c r="AD10847"/>
    </row>
    <row r="10848" spans="30:30" x14ac:dyDescent="0.25">
      <c r="AD10848"/>
    </row>
    <row r="10849" spans="30:30" x14ac:dyDescent="0.25">
      <c r="AD10849"/>
    </row>
    <row r="10850" spans="30:30" x14ac:dyDescent="0.25">
      <c r="AD10850"/>
    </row>
    <row r="10851" spans="30:30" x14ac:dyDescent="0.25">
      <c r="AD10851"/>
    </row>
    <row r="10852" spans="30:30" x14ac:dyDescent="0.25">
      <c r="AD10852"/>
    </row>
    <row r="10853" spans="30:30" x14ac:dyDescent="0.25">
      <c r="AD10853"/>
    </row>
    <row r="10854" spans="30:30" x14ac:dyDescent="0.25">
      <c r="AD10854"/>
    </row>
    <row r="10855" spans="30:30" x14ac:dyDescent="0.25">
      <c r="AD10855"/>
    </row>
    <row r="10856" spans="30:30" x14ac:dyDescent="0.25">
      <c r="AD10856"/>
    </row>
    <row r="10857" spans="30:30" x14ac:dyDescent="0.25">
      <c r="AD10857"/>
    </row>
    <row r="10858" spans="30:30" x14ac:dyDescent="0.25">
      <c r="AD10858"/>
    </row>
    <row r="10859" spans="30:30" x14ac:dyDescent="0.25">
      <c r="AD10859"/>
    </row>
    <row r="10860" spans="30:30" x14ac:dyDescent="0.25">
      <c r="AD10860"/>
    </row>
    <row r="10861" spans="30:30" x14ac:dyDescent="0.25">
      <c r="AD10861"/>
    </row>
    <row r="10862" spans="30:30" x14ac:dyDescent="0.25">
      <c r="AD10862"/>
    </row>
    <row r="10863" spans="30:30" x14ac:dyDescent="0.25">
      <c r="AD10863"/>
    </row>
    <row r="10864" spans="30:30" x14ac:dyDescent="0.25">
      <c r="AD10864"/>
    </row>
    <row r="10865" spans="30:30" x14ac:dyDescent="0.25">
      <c r="AD10865"/>
    </row>
    <row r="10866" spans="30:30" x14ac:dyDescent="0.25">
      <c r="AD10866"/>
    </row>
    <row r="10867" spans="30:30" x14ac:dyDescent="0.25">
      <c r="AD10867"/>
    </row>
    <row r="10868" spans="30:30" x14ac:dyDescent="0.25">
      <c r="AD10868"/>
    </row>
    <row r="10869" spans="30:30" x14ac:dyDescent="0.25">
      <c r="AD10869"/>
    </row>
    <row r="10870" spans="30:30" x14ac:dyDescent="0.25">
      <c r="AD10870"/>
    </row>
    <row r="10871" spans="30:30" x14ac:dyDescent="0.25">
      <c r="AD10871"/>
    </row>
    <row r="10872" spans="30:30" x14ac:dyDescent="0.25">
      <c r="AD10872"/>
    </row>
    <row r="10873" spans="30:30" x14ac:dyDescent="0.25">
      <c r="AD10873"/>
    </row>
    <row r="10874" spans="30:30" x14ac:dyDescent="0.25">
      <c r="AD10874"/>
    </row>
    <row r="10875" spans="30:30" x14ac:dyDescent="0.25">
      <c r="AD10875"/>
    </row>
    <row r="10876" spans="30:30" x14ac:dyDescent="0.25">
      <c r="AD10876"/>
    </row>
    <row r="10877" spans="30:30" x14ac:dyDescent="0.25">
      <c r="AD10877"/>
    </row>
    <row r="10878" spans="30:30" x14ac:dyDescent="0.25">
      <c r="AD10878"/>
    </row>
    <row r="10879" spans="30:30" x14ac:dyDescent="0.25">
      <c r="AD10879"/>
    </row>
    <row r="10880" spans="30:30" x14ac:dyDescent="0.25">
      <c r="AD10880"/>
    </row>
    <row r="10881" spans="30:30" x14ac:dyDescent="0.25">
      <c r="AD10881"/>
    </row>
    <row r="10882" spans="30:30" x14ac:dyDescent="0.25">
      <c r="AD10882"/>
    </row>
    <row r="10883" spans="30:30" x14ac:dyDescent="0.25">
      <c r="AD10883"/>
    </row>
    <row r="10884" spans="30:30" x14ac:dyDescent="0.25">
      <c r="AD10884"/>
    </row>
    <row r="10885" spans="30:30" x14ac:dyDescent="0.25">
      <c r="AD10885"/>
    </row>
    <row r="10886" spans="30:30" x14ac:dyDescent="0.25">
      <c r="AD10886"/>
    </row>
    <row r="10887" spans="30:30" x14ac:dyDescent="0.25">
      <c r="AD10887"/>
    </row>
    <row r="10888" spans="30:30" x14ac:dyDescent="0.25">
      <c r="AD10888"/>
    </row>
    <row r="10889" spans="30:30" x14ac:dyDescent="0.25">
      <c r="AD10889"/>
    </row>
    <row r="10890" spans="30:30" x14ac:dyDescent="0.25">
      <c r="AD10890"/>
    </row>
    <row r="10891" spans="30:30" x14ac:dyDescent="0.25">
      <c r="AD10891"/>
    </row>
    <row r="10892" spans="30:30" x14ac:dyDescent="0.25">
      <c r="AD10892"/>
    </row>
    <row r="10893" spans="30:30" x14ac:dyDescent="0.25">
      <c r="AD10893"/>
    </row>
    <row r="10894" spans="30:30" x14ac:dyDescent="0.25">
      <c r="AD10894"/>
    </row>
    <row r="10895" spans="30:30" x14ac:dyDescent="0.25">
      <c r="AD10895"/>
    </row>
    <row r="10896" spans="30:30" x14ac:dyDescent="0.25">
      <c r="AD10896"/>
    </row>
    <row r="10897" spans="30:30" x14ac:dyDescent="0.25">
      <c r="AD10897"/>
    </row>
    <row r="10898" spans="30:30" x14ac:dyDescent="0.25">
      <c r="AD10898"/>
    </row>
    <row r="10899" spans="30:30" x14ac:dyDescent="0.25">
      <c r="AD10899"/>
    </row>
    <row r="10900" spans="30:30" x14ac:dyDescent="0.25">
      <c r="AD10900"/>
    </row>
    <row r="10901" spans="30:30" x14ac:dyDescent="0.25">
      <c r="AD10901"/>
    </row>
    <row r="10902" spans="30:30" x14ac:dyDescent="0.25">
      <c r="AD10902"/>
    </row>
    <row r="10903" spans="30:30" x14ac:dyDescent="0.25">
      <c r="AD10903"/>
    </row>
    <row r="10904" spans="30:30" x14ac:dyDescent="0.25">
      <c r="AD10904"/>
    </row>
    <row r="10905" spans="30:30" x14ac:dyDescent="0.25">
      <c r="AD10905"/>
    </row>
    <row r="10906" spans="30:30" x14ac:dyDescent="0.25">
      <c r="AD10906"/>
    </row>
    <row r="10907" spans="30:30" x14ac:dyDescent="0.25">
      <c r="AD10907"/>
    </row>
    <row r="10908" spans="30:30" x14ac:dyDescent="0.25">
      <c r="AD10908"/>
    </row>
    <row r="10909" spans="30:30" x14ac:dyDescent="0.25">
      <c r="AD10909"/>
    </row>
    <row r="10910" spans="30:30" x14ac:dyDescent="0.25">
      <c r="AD10910"/>
    </row>
    <row r="10911" spans="30:30" x14ac:dyDescent="0.25">
      <c r="AD10911"/>
    </row>
    <row r="10912" spans="30:30" x14ac:dyDescent="0.25">
      <c r="AD10912"/>
    </row>
    <row r="10913" spans="30:30" x14ac:dyDescent="0.25">
      <c r="AD10913"/>
    </row>
    <row r="10914" spans="30:30" x14ac:dyDescent="0.25">
      <c r="AD10914"/>
    </row>
    <row r="10915" spans="30:30" x14ac:dyDescent="0.25">
      <c r="AD10915"/>
    </row>
    <row r="10916" spans="30:30" x14ac:dyDescent="0.25">
      <c r="AD10916"/>
    </row>
    <row r="10917" spans="30:30" x14ac:dyDescent="0.25">
      <c r="AD10917"/>
    </row>
    <row r="10918" spans="30:30" x14ac:dyDescent="0.25">
      <c r="AD10918"/>
    </row>
    <row r="10919" spans="30:30" x14ac:dyDescent="0.25">
      <c r="AD10919"/>
    </row>
    <row r="10920" spans="30:30" x14ac:dyDescent="0.25">
      <c r="AD10920"/>
    </row>
    <row r="10921" spans="30:30" x14ac:dyDescent="0.25">
      <c r="AD10921"/>
    </row>
    <row r="10922" spans="30:30" x14ac:dyDescent="0.25">
      <c r="AD10922"/>
    </row>
    <row r="10923" spans="30:30" x14ac:dyDescent="0.25">
      <c r="AD10923"/>
    </row>
    <row r="10924" spans="30:30" x14ac:dyDescent="0.25">
      <c r="AD10924"/>
    </row>
    <row r="10925" spans="30:30" x14ac:dyDescent="0.25">
      <c r="AD10925"/>
    </row>
    <row r="10926" spans="30:30" x14ac:dyDescent="0.25">
      <c r="AD10926"/>
    </row>
    <row r="10927" spans="30:30" x14ac:dyDescent="0.25">
      <c r="AD10927"/>
    </row>
    <row r="10928" spans="30:30" x14ac:dyDescent="0.25">
      <c r="AD10928"/>
    </row>
    <row r="10929" spans="30:30" x14ac:dyDescent="0.25">
      <c r="AD10929"/>
    </row>
    <row r="10930" spans="30:30" x14ac:dyDescent="0.25">
      <c r="AD10930"/>
    </row>
    <row r="10931" spans="30:30" x14ac:dyDescent="0.25">
      <c r="AD10931"/>
    </row>
    <row r="10932" spans="30:30" x14ac:dyDescent="0.25">
      <c r="AD10932"/>
    </row>
    <row r="10933" spans="30:30" x14ac:dyDescent="0.25">
      <c r="AD10933"/>
    </row>
    <row r="10934" spans="30:30" x14ac:dyDescent="0.25">
      <c r="AD10934"/>
    </row>
    <row r="10935" spans="30:30" x14ac:dyDescent="0.25">
      <c r="AD10935"/>
    </row>
    <row r="10936" spans="30:30" x14ac:dyDescent="0.25">
      <c r="AD10936"/>
    </row>
    <row r="10937" spans="30:30" x14ac:dyDescent="0.25">
      <c r="AD10937"/>
    </row>
    <row r="10938" spans="30:30" x14ac:dyDescent="0.25">
      <c r="AD10938"/>
    </row>
    <row r="10939" spans="30:30" x14ac:dyDescent="0.25">
      <c r="AD10939"/>
    </row>
    <row r="10940" spans="30:30" x14ac:dyDescent="0.25">
      <c r="AD10940"/>
    </row>
    <row r="10941" spans="30:30" x14ac:dyDescent="0.25">
      <c r="AD10941"/>
    </row>
    <row r="10942" spans="30:30" x14ac:dyDescent="0.25">
      <c r="AD10942"/>
    </row>
    <row r="10943" spans="30:30" x14ac:dyDescent="0.25">
      <c r="AD10943"/>
    </row>
    <row r="10944" spans="30:30" x14ac:dyDescent="0.25">
      <c r="AD10944"/>
    </row>
    <row r="10945" spans="30:30" x14ac:dyDescent="0.25">
      <c r="AD10945"/>
    </row>
    <row r="10946" spans="30:30" x14ac:dyDescent="0.25">
      <c r="AD10946"/>
    </row>
    <row r="10947" spans="30:30" x14ac:dyDescent="0.25">
      <c r="AD10947"/>
    </row>
    <row r="10948" spans="30:30" x14ac:dyDescent="0.25">
      <c r="AD10948"/>
    </row>
    <row r="10949" spans="30:30" x14ac:dyDescent="0.25">
      <c r="AD10949"/>
    </row>
    <row r="10950" spans="30:30" x14ac:dyDescent="0.25">
      <c r="AD10950"/>
    </row>
    <row r="10951" spans="30:30" x14ac:dyDescent="0.25">
      <c r="AD10951"/>
    </row>
    <row r="10952" spans="30:30" x14ac:dyDescent="0.25">
      <c r="AD10952"/>
    </row>
    <row r="10953" spans="30:30" x14ac:dyDescent="0.25">
      <c r="AD10953"/>
    </row>
    <row r="10954" spans="30:30" x14ac:dyDescent="0.25">
      <c r="AD10954"/>
    </row>
    <row r="10955" spans="30:30" x14ac:dyDescent="0.25">
      <c r="AD10955"/>
    </row>
    <row r="10956" spans="30:30" x14ac:dyDescent="0.25">
      <c r="AD10956"/>
    </row>
    <row r="10957" spans="30:30" x14ac:dyDescent="0.25">
      <c r="AD10957"/>
    </row>
    <row r="10958" spans="30:30" x14ac:dyDescent="0.25">
      <c r="AD10958"/>
    </row>
    <row r="10959" spans="30:30" x14ac:dyDescent="0.25">
      <c r="AD10959"/>
    </row>
    <row r="10960" spans="30:30" x14ac:dyDescent="0.25">
      <c r="AD10960"/>
    </row>
    <row r="10961" spans="30:30" x14ac:dyDescent="0.25">
      <c r="AD10961"/>
    </row>
    <row r="10962" spans="30:30" x14ac:dyDescent="0.25">
      <c r="AD10962"/>
    </row>
    <row r="10963" spans="30:30" x14ac:dyDescent="0.25">
      <c r="AD10963"/>
    </row>
    <row r="10964" spans="30:30" x14ac:dyDescent="0.25">
      <c r="AD10964"/>
    </row>
    <row r="10965" spans="30:30" x14ac:dyDescent="0.25">
      <c r="AD10965"/>
    </row>
    <row r="10966" spans="30:30" x14ac:dyDescent="0.25">
      <c r="AD10966"/>
    </row>
    <row r="10967" spans="30:30" x14ac:dyDescent="0.25">
      <c r="AD10967"/>
    </row>
    <row r="10968" spans="30:30" x14ac:dyDescent="0.25">
      <c r="AD10968"/>
    </row>
    <row r="10969" spans="30:30" x14ac:dyDescent="0.25">
      <c r="AD10969"/>
    </row>
    <row r="10970" spans="30:30" x14ac:dyDescent="0.25">
      <c r="AD10970"/>
    </row>
    <row r="10971" spans="30:30" x14ac:dyDescent="0.25">
      <c r="AD10971"/>
    </row>
    <row r="10972" spans="30:30" x14ac:dyDescent="0.25">
      <c r="AD10972"/>
    </row>
    <row r="10973" spans="30:30" x14ac:dyDescent="0.25">
      <c r="AD10973"/>
    </row>
    <row r="10974" spans="30:30" x14ac:dyDescent="0.25">
      <c r="AD10974"/>
    </row>
    <row r="10975" spans="30:30" x14ac:dyDescent="0.25">
      <c r="AD10975"/>
    </row>
    <row r="10976" spans="30:30" x14ac:dyDescent="0.25">
      <c r="AD10976"/>
    </row>
    <row r="10977" spans="30:30" x14ac:dyDescent="0.25">
      <c r="AD10977"/>
    </row>
    <row r="10978" spans="30:30" x14ac:dyDescent="0.25">
      <c r="AD10978"/>
    </row>
    <row r="10979" spans="30:30" x14ac:dyDescent="0.25">
      <c r="AD10979"/>
    </row>
    <row r="10980" spans="30:30" x14ac:dyDescent="0.25">
      <c r="AD10980"/>
    </row>
    <row r="10981" spans="30:30" x14ac:dyDescent="0.25">
      <c r="AD10981"/>
    </row>
    <row r="10982" spans="30:30" x14ac:dyDescent="0.25">
      <c r="AD10982"/>
    </row>
    <row r="10983" spans="30:30" x14ac:dyDescent="0.25">
      <c r="AD10983"/>
    </row>
    <row r="10984" spans="30:30" x14ac:dyDescent="0.25">
      <c r="AD10984"/>
    </row>
    <row r="10985" spans="30:30" x14ac:dyDescent="0.25">
      <c r="AD10985"/>
    </row>
    <row r="10986" spans="30:30" x14ac:dyDescent="0.25">
      <c r="AD10986"/>
    </row>
    <row r="10987" spans="30:30" x14ac:dyDescent="0.25">
      <c r="AD10987"/>
    </row>
    <row r="10988" spans="30:30" x14ac:dyDescent="0.25">
      <c r="AD10988"/>
    </row>
    <row r="10989" spans="30:30" x14ac:dyDescent="0.25">
      <c r="AD10989"/>
    </row>
    <row r="10990" spans="30:30" x14ac:dyDescent="0.25">
      <c r="AD10990"/>
    </row>
    <row r="10991" spans="30:30" x14ac:dyDescent="0.25">
      <c r="AD10991"/>
    </row>
    <row r="10992" spans="30:30" x14ac:dyDescent="0.25">
      <c r="AD10992"/>
    </row>
    <row r="10993" spans="30:30" x14ac:dyDescent="0.25">
      <c r="AD10993"/>
    </row>
    <row r="10994" spans="30:30" x14ac:dyDescent="0.25">
      <c r="AD10994"/>
    </row>
    <row r="10995" spans="30:30" x14ac:dyDescent="0.25">
      <c r="AD10995"/>
    </row>
    <row r="10996" spans="30:30" x14ac:dyDescent="0.25">
      <c r="AD10996"/>
    </row>
    <row r="10997" spans="30:30" x14ac:dyDescent="0.25">
      <c r="AD10997"/>
    </row>
    <row r="10998" spans="30:30" x14ac:dyDescent="0.25">
      <c r="AD10998"/>
    </row>
    <row r="10999" spans="30:30" x14ac:dyDescent="0.25">
      <c r="AD10999"/>
    </row>
    <row r="11000" spans="30:30" x14ac:dyDescent="0.25">
      <c r="AD11000"/>
    </row>
    <row r="11001" spans="30:30" x14ac:dyDescent="0.25">
      <c r="AD11001"/>
    </row>
    <row r="11002" spans="30:30" x14ac:dyDescent="0.25">
      <c r="AD11002"/>
    </row>
    <row r="11003" spans="30:30" x14ac:dyDescent="0.25">
      <c r="AD11003"/>
    </row>
    <row r="11004" spans="30:30" x14ac:dyDescent="0.25">
      <c r="AD11004"/>
    </row>
    <row r="11005" spans="30:30" x14ac:dyDescent="0.25">
      <c r="AD11005"/>
    </row>
    <row r="11006" spans="30:30" x14ac:dyDescent="0.25">
      <c r="AD11006"/>
    </row>
    <row r="11007" spans="30:30" x14ac:dyDescent="0.25">
      <c r="AD11007"/>
    </row>
    <row r="11008" spans="30:30" x14ac:dyDescent="0.25">
      <c r="AD11008"/>
    </row>
    <row r="11009" spans="30:30" x14ac:dyDescent="0.25">
      <c r="AD11009"/>
    </row>
    <row r="11010" spans="30:30" x14ac:dyDescent="0.25">
      <c r="AD11010"/>
    </row>
    <row r="11011" spans="30:30" x14ac:dyDescent="0.25">
      <c r="AD11011"/>
    </row>
    <row r="11012" spans="30:30" x14ac:dyDescent="0.25">
      <c r="AD11012"/>
    </row>
    <row r="11013" spans="30:30" x14ac:dyDescent="0.25">
      <c r="AD11013"/>
    </row>
    <row r="11014" spans="30:30" x14ac:dyDescent="0.25">
      <c r="AD11014"/>
    </row>
    <row r="11015" spans="30:30" x14ac:dyDescent="0.25">
      <c r="AD11015"/>
    </row>
    <row r="11016" spans="30:30" x14ac:dyDescent="0.25">
      <c r="AD11016"/>
    </row>
    <row r="11017" spans="30:30" x14ac:dyDescent="0.25">
      <c r="AD11017"/>
    </row>
    <row r="11018" spans="30:30" x14ac:dyDescent="0.25">
      <c r="AD11018"/>
    </row>
    <row r="11019" spans="30:30" x14ac:dyDescent="0.25">
      <c r="AD11019"/>
    </row>
    <row r="11020" spans="30:30" x14ac:dyDescent="0.25">
      <c r="AD11020"/>
    </row>
    <row r="11021" spans="30:30" x14ac:dyDescent="0.25">
      <c r="AD11021"/>
    </row>
    <row r="11022" spans="30:30" x14ac:dyDescent="0.25">
      <c r="AD11022"/>
    </row>
    <row r="11023" spans="30:30" x14ac:dyDescent="0.25">
      <c r="AD11023"/>
    </row>
    <row r="11024" spans="30:30" x14ac:dyDescent="0.25">
      <c r="AD11024"/>
    </row>
    <row r="11025" spans="30:30" x14ac:dyDescent="0.25">
      <c r="AD11025"/>
    </row>
    <row r="11026" spans="30:30" x14ac:dyDescent="0.25">
      <c r="AD11026"/>
    </row>
    <row r="11027" spans="30:30" x14ac:dyDescent="0.25">
      <c r="AD11027"/>
    </row>
    <row r="11028" spans="30:30" x14ac:dyDescent="0.25">
      <c r="AD11028"/>
    </row>
    <row r="11029" spans="30:30" x14ac:dyDescent="0.25">
      <c r="AD11029"/>
    </row>
    <row r="11030" spans="30:30" x14ac:dyDescent="0.25">
      <c r="AD11030"/>
    </row>
    <row r="11031" spans="30:30" x14ac:dyDescent="0.25">
      <c r="AD11031"/>
    </row>
    <row r="11032" spans="30:30" x14ac:dyDescent="0.25">
      <c r="AD11032"/>
    </row>
    <row r="11033" spans="30:30" x14ac:dyDescent="0.25">
      <c r="AD11033"/>
    </row>
    <row r="11034" spans="30:30" x14ac:dyDescent="0.25">
      <c r="AD11034"/>
    </row>
    <row r="11035" spans="30:30" x14ac:dyDescent="0.25">
      <c r="AD11035"/>
    </row>
    <row r="11036" spans="30:30" x14ac:dyDescent="0.25">
      <c r="AD11036"/>
    </row>
    <row r="11037" spans="30:30" x14ac:dyDescent="0.25">
      <c r="AD11037"/>
    </row>
    <row r="11038" spans="30:30" x14ac:dyDescent="0.25">
      <c r="AD11038"/>
    </row>
    <row r="11039" spans="30:30" x14ac:dyDescent="0.25">
      <c r="AD11039"/>
    </row>
    <row r="11040" spans="30:30" x14ac:dyDescent="0.25">
      <c r="AD11040"/>
    </row>
    <row r="11041" spans="30:30" x14ac:dyDescent="0.25">
      <c r="AD11041"/>
    </row>
    <row r="11042" spans="30:30" x14ac:dyDescent="0.25">
      <c r="AD11042"/>
    </row>
    <row r="11043" spans="30:30" x14ac:dyDescent="0.25">
      <c r="AD11043"/>
    </row>
    <row r="11044" spans="30:30" x14ac:dyDescent="0.25">
      <c r="AD11044"/>
    </row>
    <row r="11045" spans="30:30" x14ac:dyDescent="0.25">
      <c r="AD11045"/>
    </row>
    <row r="11046" spans="30:30" x14ac:dyDescent="0.25">
      <c r="AD11046"/>
    </row>
    <row r="11047" spans="30:30" x14ac:dyDescent="0.25">
      <c r="AD11047"/>
    </row>
    <row r="11048" spans="30:30" x14ac:dyDescent="0.25">
      <c r="AD11048"/>
    </row>
    <row r="11049" spans="30:30" x14ac:dyDescent="0.25">
      <c r="AD11049"/>
    </row>
    <row r="11050" spans="30:30" x14ac:dyDescent="0.25">
      <c r="AD11050"/>
    </row>
    <row r="11051" spans="30:30" x14ac:dyDescent="0.25">
      <c r="AD11051"/>
    </row>
    <row r="11052" spans="30:30" x14ac:dyDescent="0.25">
      <c r="AD11052"/>
    </row>
    <row r="11053" spans="30:30" x14ac:dyDescent="0.25">
      <c r="AD11053"/>
    </row>
    <row r="11054" spans="30:30" x14ac:dyDescent="0.25">
      <c r="AD11054"/>
    </row>
    <row r="11055" spans="30:30" x14ac:dyDescent="0.25">
      <c r="AD11055"/>
    </row>
    <row r="11056" spans="30:30" x14ac:dyDescent="0.25">
      <c r="AD11056"/>
    </row>
    <row r="11057" spans="30:30" x14ac:dyDescent="0.25">
      <c r="AD11057"/>
    </row>
    <row r="11058" spans="30:30" x14ac:dyDescent="0.25">
      <c r="AD11058"/>
    </row>
    <row r="11059" spans="30:30" x14ac:dyDescent="0.25">
      <c r="AD11059"/>
    </row>
    <row r="11060" spans="30:30" x14ac:dyDescent="0.25">
      <c r="AD11060"/>
    </row>
    <row r="11061" spans="30:30" x14ac:dyDescent="0.25">
      <c r="AD11061"/>
    </row>
    <row r="11062" spans="30:30" x14ac:dyDescent="0.25">
      <c r="AD11062"/>
    </row>
    <row r="11063" spans="30:30" x14ac:dyDescent="0.25">
      <c r="AD11063"/>
    </row>
    <row r="11064" spans="30:30" x14ac:dyDescent="0.25">
      <c r="AD11064"/>
    </row>
    <row r="11065" spans="30:30" x14ac:dyDescent="0.25">
      <c r="AD11065"/>
    </row>
    <row r="11066" spans="30:30" x14ac:dyDescent="0.25">
      <c r="AD11066"/>
    </row>
    <row r="11067" spans="30:30" x14ac:dyDescent="0.25">
      <c r="AD11067"/>
    </row>
    <row r="11068" spans="30:30" x14ac:dyDescent="0.25">
      <c r="AD11068"/>
    </row>
    <row r="11069" spans="30:30" x14ac:dyDescent="0.25">
      <c r="AD11069"/>
    </row>
    <row r="11070" spans="30:30" x14ac:dyDescent="0.25">
      <c r="AD11070"/>
    </row>
    <row r="11071" spans="30:30" x14ac:dyDescent="0.25">
      <c r="AD11071"/>
    </row>
    <row r="11072" spans="30:30" x14ac:dyDescent="0.25">
      <c r="AD11072"/>
    </row>
    <row r="11073" spans="30:30" x14ac:dyDescent="0.25">
      <c r="AD11073"/>
    </row>
    <row r="11074" spans="30:30" x14ac:dyDescent="0.25">
      <c r="AD11074"/>
    </row>
    <row r="11075" spans="30:30" x14ac:dyDescent="0.25">
      <c r="AD11075"/>
    </row>
    <row r="11076" spans="30:30" x14ac:dyDescent="0.25">
      <c r="AD11076"/>
    </row>
    <row r="11077" spans="30:30" x14ac:dyDescent="0.25">
      <c r="AD11077"/>
    </row>
    <row r="11078" spans="30:30" x14ac:dyDescent="0.25">
      <c r="AD11078"/>
    </row>
    <row r="11079" spans="30:30" x14ac:dyDescent="0.25">
      <c r="AD11079"/>
    </row>
    <row r="11080" spans="30:30" x14ac:dyDescent="0.25">
      <c r="AD11080"/>
    </row>
    <row r="11081" spans="30:30" x14ac:dyDescent="0.25">
      <c r="AD11081"/>
    </row>
    <row r="11082" spans="30:30" x14ac:dyDescent="0.25">
      <c r="AD11082"/>
    </row>
    <row r="11083" spans="30:30" x14ac:dyDescent="0.25">
      <c r="AD11083"/>
    </row>
    <row r="11084" spans="30:30" x14ac:dyDescent="0.25">
      <c r="AD11084"/>
    </row>
    <row r="11085" spans="30:30" x14ac:dyDescent="0.25">
      <c r="AD11085"/>
    </row>
    <row r="11086" spans="30:30" x14ac:dyDescent="0.25">
      <c r="AD11086"/>
    </row>
    <row r="11087" spans="30:30" x14ac:dyDescent="0.25">
      <c r="AD11087"/>
    </row>
    <row r="11088" spans="30:30" x14ac:dyDescent="0.25">
      <c r="AD11088"/>
    </row>
    <row r="11089" spans="30:30" x14ac:dyDescent="0.25">
      <c r="AD11089"/>
    </row>
    <row r="11090" spans="30:30" x14ac:dyDescent="0.25">
      <c r="AD11090"/>
    </row>
    <row r="11091" spans="30:30" x14ac:dyDescent="0.25">
      <c r="AD11091"/>
    </row>
    <row r="11092" spans="30:30" x14ac:dyDescent="0.25">
      <c r="AD11092"/>
    </row>
    <row r="11093" spans="30:30" x14ac:dyDescent="0.25">
      <c r="AD11093"/>
    </row>
    <row r="11094" spans="30:30" x14ac:dyDescent="0.25">
      <c r="AD11094"/>
    </row>
    <row r="11095" spans="30:30" x14ac:dyDescent="0.25">
      <c r="AD11095"/>
    </row>
    <row r="11096" spans="30:30" x14ac:dyDescent="0.25">
      <c r="AD11096"/>
    </row>
    <row r="11097" spans="30:30" x14ac:dyDescent="0.25">
      <c r="AD11097"/>
    </row>
    <row r="11098" spans="30:30" x14ac:dyDescent="0.25">
      <c r="AD11098"/>
    </row>
    <row r="11099" spans="30:30" x14ac:dyDescent="0.25">
      <c r="AD11099"/>
    </row>
    <row r="11100" spans="30:30" x14ac:dyDescent="0.25">
      <c r="AD11100"/>
    </row>
    <row r="11101" spans="30:30" x14ac:dyDescent="0.25">
      <c r="AD11101"/>
    </row>
    <row r="11102" spans="30:30" x14ac:dyDescent="0.25">
      <c r="AD11102"/>
    </row>
    <row r="11103" spans="30:30" x14ac:dyDescent="0.25">
      <c r="AD11103"/>
    </row>
    <row r="11104" spans="30:30" x14ac:dyDescent="0.25">
      <c r="AD11104"/>
    </row>
    <row r="11105" spans="30:30" x14ac:dyDescent="0.25">
      <c r="AD11105"/>
    </row>
    <row r="11106" spans="30:30" x14ac:dyDescent="0.25">
      <c r="AD11106"/>
    </row>
    <row r="11107" spans="30:30" x14ac:dyDescent="0.25">
      <c r="AD11107"/>
    </row>
    <row r="11108" spans="30:30" x14ac:dyDescent="0.25">
      <c r="AD11108"/>
    </row>
    <row r="11109" spans="30:30" x14ac:dyDescent="0.25">
      <c r="AD11109"/>
    </row>
    <row r="11110" spans="30:30" x14ac:dyDescent="0.25">
      <c r="AD11110"/>
    </row>
    <row r="11111" spans="30:30" x14ac:dyDescent="0.25">
      <c r="AD11111"/>
    </row>
    <row r="11112" spans="30:30" x14ac:dyDescent="0.25">
      <c r="AD11112"/>
    </row>
    <row r="11113" spans="30:30" x14ac:dyDescent="0.25">
      <c r="AD11113"/>
    </row>
    <row r="11114" spans="30:30" x14ac:dyDescent="0.25">
      <c r="AD11114"/>
    </row>
    <row r="11115" spans="30:30" x14ac:dyDescent="0.25">
      <c r="AD11115"/>
    </row>
    <row r="11116" spans="30:30" x14ac:dyDescent="0.25">
      <c r="AD11116"/>
    </row>
    <row r="11117" spans="30:30" x14ac:dyDescent="0.25">
      <c r="AD11117"/>
    </row>
    <row r="11118" spans="30:30" x14ac:dyDescent="0.25">
      <c r="AD11118"/>
    </row>
    <row r="11119" spans="30:30" x14ac:dyDescent="0.25">
      <c r="AD11119"/>
    </row>
    <row r="11120" spans="30:30" x14ac:dyDescent="0.25">
      <c r="AD11120"/>
    </row>
    <row r="11121" spans="30:30" x14ac:dyDescent="0.25">
      <c r="AD11121"/>
    </row>
    <row r="11122" spans="30:30" x14ac:dyDescent="0.25">
      <c r="AD11122"/>
    </row>
    <row r="11123" spans="30:30" x14ac:dyDescent="0.25">
      <c r="AD11123"/>
    </row>
    <row r="11124" spans="30:30" x14ac:dyDescent="0.25">
      <c r="AD11124"/>
    </row>
    <row r="11125" spans="30:30" x14ac:dyDescent="0.25">
      <c r="AD11125"/>
    </row>
    <row r="11126" spans="30:30" x14ac:dyDescent="0.25">
      <c r="AD11126"/>
    </row>
    <row r="11127" spans="30:30" x14ac:dyDescent="0.25">
      <c r="AD11127"/>
    </row>
    <row r="11128" spans="30:30" x14ac:dyDescent="0.25">
      <c r="AD11128"/>
    </row>
    <row r="11129" spans="30:30" x14ac:dyDescent="0.25">
      <c r="AD11129"/>
    </row>
    <row r="11130" spans="30:30" x14ac:dyDescent="0.25">
      <c r="AD11130"/>
    </row>
    <row r="11131" spans="30:30" x14ac:dyDescent="0.25">
      <c r="AD11131"/>
    </row>
    <row r="11132" spans="30:30" x14ac:dyDescent="0.25">
      <c r="AD11132"/>
    </row>
    <row r="11133" spans="30:30" x14ac:dyDescent="0.25">
      <c r="AD11133"/>
    </row>
    <row r="11134" spans="30:30" x14ac:dyDescent="0.25">
      <c r="AD11134"/>
    </row>
    <row r="11135" spans="30:30" x14ac:dyDescent="0.25">
      <c r="AD11135"/>
    </row>
    <row r="11136" spans="30:30" x14ac:dyDescent="0.25">
      <c r="AD11136"/>
    </row>
    <row r="11137" spans="30:30" x14ac:dyDescent="0.25">
      <c r="AD11137"/>
    </row>
    <row r="11138" spans="30:30" x14ac:dyDescent="0.25">
      <c r="AD11138"/>
    </row>
    <row r="11139" spans="30:30" x14ac:dyDescent="0.25">
      <c r="AD11139"/>
    </row>
    <row r="11140" spans="30:30" x14ac:dyDescent="0.25">
      <c r="AD11140"/>
    </row>
    <row r="11141" spans="30:30" x14ac:dyDescent="0.25">
      <c r="AD11141"/>
    </row>
    <row r="11142" spans="30:30" x14ac:dyDescent="0.25">
      <c r="AD11142"/>
    </row>
    <row r="11143" spans="30:30" x14ac:dyDescent="0.25">
      <c r="AD11143"/>
    </row>
    <row r="11144" spans="30:30" x14ac:dyDescent="0.25">
      <c r="AD11144"/>
    </row>
    <row r="11145" spans="30:30" x14ac:dyDescent="0.25">
      <c r="AD11145"/>
    </row>
    <row r="11146" spans="30:30" x14ac:dyDescent="0.25">
      <c r="AD11146"/>
    </row>
    <row r="11147" spans="30:30" x14ac:dyDescent="0.25">
      <c r="AD11147"/>
    </row>
    <row r="11148" spans="30:30" x14ac:dyDescent="0.25">
      <c r="AD11148"/>
    </row>
    <row r="11149" spans="30:30" x14ac:dyDescent="0.25">
      <c r="AD11149"/>
    </row>
    <row r="11150" spans="30:30" x14ac:dyDescent="0.25">
      <c r="AD11150"/>
    </row>
    <row r="11151" spans="30:30" x14ac:dyDescent="0.25">
      <c r="AD11151"/>
    </row>
    <row r="11152" spans="30:30" x14ac:dyDescent="0.25">
      <c r="AD11152"/>
    </row>
    <row r="11153" spans="30:30" x14ac:dyDescent="0.25">
      <c r="AD11153"/>
    </row>
    <row r="11154" spans="30:30" x14ac:dyDescent="0.25">
      <c r="AD11154"/>
    </row>
    <row r="11155" spans="30:30" x14ac:dyDescent="0.25">
      <c r="AD11155"/>
    </row>
    <row r="11156" spans="30:30" x14ac:dyDescent="0.25">
      <c r="AD11156"/>
    </row>
    <row r="11157" spans="30:30" x14ac:dyDescent="0.25">
      <c r="AD11157"/>
    </row>
    <row r="11158" spans="30:30" x14ac:dyDescent="0.25">
      <c r="AD11158"/>
    </row>
    <row r="11159" spans="30:30" x14ac:dyDescent="0.25">
      <c r="AD11159"/>
    </row>
    <row r="11160" spans="30:30" x14ac:dyDescent="0.25">
      <c r="AD11160"/>
    </row>
    <row r="11161" spans="30:30" x14ac:dyDescent="0.25">
      <c r="AD11161"/>
    </row>
    <row r="11162" spans="30:30" x14ac:dyDescent="0.25">
      <c r="AD11162"/>
    </row>
    <row r="11163" spans="30:30" x14ac:dyDescent="0.25">
      <c r="AD11163"/>
    </row>
    <row r="11164" spans="30:30" x14ac:dyDescent="0.25">
      <c r="AD11164"/>
    </row>
    <row r="11165" spans="30:30" x14ac:dyDescent="0.25">
      <c r="AD11165"/>
    </row>
    <row r="11166" spans="30:30" x14ac:dyDescent="0.25">
      <c r="AD11166"/>
    </row>
    <row r="11167" spans="30:30" x14ac:dyDescent="0.25">
      <c r="AD11167"/>
    </row>
    <row r="11168" spans="30:30" x14ac:dyDescent="0.25">
      <c r="AD11168"/>
    </row>
    <row r="11169" spans="30:30" x14ac:dyDescent="0.25">
      <c r="AD11169"/>
    </row>
    <row r="11170" spans="30:30" x14ac:dyDescent="0.25">
      <c r="AD11170"/>
    </row>
    <row r="11171" spans="30:30" x14ac:dyDescent="0.25">
      <c r="AD11171"/>
    </row>
    <row r="11172" spans="30:30" x14ac:dyDescent="0.25">
      <c r="AD11172"/>
    </row>
    <row r="11173" spans="30:30" x14ac:dyDescent="0.25">
      <c r="AD11173"/>
    </row>
    <row r="11174" spans="30:30" x14ac:dyDescent="0.25">
      <c r="AD11174"/>
    </row>
    <row r="11175" spans="30:30" x14ac:dyDescent="0.25">
      <c r="AD11175"/>
    </row>
    <row r="11176" spans="30:30" x14ac:dyDescent="0.25">
      <c r="AD11176"/>
    </row>
    <row r="11177" spans="30:30" x14ac:dyDescent="0.25">
      <c r="AD11177"/>
    </row>
    <row r="11178" spans="30:30" x14ac:dyDescent="0.25">
      <c r="AD11178"/>
    </row>
    <row r="11179" spans="30:30" x14ac:dyDescent="0.25">
      <c r="AD11179"/>
    </row>
    <row r="11180" spans="30:30" x14ac:dyDescent="0.25">
      <c r="AD11180"/>
    </row>
    <row r="11181" spans="30:30" x14ac:dyDescent="0.25">
      <c r="AD11181"/>
    </row>
    <row r="11182" spans="30:30" x14ac:dyDescent="0.25">
      <c r="AD11182"/>
    </row>
    <row r="11183" spans="30:30" x14ac:dyDescent="0.25">
      <c r="AD11183"/>
    </row>
    <row r="11184" spans="30:30" x14ac:dyDescent="0.25">
      <c r="AD11184"/>
    </row>
    <row r="11185" spans="30:30" x14ac:dyDescent="0.25">
      <c r="AD11185"/>
    </row>
    <row r="11186" spans="30:30" x14ac:dyDescent="0.25">
      <c r="AD11186"/>
    </row>
    <row r="11187" spans="30:30" x14ac:dyDescent="0.25">
      <c r="AD11187"/>
    </row>
    <row r="11188" spans="30:30" x14ac:dyDescent="0.25">
      <c r="AD11188"/>
    </row>
    <row r="11189" spans="30:30" x14ac:dyDescent="0.25">
      <c r="AD11189"/>
    </row>
    <row r="11190" spans="30:30" x14ac:dyDescent="0.25">
      <c r="AD11190"/>
    </row>
    <row r="11191" spans="30:30" x14ac:dyDescent="0.25">
      <c r="AD11191"/>
    </row>
    <row r="11192" spans="30:30" x14ac:dyDescent="0.25">
      <c r="AD11192"/>
    </row>
    <row r="11193" spans="30:30" x14ac:dyDescent="0.25">
      <c r="AD11193"/>
    </row>
    <row r="11194" spans="30:30" x14ac:dyDescent="0.25">
      <c r="AD11194"/>
    </row>
    <row r="11195" spans="30:30" x14ac:dyDescent="0.25">
      <c r="AD11195"/>
    </row>
    <row r="11196" spans="30:30" x14ac:dyDescent="0.25">
      <c r="AD11196"/>
    </row>
    <row r="11197" spans="30:30" x14ac:dyDescent="0.25">
      <c r="AD11197"/>
    </row>
    <row r="11198" spans="30:30" x14ac:dyDescent="0.25">
      <c r="AD11198"/>
    </row>
    <row r="11199" spans="30:30" x14ac:dyDescent="0.25">
      <c r="AD11199"/>
    </row>
    <row r="11200" spans="30:30" x14ac:dyDescent="0.25">
      <c r="AD11200"/>
    </row>
    <row r="11201" spans="30:30" x14ac:dyDescent="0.25">
      <c r="AD11201"/>
    </row>
    <row r="11202" spans="30:30" x14ac:dyDescent="0.25">
      <c r="AD11202"/>
    </row>
    <row r="11203" spans="30:30" x14ac:dyDescent="0.25">
      <c r="AD11203"/>
    </row>
    <row r="11204" spans="30:30" x14ac:dyDescent="0.25">
      <c r="AD11204"/>
    </row>
    <row r="11205" spans="30:30" x14ac:dyDescent="0.25">
      <c r="AD11205"/>
    </row>
    <row r="11206" spans="30:30" x14ac:dyDescent="0.25">
      <c r="AD11206"/>
    </row>
    <row r="11207" spans="30:30" x14ac:dyDescent="0.25">
      <c r="AD11207"/>
    </row>
    <row r="11208" spans="30:30" x14ac:dyDescent="0.25">
      <c r="AD11208"/>
    </row>
    <row r="11209" spans="30:30" x14ac:dyDescent="0.25">
      <c r="AD11209"/>
    </row>
    <row r="11210" spans="30:30" x14ac:dyDescent="0.25">
      <c r="AD11210"/>
    </row>
    <row r="11211" spans="30:30" x14ac:dyDescent="0.25">
      <c r="AD11211"/>
    </row>
    <row r="11212" spans="30:30" x14ac:dyDescent="0.25">
      <c r="AD11212"/>
    </row>
    <row r="11213" spans="30:30" x14ac:dyDescent="0.25">
      <c r="AD11213"/>
    </row>
    <row r="11214" spans="30:30" x14ac:dyDescent="0.25">
      <c r="AD11214"/>
    </row>
    <row r="11215" spans="30:30" x14ac:dyDescent="0.25">
      <c r="AD11215"/>
    </row>
    <row r="11216" spans="30:30" x14ac:dyDescent="0.25">
      <c r="AD11216"/>
    </row>
    <row r="11217" spans="30:30" x14ac:dyDescent="0.25">
      <c r="AD11217"/>
    </row>
    <row r="11218" spans="30:30" x14ac:dyDescent="0.25">
      <c r="AD11218"/>
    </row>
    <row r="11219" spans="30:30" x14ac:dyDescent="0.25">
      <c r="AD11219"/>
    </row>
    <row r="11220" spans="30:30" x14ac:dyDescent="0.25">
      <c r="AD11220"/>
    </row>
    <row r="11221" spans="30:30" x14ac:dyDescent="0.25">
      <c r="AD11221"/>
    </row>
    <row r="11222" spans="30:30" x14ac:dyDescent="0.25">
      <c r="AD11222"/>
    </row>
    <row r="11223" spans="30:30" x14ac:dyDescent="0.25">
      <c r="AD11223"/>
    </row>
    <row r="11224" spans="30:30" x14ac:dyDescent="0.25">
      <c r="AD11224"/>
    </row>
    <row r="11225" spans="30:30" x14ac:dyDescent="0.25">
      <c r="AD11225"/>
    </row>
    <row r="11226" spans="30:30" x14ac:dyDescent="0.25">
      <c r="AD11226"/>
    </row>
    <row r="11227" spans="30:30" x14ac:dyDescent="0.25">
      <c r="AD11227"/>
    </row>
    <row r="11228" spans="30:30" x14ac:dyDescent="0.25">
      <c r="AD11228"/>
    </row>
    <row r="11229" spans="30:30" x14ac:dyDescent="0.25">
      <c r="AD11229"/>
    </row>
    <row r="11230" spans="30:30" x14ac:dyDescent="0.25">
      <c r="AD11230"/>
    </row>
    <row r="11231" spans="30:30" x14ac:dyDescent="0.25">
      <c r="AD11231"/>
    </row>
    <row r="11232" spans="30:30" x14ac:dyDescent="0.25">
      <c r="AD11232"/>
    </row>
    <row r="11233" spans="30:30" x14ac:dyDescent="0.25">
      <c r="AD11233"/>
    </row>
    <row r="11234" spans="30:30" x14ac:dyDescent="0.25">
      <c r="AD11234"/>
    </row>
    <row r="11235" spans="30:30" x14ac:dyDescent="0.25">
      <c r="AD11235"/>
    </row>
    <row r="11236" spans="30:30" x14ac:dyDescent="0.25">
      <c r="AD11236"/>
    </row>
    <row r="11237" spans="30:30" x14ac:dyDescent="0.25">
      <c r="AD11237"/>
    </row>
    <row r="11238" spans="30:30" x14ac:dyDescent="0.25">
      <c r="AD11238"/>
    </row>
    <row r="11239" spans="30:30" x14ac:dyDescent="0.25">
      <c r="AD11239"/>
    </row>
    <row r="11240" spans="30:30" x14ac:dyDescent="0.25">
      <c r="AD11240"/>
    </row>
    <row r="11241" spans="30:30" x14ac:dyDescent="0.25">
      <c r="AD11241"/>
    </row>
    <row r="11242" spans="30:30" x14ac:dyDescent="0.25">
      <c r="AD11242"/>
    </row>
    <row r="11243" spans="30:30" x14ac:dyDescent="0.25">
      <c r="AD11243"/>
    </row>
    <row r="11244" spans="30:30" x14ac:dyDescent="0.25">
      <c r="AD11244"/>
    </row>
    <row r="11245" spans="30:30" x14ac:dyDescent="0.25">
      <c r="AD11245"/>
    </row>
    <row r="11246" spans="30:30" x14ac:dyDescent="0.25">
      <c r="AD11246"/>
    </row>
    <row r="11247" spans="30:30" x14ac:dyDescent="0.25">
      <c r="AD11247"/>
    </row>
    <row r="11248" spans="30:30" x14ac:dyDescent="0.25">
      <c r="AD11248"/>
    </row>
    <row r="11249" spans="30:30" x14ac:dyDescent="0.25">
      <c r="AD11249"/>
    </row>
    <row r="11250" spans="30:30" x14ac:dyDescent="0.25">
      <c r="AD11250"/>
    </row>
    <row r="11251" spans="30:30" x14ac:dyDescent="0.25">
      <c r="AD11251"/>
    </row>
    <row r="11252" spans="30:30" x14ac:dyDescent="0.25">
      <c r="AD11252"/>
    </row>
    <row r="11253" spans="30:30" x14ac:dyDescent="0.25">
      <c r="AD11253"/>
    </row>
    <row r="11254" spans="30:30" x14ac:dyDescent="0.25">
      <c r="AD11254"/>
    </row>
    <row r="11255" spans="30:30" x14ac:dyDescent="0.25">
      <c r="AD11255"/>
    </row>
    <row r="11256" spans="30:30" x14ac:dyDescent="0.25">
      <c r="AD11256"/>
    </row>
    <row r="11257" spans="30:30" x14ac:dyDescent="0.25">
      <c r="AD11257"/>
    </row>
    <row r="11258" spans="30:30" x14ac:dyDescent="0.25">
      <c r="AD11258"/>
    </row>
    <row r="11259" spans="30:30" x14ac:dyDescent="0.25">
      <c r="AD11259"/>
    </row>
    <row r="11260" spans="30:30" x14ac:dyDescent="0.25">
      <c r="AD11260"/>
    </row>
    <row r="11261" spans="30:30" x14ac:dyDescent="0.25">
      <c r="AD11261"/>
    </row>
    <row r="11262" spans="30:30" x14ac:dyDescent="0.25">
      <c r="AD11262"/>
    </row>
    <row r="11263" spans="30:30" x14ac:dyDescent="0.25">
      <c r="AD11263"/>
    </row>
    <row r="11264" spans="30:30" x14ac:dyDescent="0.25">
      <c r="AD11264"/>
    </row>
    <row r="11265" spans="30:30" x14ac:dyDescent="0.25">
      <c r="AD11265"/>
    </row>
    <row r="11266" spans="30:30" x14ac:dyDescent="0.25">
      <c r="AD11266"/>
    </row>
    <row r="11267" spans="30:30" x14ac:dyDescent="0.25">
      <c r="AD11267"/>
    </row>
    <row r="11268" spans="30:30" x14ac:dyDescent="0.25">
      <c r="AD11268"/>
    </row>
    <row r="11269" spans="30:30" x14ac:dyDescent="0.25">
      <c r="AD11269"/>
    </row>
    <row r="11270" spans="30:30" x14ac:dyDescent="0.25">
      <c r="AD11270"/>
    </row>
    <row r="11271" spans="30:30" x14ac:dyDescent="0.25">
      <c r="AD11271"/>
    </row>
    <row r="11272" spans="30:30" x14ac:dyDescent="0.25">
      <c r="AD11272"/>
    </row>
    <row r="11273" spans="30:30" x14ac:dyDescent="0.25">
      <c r="AD11273"/>
    </row>
    <row r="11274" spans="30:30" x14ac:dyDescent="0.25">
      <c r="AD11274"/>
    </row>
    <row r="11275" spans="30:30" x14ac:dyDescent="0.25">
      <c r="AD11275"/>
    </row>
    <row r="11276" spans="30:30" x14ac:dyDescent="0.25">
      <c r="AD11276"/>
    </row>
    <row r="11277" spans="30:30" x14ac:dyDescent="0.25">
      <c r="AD11277"/>
    </row>
    <row r="11278" spans="30:30" x14ac:dyDescent="0.25">
      <c r="AD11278"/>
    </row>
    <row r="11279" spans="30:30" x14ac:dyDescent="0.25">
      <c r="AD11279"/>
    </row>
    <row r="11280" spans="30:30" x14ac:dyDescent="0.25">
      <c r="AD11280"/>
    </row>
    <row r="11281" spans="30:30" x14ac:dyDescent="0.25">
      <c r="AD11281"/>
    </row>
    <row r="11282" spans="30:30" x14ac:dyDescent="0.25">
      <c r="AD11282"/>
    </row>
    <row r="11283" spans="30:30" x14ac:dyDescent="0.25">
      <c r="AD11283"/>
    </row>
    <row r="11284" spans="30:30" x14ac:dyDescent="0.25">
      <c r="AD11284"/>
    </row>
    <row r="11285" spans="30:30" x14ac:dyDescent="0.25">
      <c r="AD11285"/>
    </row>
    <row r="11286" spans="30:30" x14ac:dyDescent="0.25">
      <c r="AD11286"/>
    </row>
    <row r="11287" spans="30:30" x14ac:dyDescent="0.25">
      <c r="AD11287"/>
    </row>
    <row r="11288" spans="30:30" x14ac:dyDescent="0.25">
      <c r="AD11288"/>
    </row>
    <row r="11289" spans="30:30" x14ac:dyDescent="0.25">
      <c r="AD11289"/>
    </row>
    <row r="11290" spans="30:30" x14ac:dyDescent="0.25">
      <c r="AD11290"/>
    </row>
    <row r="11291" spans="30:30" x14ac:dyDescent="0.25">
      <c r="AD11291"/>
    </row>
    <row r="11292" spans="30:30" x14ac:dyDescent="0.25">
      <c r="AD11292"/>
    </row>
    <row r="11293" spans="30:30" x14ac:dyDescent="0.25">
      <c r="AD11293"/>
    </row>
    <row r="11294" spans="30:30" x14ac:dyDescent="0.25">
      <c r="AD11294"/>
    </row>
    <row r="11295" spans="30:30" x14ac:dyDescent="0.25">
      <c r="AD11295"/>
    </row>
    <row r="11296" spans="30:30" x14ac:dyDescent="0.25">
      <c r="AD11296"/>
    </row>
    <row r="11297" spans="30:30" x14ac:dyDescent="0.25">
      <c r="AD11297"/>
    </row>
    <row r="11298" spans="30:30" x14ac:dyDescent="0.25">
      <c r="AD11298"/>
    </row>
    <row r="11299" spans="30:30" x14ac:dyDescent="0.25">
      <c r="AD11299"/>
    </row>
    <row r="11300" spans="30:30" x14ac:dyDescent="0.25">
      <c r="AD11300"/>
    </row>
    <row r="11301" spans="30:30" x14ac:dyDescent="0.25">
      <c r="AD11301"/>
    </row>
    <row r="11302" spans="30:30" x14ac:dyDescent="0.25">
      <c r="AD11302"/>
    </row>
    <row r="11303" spans="30:30" x14ac:dyDescent="0.25">
      <c r="AD11303"/>
    </row>
    <row r="11304" spans="30:30" x14ac:dyDescent="0.25">
      <c r="AD11304"/>
    </row>
    <row r="11305" spans="30:30" x14ac:dyDescent="0.25">
      <c r="AD11305"/>
    </row>
    <row r="11306" spans="30:30" x14ac:dyDescent="0.25">
      <c r="AD11306"/>
    </row>
    <row r="11307" spans="30:30" x14ac:dyDescent="0.25">
      <c r="AD11307"/>
    </row>
    <row r="11308" spans="30:30" x14ac:dyDescent="0.25">
      <c r="AD11308"/>
    </row>
    <row r="11309" spans="30:30" x14ac:dyDescent="0.25">
      <c r="AD11309"/>
    </row>
    <row r="11310" spans="30:30" x14ac:dyDescent="0.25">
      <c r="AD11310"/>
    </row>
    <row r="11311" spans="30:30" x14ac:dyDescent="0.25">
      <c r="AD11311"/>
    </row>
    <row r="11312" spans="30:30" x14ac:dyDescent="0.25">
      <c r="AD11312"/>
    </row>
    <row r="11313" spans="30:30" x14ac:dyDescent="0.25">
      <c r="AD11313"/>
    </row>
    <row r="11314" spans="30:30" x14ac:dyDescent="0.25">
      <c r="AD11314"/>
    </row>
    <row r="11315" spans="30:30" x14ac:dyDescent="0.25">
      <c r="AD11315"/>
    </row>
    <row r="11316" spans="30:30" x14ac:dyDescent="0.25">
      <c r="AD11316"/>
    </row>
    <row r="11317" spans="30:30" x14ac:dyDescent="0.25">
      <c r="AD11317"/>
    </row>
    <row r="11318" spans="30:30" x14ac:dyDescent="0.25">
      <c r="AD11318"/>
    </row>
    <row r="11319" spans="30:30" x14ac:dyDescent="0.25">
      <c r="AD11319"/>
    </row>
    <row r="11320" spans="30:30" x14ac:dyDescent="0.25">
      <c r="AD11320"/>
    </row>
    <row r="11321" spans="30:30" x14ac:dyDescent="0.25">
      <c r="AD11321"/>
    </row>
    <row r="11322" spans="30:30" x14ac:dyDescent="0.25">
      <c r="AD11322"/>
    </row>
    <row r="11323" spans="30:30" x14ac:dyDescent="0.25">
      <c r="AD11323"/>
    </row>
    <row r="11324" spans="30:30" x14ac:dyDescent="0.25">
      <c r="AD11324"/>
    </row>
    <row r="11325" spans="30:30" x14ac:dyDescent="0.25">
      <c r="AD11325"/>
    </row>
    <row r="11326" spans="30:30" x14ac:dyDescent="0.25">
      <c r="AD11326"/>
    </row>
    <row r="11327" spans="30:30" x14ac:dyDescent="0.25">
      <c r="AD11327"/>
    </row>
    <row r="11328" spans="30:30" x14ac:dyDescent="0.25">
      <c r="AD11328"/>
    </row>
    <row r="11329" spans="30:30" x14ac:dyDescent="0.25">
      <c r="AD11329"/>
    </row>
    <row r="11330" spans="30:30" x14ac:dyDescent="0.25">
      <c r="AD11330"/>
    </row>
    <row r="11331" spans="30:30" x14ac:dyDescent="0.25">
      <c r="AD11331"/>
    </row>
    <row r="11332" spans="30:30" x14ac:dyDescent="0.25">
      <c r="AD11332"/>
    </row>
    <row r="11333" spans="30:30" x14ac:dyDescent="0.25">
      <c r="AD11333"/>
    </row>
    <row r="11334" spans="30:30" x14ac:dyDescent="0.25">
      <c r="AD11334"/>
    </row>
    <row r="11335" spans="30:30" x14ac:dyDescent="0.25">
      <c r="AD11335"/>
    </row>
    <row r="11336" spans="30:30" x14ac:dyDescent="0.25">
      <c r="AD11336"/>
    </row>
    <row r="11337" spans="30:30" x14ac:dyDescent="0.25">
      <c r="AD11337"/>
    </row>
    <row r="11338" spans="30:30" x14ac:dyDescent="0.25">
      <c r="AD11338"/>
    </row>
    <row r="11339" spans="30:30" x14ac:dyDescent="0.25">
      <c r="AD11339"/>
    </row>
    <row r="11340" spans="30:30" x14ac:dyDescent="0.25">
      <c r="AD11340"/>
    </row>
    <row r="11341" spans="30:30" x14ac:dyDescent="0.25">
      <c r="AD11341"/>
    </row>
    <row r="11342" spans="30:30" x14ac:dyDescent="0.25">
      <c r="AD11342"/>
    </row>
    <row r="11343" spans="30:30" x14ac:dyDescent="0.25">
      <c r="AD11343"/>
    </row>
    <row r="11344" spans="30:30" x14ac:dyDescent="0.25">
      <c r="AD11344"/>
    </row>
    <row r="11345" spans="30:30" x14ac:dyDescent="0.25">
      <c r="AD11345"/>
    </row>
    <row r="11346" spans="30:30" x14ac:dyDescent="0.25">
      <c r="AD11346"/>
    </row>
    <row r="11347" spans="30:30" x14ac:dyDescent="0.25">
      <c r="AD11347"/>
    </row>
    <row r="11348" spans="30:30" x14ac:dyDescent="0.25">
      <c r="AD11348"/>
    </row>
    <row r="11349" spans="30:30" x14ac:dyDescent="0.25">
      <c r="AD11349"/>
    </row>
    <row r="11350" spans="30:30" x14ac:dyDescent="0.25">
      <c r="AD11350"/>
    </row>
    <row r="11351" spans="30:30" x14ac:dyDescent="0.25">
      <c r="AD11351"/>
    </row>
    <row r="11352" spans="30:30" x14ac:dyDescent="0.25">
      <c r="AD11352"/>
    </row>
    <row r="11353" spans="30:30" x14ac:dyDescent="0.25">
      <c r="AD11353"/>
    </row>
    <row r="11354" spans="30:30" x14ac:dyDescent="0.25">
      <c r="AD11354"/>
    </row>
    <row r="11355" spans="30:30" x14ac:dyDescent="0.25">
      <c r="AD11355"/>
    </row>
    <row r="11356" spans="30:30" x14ac:dyDescent="0.25">
      <c r="AD11356"/>
    </row>
    <row r="11357" spans="30:30" x14ac:dyDescent="0.25">
      <c r="AD11357"/>
    </row>
    <row r="11358" spans="30:30" x14ac:dyDescent="0.25">
      <c r="AD11358"/>
    </row>
    <row r="11359" spans="30:30" x14ac:dyDescent="0.25">
      <c r="AD11359"/>
    </row>
    <row r="11360" spans="30:30" x14ac:dyDescent="0.25">
      <c r="AD11360"/>
    </row>
    <row r="11361" spans="30:30" x14ac:dyDescent="0.25">
      <c r="AD11361"/>
    </row>
    <row r="11362" spans="30:30" x14ac:dyDescent="0.25">
      <c r="AD11362"/>
    </row>
    <row r="11363" spans="30:30" x14ac:dyDescent="0.25">
      <c r="AD11363"/>
    </row>
    <row r="11364" spans="30:30" x14ac:dyDescent="0.25">
      <c r="AD11364"/>
    </row>
    <row r="11365" spans="30:30" x14ac:dyDescent="0.25">
      <c r="AD11365"/>
    </row>
    <row r="11366" spans="30:30" x14ac:dyDescent="0.25">
      <c r="AD11366"/>
    </row>
    <row r="11367" spans="30:30" x14ac:dyDescent="0.25">
      <c r="AD11367"/>
    </row>
    <row r="11368" spans="30:30" x14ac:dyDescent="0.25">
      <c r="AD11368"/>
    </row>
    <row r="11369" spans="30:30" x14ac:dyDescent="0.25">
      <c r="AD11369"/>
    </row>
    <row r="11370" spans="30:30" x14ac:dyDescent="0.25">
      <c r="AD11370"/>
    </row>
    <row r="11371" spans="30:30" x14ac:dyDescent="0.25">
      <c r="AD11371"/>
    </row>
    <row r="11372" spans="30:30" x14ac:dyDescent="0.25">
      <c r="AD11372"/>
    </row>
    <row r="11373" spans="30:30" x14ac:dyDescent="0.25">
      <c r="AD11373"/>
    </row>
    <row r="11374" spans="30:30" x14ac:dyDescent="0.25">
      <c r="AD11374"/>
    </row>
    <row r="11375" spans="30:30" x14ac:dyDescent="0.25">
      <c r="AD11375"/>
    </row>
    <row r="11376" spans="30:30" x14ac:dyDescent="0.25">
      <c r="AD11376"/>
    </row>
    <row r="11377" spans="30:30" x14ac:dyDescent="0.25">
      <c r="AD11377"/>
    </row>
    <row r="11378" spans="30:30" x14ac:dyDescent="0.25">
      <c r="AD11378"/>
    </row>
    <row r="11379" spans="30:30" x14ac:dyDescent="0.25">
      <c r="AD11379"/>
    </row>
    <row r="11380" spans="30:30" x14ac:dyDescent="0.25">
      <c r="AD11380"/>
    </row>
    <row r="11381" spans="30:30" x14ac:dyDescent="0.25">
      <c r="AD11381"/>
    </row>
    <row r="11382" spans="30:30" x14ac:dyDescent="0.25">
      <c r="AD11382"/>
    </row>
    <row r="11383" spans="30:30" x14ac:dyDescent="0.25">
      <c r="AD11383"/>
    </row>
    <row r="11384" spans="30:30" x14ac:dyDescent="0.25">
      <c r="AD11384"/>
    </row>
    <row r="11385" spans="30:30" x14ac:dyDescent="0.25">
      <c r="AD11385"/>
    </row>
    <row r="11386" spans="30:30" x14ac:dyDescent="0.25">
      <c r="AD11386"/>
    </row>
    <row r="11387" spans="30:30" x14ac:dyDescent="0.25">
      <c r="AD11387"/>
    </row>
    <row r="11388" spans="30:30" x14ac:dyDescent="0.25">
      <c r="AD11388"/>
    </row>
    <row r="11389" spans="30:30" x14ac:dyDescent="0.25">
      <c r="AD11389"/>
    </row>
    <row r="11390" spans="30:30" x14ac:dyDescent="0.25">
      <c r="AD11390"/>
    </row>
    <row r="11391" spans="30:30" x14ac:dyDescent="0.25">
      <c r="AD11391"/>
    </row>
    <row r="11392" spans="30:30" x14ac:dyDescent="0.25">
      <c r="AD11392"/>
    </row>
    <row r="11393" spans="30:30" x14ac:dyDescent="0.25">
      <c r="AD11393"/>
    </row>
    <row r="11394" spans="30:30" x14ac:dyDescent="0.25">
      <c r="AD11394"/>
    </row>
    <row r="11395" spans="30:30" x14ac:dyDescent="0.25">
      <c r="AD11395"/>
    </row>
    <row r="11396" spans="30:30" x14ac:dyDescent="0.25">
      <c r="AD11396"/>
    </row>
    <row r="11397" spans="30:30" x14ac:dyDescent="0.25">
      <c r="AD11397"/>
    </row>
    <row r="11398" spans="30:30" x14ac:dyDescent="0.25">
      <c r="AD11398"/>
    </row>
    <row r="11399" spans="30:30" x14ac:dyDescent="0.25">
      <c r="AD11399"/>
    </row>
    <row r="11400" spans="30:30" x14ac:dyDescent="0.25">
      <c r="AD11400"/>
    </row>
    <row r="11401" spans="30:30" x14ac:dyDescent="0.25">
      <c r="AD11401"/>
    </row>
    <row r="11402" spans="30:30" x14ac:dyDescent="0.25">
      <c r="AD11402"/>
    </row>
    <row r="11403" spans="30:30" x14ac:dyDescent="0.25">
      <c r="AD11403"/>
    </row>
    <row r="11404" spans="30:30" x14ac:dyDescent="0.25">
      <c r="AD11404"/>
    </row>
    <row r="11405" spans="30:30" x14ac:dyDescent="0.25">
      <c r="AD11405"/>
    </row>
    <row r="11406" spans="30:30" x14ac:dyDescent="0.25">
      <c r="AD11406"/>
    </row>
    <row r="11407" spans="30:30" x14ac:dyDescent="0.25">
      <c r="AD11407"/>
    </row>
    <row r="11408" spans="30:30" x14ac:dyDescent="0.25">
      <c r="AD11408"/>
    </row>
    <row r="11409" spans="30:30" x14ac:dyDescent="0.25">
      <c r="AD11409"/>
    </row>
    <row r="11410" spans="30:30" x14ac:dyDescent="0.25">
      <c r="AD11410"/>
    </row>
    <row r="11411" spans="30:30" x14ac:dyDescent="0.25">
      <c r="AD11411"/>
    </row>
    <row r="11412" spans="30:30" x14ac:dyDescent="0.25">
      <c r="AD11412"/>
    </row>
    <row r="11413" spans="30:30" x14ac:dyDescent="0.25">
      <c r="AD11413"/>
    </row>
    <row r="11414" spans="30:30" x14ac:dyDescent="0.25">
      <c r="AD11414"/>
    </row>
    <row r="11415" spans="30:30" x14ac:dyDescent="0.25">
      <c r="AD11415"/>
    </row>
    <row r="11416" spans="30:30" x14ac:dyDescent="0.25">
      <c r="AD11416"/>
    </row>
    <row r="11417" spans="30:30" x14ac:dyDescent="0.25">
      <c r="AD11417"/>
    </row>
    <row r="11418" spans="30:30" x14ac:dyDescent="0.25">
      <c r="AD11418"/>
    </row>
    <row r="11419" spans="30:30" x14ac:dyDescent="0.25">
      <c r="AD11419"/>
    </row>
    <row r="11420" spans="30:30" x14ac:dyDescent="0.25">
      <c r="AD11420"/>
    </row>
    <row r="11421" spans="30:30" x14ac:dyDescent="0.25">
      <c r="AD11421"/>
    </row>
    <row r="11422" spans="30:30" x14ac:dyDescent="0.25">
      <c r="AD11422"/>
    </row>
    <row r="11423" spans="30:30" x14ac:dyDescent="0.25">
      <c r="AD11423"/>
    </row>
    <row r="11424" spans="30:30" x14ac:dyDescent="0.25">
      <c r="AD11424"/>
    </row>
    <row r="11425" spans="30:30" x14ac:dyDescent="0.25">
      <c r="AD11425"/>
    </row>
    <row r="11426" spans="30:30" x14ac:dyDescent="0.25">
      <c r="AD11426"/>
    </row>
    <row r="11427" spans="30:30" x14ac:dyDescent="0.25">
      <c r="AD11427"/>
    </row>
    <row r="11428" spans="30:30" x14ac:dyDescent="0.25">
      <c r="AD11428"/>
    </row>
    <row r="11429" spans="30:30" x14ac:dyDescent="0.25">
      <c r="AD11429"/>
    </row>
    <row r="11430" spans="30:30" x14ac:dyDescent="0.25">
      <c r="AD11430"/>
    </row>
    <row r="11431" spans="30:30" x14ac:dyDescent="0.25">
      <c r="AD11431"/>
    </row>
    <row r="11432" spans="30:30" x14ac:dyDescent="0.25">
      <c r="AD11432"/>
    </row>
    <row r="11433" spans="30:30" x14ac:dyDescent="0.25">
      <c r="AD11433"/>
    </row>
    <row r="11434" spans="30:30" x14ac:dyDescent="0.25">
      <c r="AD11434"/>
    </row>
    <row r="11435" spans="30:30" x14ac:dyDescent="0.25">
      <c r="AD11435"/>
    </row>
    <row r="11436" spans="30:30" x14ac:dyDescent="0.25">
      <c r="AD11436"/>
    </row>
    <row r="11437" spans="30:30" x14ac:dyDescent="0.25">
      <c r="AD11437"/>
    </row>
    <row r="11438" spans="30:30" x14ac:dyDescent="0.25">
      <c r="AD11438"/>
    </row>
    <row r="11439" spans="30:30" x14ac:dyDescent="0.25">
      <c r="AD11439"/>
    </row>
    <row r="11440" spans="30:30" x14ac:dyDescent="0.25">
      <c r="AD11440"/>
    </row>
    <row r="11441" spans="30:30" x14ac:dyDescent="0.25">
      <c r="AD11441"/>
    </row>
    <row r="11442" spans="30:30" x14ac:dyDescent="0.25">
      <c r="AD11442"/>
    </row>
    <row r="11443" spans="30:30" x14ac:dyDescent="0.25">
      <c r="AD11443"/>
    </row>
    <row r="11444" spans="30:30" x14ac:dyDescent="0.25">
      <c r="AD11444"/>
    </row>
    <row r="11445" spans="30:30" x14ac:dyDescent="0.25">
      <c r="AD11445"/>
    </row>
    <row r="11446" spans="30:30" x14ac:dyDescent="0.25">
      <c r="AD11446"/>
    </row>
    <row r="11447" spans="30:30" x14ac:dyDescent="0.25">
      <c r="AD11447"/>
    </row>
    <row r="11448" spans="30:30" x14ac:dyDescent="0.25">
      <c r="AD11448"/>
    </row>
    <row r="11449" spans="30:30" x14ac:dyDescent="0.25">
      <c r="AD11449"/>
    </row>
    <row r="11450" spans="30:30" x14ac:dyDescent="0.25">
      <c r="AD11450"/>
    </row>
    <row r="11451" spans="30:30" x14ac:dyDescent="0.25">
      <c r="AD11451"/>
    </row>
    <row r="11452" spans="30:30" x14ac:dyDescent="0.25">
      <c r="AD11452"/>
    </row>
    <row r="11453" spans="30:30" x14ac:dyDescent="0.25">
      <c r="AD11453"/>
    </row>
    <row r="11454" spans="30:30" x14ac:dyDescent="0.25">
      <c r="AD11454"/>
    </row>
    <row r="11455" spans="30:30" x14ac:dyDescent="0.25">
      <c r="AD11455"/>
    </row>
    <row r="11456" spans="30:30" x14ac:dyDescent="0.25">
      <c r="AD11456"/>
    </row>
    <row r="11457" spans="30:30" x14ac:dyDescent="0.25">
      <c r="AD11457"/>
    </row>
    <row r="11458" spans="30:30" x14ac:dyDescent="0.25">
      <c r="AD11458"/>
    </row>
    <row r="11459" spans="30:30" x14ac:dyDescent="0.25">
      <c r="AD11459"/>
    </row>
    <row r="11460" spans="30:30" x14ac:dyDescent="0.25">
      <c r="AD11460"/>
    </row>
    <row r="11461" spans="30:30" x14ac:dyDescent="0.25">
      <c r="AD11461"/>
    </row>
    <row r="11462" spans="30:30" x14ac:dyDescent="0.25">
      <c r="AD11462"/>
    </row>
    <row r="11463" spans="30:30" x14ac:dyDescent="0.25">
      <c r="AD11463"/>
    </row>
    <row r="11464" spans="30:30" x14ac:dyDescent="0.25">
      <c r="AD11464"/>
    </row>
    <row r="11465" spans="30:30" x14ac:dyDescent="0.25">
      <c r="AD11465"/>
    </row>
    <row r="11466" spans="30:30" x14ac:dyDescent="0.25">
      <c r="AD11466"/>
    </row>
    <row r="11467" spans="30:30" x14ac:dyDescent="0.25">
      <c r="AD11467"/>
    </row>
    <row r="11468" spans="30:30" x14ac:dyDescent="0.25">
      <c r="AD11468"/>
    </row>
    <row r="11469" spans="30:30" x14ac:dyDescent="0.25">
      <c r="AD11469"/>
    </row>
    <row r="11470" spans="30:30" x14ac:dyDescent="0.25">
      <c r="AD11470"/>
    </row>
    <row r="11471" spans="30:30" x14ac:dyDescent="0.25">
      <c r="AD11471"/>
    </row>
    <row r="11472" spans="30:30" x14ac:dyDescent="0.25">
      <c r="AD11472"/>
    </row>
    <row r="11473" spans="30:30" x14ac:dyDescent="0.25">
      <c r="AD11473"/>
    </row>
    <row r="11474" spans="30:30" x14ac:dyDescent="0.25">
      <c r="AD11474"/>
    </row>
    <row r="11475" spans="30:30" x14ac:dyDescent="0.25">
      <c r="AD11475"/>
    </row>
    <row r="11476" spans="30:30" x14ac:dyDescent="0.25">
      <c r="AD11476"/>
    </row>
    <row r="11477" spans="30:30" x14ac:dyDescent="0.25">
      <c r="AD11477"/>
    </row>
    <row r="11478" spans="30:30" x14ac:dyDescent="0.25">
      <c r="AD11478"/>
    </row>
    <row r="11479" spans="30:30" x14ac:dyDescent="0.25">
      <c r="AD11479"/>
    </row>
    <row r="11480" spans="30:30" x14ac:dyDescent="0.25">
      <c r="AD11480"/>
    </row>
    <row r="11481" spans="30:30" x14ac:dyDescent="0.25">
      <c r="AD11481"/>
    </row>
    <row r="11482" spans="30:30" x14ac:dyDescent="0.25">
      <c r="AD11482"/>
    </row>
    <row r="11483" spans="30:30" x14ac:dyDescent="0.25">
      <c r="AD11483"/>
    </row>
    <row r="11484" spans="30:30" x14ac:dyDescent="0.25">
      <c r="AD11484"/>
    </row>
    <row r="11485" spans="30:30" x14ac:dyDescent="0.25">
      <c r="AD11485"/>
    </row>
    <row r="11486" spans="30:30" x14ac:dyDescent="0.25">
      <c r="AD11486"/>
    </row>
    <row r="11487" spans="30:30" x14ac:dyDescent="0.25">
      <c r="AD11487"/>
    </row>
    <row r="11488" spans="30:30" x14ac:dyDescent="0.25">
      <c r="AD11488"/>
    </row>
    <row r="11489" spans="30:30" x14ac:dyDescent="0.25">
      <c r="AD11489"/>
    </row>
    <row r="11490" spans="30:30" x14ac:dyDescent="0.25">
      <c r="AD11490"/>
    </row>
    <row r="11491" spans="30:30" x14ac:dyDescent="0.25">
      <c r="AD11491"/>
    </row>
    <row r="11492" spans="30:30" x14ac:dyDescent="0.25">
      <c r="AD11492"/>
    </row>
    <row r="11493" spans="30:30" x14ac:dyDescent="0.25">
      <c r="AD11493"/>
    </row>
    <row r="11494" spans="30:30" x14ac:dyDescent="0.25">
      <c r="AD11494"/>
    </row>
    <row r="11495" spans="30:30" x14ac:dyDescent="0.25">
      <c r="AD11495"/>
    </row>
    <row r="11496" spans="30:30" x14ac:dyDescent="0.25">
      <c r="AD11496"/>
    </row>
    <row r="11497" spans="30:30" x14ac:dyDescent="0.25">
      <c r="AD11497"/>
    </row>
    <row r="11498" spans="30:30" x14ac:dyDescent="0.25">
      <c r="AD11498"/>
    </row>
    <row r="11499" spans="30:30" x14ac:dyDescent="0.25">
      <c r="AD11499"/>
    </row>
    <row r="11500" spans="30:30" x14ac:dyDescent="0.25">
      <c r="AD11500"/>
    </row>
    <row r="11501" spans="30:30" x14ac:dyDescent="0.25">
      <c r="AD11501"/>
    </row>
    <row r="11502" spans="30:30" x14ac:dyDescent="0.25">
      <c r="AD11502"/>
    </row>
    <row r="11503" spans="30:30" x14ac:dyDescent="0.25">
      <c r="AD11503"/>
    </row>
    <row r="11504" spans="30:30" x14ac:dyDescent="0.25">
      <c r="AD11504"/>
    </row>
    <row r="11505" spans="30:30" x14ac:dyDescent="0.25">
      <c r="AD11505"/>
    </row>
    <row r="11506" spans="30:30" x14ac:dyDescent="0.25">
      <c r="AD11506"/>
    </row>
    <row r="11507" spans="30:30" x14ac:dyDescent="0.25">
      <c r="AD11507"/>
    </row>
    <row r="11508" spans="30:30" x14ac:dyDescent="0.25">
      <c r="AD11508"/>
    </row>
    <row r="11509" spans="30:30" x14ac:dyDescent="0.25">
      <c r="AD11509"/>
    </row>
    <row r="11510" spans="30:30" x14ac:dyDescent="0.25">
      <c r="AD11510"/>
    </row>
    <row r="11511" spans="30:30" x14ac:dyDescent="0.25">
      <c r="AD11511"/>
    </row>
    <row r="11512" spans="30:30" x14ac:dyDescent="0.25">
      <c r="AD11512"/>
    </row>
    <row r="11513" spans="30:30" x14ac:dyDescent="0.25">
      <c r="AD11513"/>
    </row>
    <row r="11514" spans="30:30" x14ac:dyDescent="0.25">
      <c r="AD11514"/>
    </row>
    <row r="11515" spans="30:30" x14ac:dyDescent="0.25">
      <c r="AD11515"/>
    </row>
    <row r="11516" spans="30:30" x14ac:dyDescent="0.25">
      <c r="AD11516"/>
    </row>
    <row r="11517" spans="30:30" x14ac:dyDescent="0.25">
      <c r="AD11517"/>
    </row>
    <row r="11518" spans="30:30" x14ac:dyDescent="0.25">
      <c r="AD11518"/>
    </row>
    <row r="11519" spans="30:30" x14ac:dyDescent="0.25">
      <c r="AD11519"/>
    </row>
    <row r="11520" spans="30:30" x14ac:dyDescent="0.25">
      <c r="AD11520"/>
    </row>
    <row r="11521" spans="30:30" x14ac:dyDescent="0.25">
      <c r="AD11521"/>
    </row>
    <row r="11522" spans="30:30" x14ac:dyDescent="0.25">
      <c r="AD11522"/>
    </row>
    <row r="11523" spans="30:30" x14ac:dyDescent="0.25">
      <c r="AD11523"/>
    </row>
    <row r="11524" spans="30:30" x14ac:dyDescent="0.25">
      <c r="AD11524"/>
    </row>
    <row r="11525" spans="30:30" x14ac:dyDescent="0.25">
      <c r="AD11525"/>
    </row>
    <row r="11526" spans="30:30" x14ac:dyDescent="0.25">
      <c r="AD11526"/>
    </row>
    <row r="11527" spans="30:30" x14ac:dyDescent="0.25">
      <c r="AD11527"/>
    </row>
    <row r="11528" spans="30:30" x14ac:dyDescent="0.25">
      <c r="AD11528"/>
    </row>
    <row r="11529" spans="30:30" x14ac:dyDescent="0.25">
      <c r="AD11529"/>
    </row>
    <row r="11530" spans="30:30" x14ac:dyDescent="0.25">
      <c r="AD11530"/>
    </row>
    <row r="11531" spans="30:30" x14ac:dyDescent="0.25">
      <c r="AD11531"/>
    </row>
    <row r="11532" spans="30:30" x14ac:dyDescent="0.25">
      <c r="AD11532"/>
    </row>
    <row r="11533" spans="30:30" x14ac:dyDescent="0.25">
      <c r="AD11533"/>
    </row>
    <row r="11534" spans="30:30" x14ac:dyDescent="0.25">
      <c r="AD11534"/>
    </row>
    <row r="11535" spans="30:30" x14ac:dyDescent="0.25">
      <c r="AD11535"/>
    </row>
    <row r="11536" spans="30:30" x14ac:dyDescent="0.25">
      <c r="AD11536"/>
    </row>
    <row r="11537" spans="30:30" x14ac:dyDescent="0.25">
      <c r="AD11537"/>
    </row>
    <row r="11538" spans="30:30" x14ac:dyDescent="0.25">
      <c r="AD11538"/>
    </row>
    <row r="11539" spans="30:30" x14ac:dyDescent="0.25">
      <c r="AD11539"/>
    </row>
    <row r="11540" spans="30:30" x14ac:dyDescent="0.25">
      <c r="AD11540"/>
    </row>
    <row r="11541" spans="30:30" x14ac:dyDescent="0.25">
      <c r="AD11541"/>
    </row>
    <row r="11542" spans="30:30" x14ac:dyDescent="0.25">
      <c r="AD11542"/>
    </row>
    <row r="11543" spans="30:30" x14ac:dyDescent="0.25">
      <c r="AD11543"/>
    </row>
    <row r="11544" spans="30:30" x14ac:dyDescent="0.25">
      <c r="AD11544"/>
    </row>
    <row r="11545" spans="30:30" x14ac:dyDescent="0.25">
      <c r="AD11545"/>
    </row>
    <row r="11546" spans="30:30" x14ac:dyDescent="0.25">
      <c r="AD11546"/>
    </row>
    <row r="11547" spans="30:30" x14ac:dyDescent="0.25">
      <c r="AD11547"/>
    </row>
    <row r="11548" spans="30:30" x14ac:dyDescent="0.25">
      <c r="AD11548"/>
    </row>
    <row r="11549" spans="30:30" x14ac:dyDescent="0.25">
      <c r="AD11549"/>
    </row>
    <row r="11550" spans="30:30" x14ac:dyDescent="0.25">
      <c r="AD11550"/>
    </row>
    <row r="11551" spans="30:30" x14ac:dyDescent="0.25">
      <c r="AD11551"/>
    </row>
    <row r="11552" spans="30:30" x14ac:dyDescent="0.25">
      <c r="AD11552"/>
    </row>
    <row r="11553" spans="30:30" x14ac:dyDescent="0.25">
      <c r="AD11553"/>
    </row>
    <row r="11554" spans="30:30" x14ac:dyDescent="0.25">
      <c r="AD11554"/>
    </row>
    <row r="11555" spans="30:30" x14ac:dyDescent="0.25">
      <c r="AD11555"/>
    </row>
    <row r="11556" spans="30:30" x14ac:dyDescent="0.25">
      <c r="AD11556"/>
    </row>
    <row r="11557" spans="30:30" x14ac:dyDescent="0.25">
      <c r="AD11557"/>
    </row>
    <row r="11558" spans="30:30" x14ac:dyDescent="0.25">
      <c r="AD11558"/>
    </row>
    <row r="11559" spans="30:30" x14ac:dyDescent="0.25">
      <c r="AD11559"/>
    </row>
    <row r="11560" spans="30:30" x14ac:dyDescent="0.25">
      <c r="AD11560"/>
    </row>
    <row r="11561" spans="30:30" x14ac:dyDescent="0.25">
      <c r="AD11561"/>
    </row>
    <row r="11562" spans="30:30" x14ac:dyDescent="0.25">
      <c r="AD11562"/>
    </row>
    <row r="11563" spans="30:30" x14ac:dyDescent="0.25">
      <c r="AD11563"/>
    </row>
    <row r="11564" spans="30:30" x14ac:dyDescent="0.25">
      <c r="AD11564"/>
    </row>
    <row r="11565" spans="30:30" x14ac:dyDescent="0.25">
      <c r="AD11565"/>
    </row>
    <row r="11566" spans="30:30" x14ac:dyDescent="0.25">
      <c r="AD11566"/>
    </row>
    <row r="11567" spans="30:30" x14ac:dyDescent="0.25">
      <c r="AD11567"/>
    </row>
    <row r="11568" spans="30:30" x14ac:dyDescent="0.25">
      <c r="AD11568"/>
    </row>
    <row r="11569" spans="30:30" x14ac:dyDescent="0.25">
      <c r="AD11569"/>
    </row>
    <row r="11570" spans="30:30" x14ac:dyDescent="0.25">
      <c r="AD11570"/>
    </row>
    <row r="11571" spans="30:30" x14ac:dyDescent="0.25">
      <c r="AD11571"/>
    </row>
    <row r="11572" spans="30:30" x14ac:dyDescent="0.25">
      <c r="AD11572"/>
    </row>
    <row r="11573" spans="30:30" x14ac:dyDescent="0.25">
      <c r="AD11573"/>
    </row>
    <row r="11574" spans="30:30" x14ac:dyDescent="0.25">
      <c r="AD11574"/>
    </row>
    <row r="11575" spans="30:30" x14ac:dyDescent="0.25">
      <c r="AD11575"/>
    </row>
    <row r="11576" spans="30:30" x14ac:dyDescent="0.25">
      <c r="AD11576"/>
    </row>
    <row r="11577" spans="30:30" x14ac:dyDescent="0.25">
      <c r="AD11577"/>
    </row>
    <row r="11578" spans="30:30" x14ac:dyDescent="0.25">
      <c r="AD11578"/>
    </row>
    <row r="11579" spans="30:30" x14ac:dyDescent="0.25">
      <c r="AD11579"/>
    </row>
    <row r="11580" spans="30:30" x14ac:dyDescent="0.25">
      <c r="AD11580"/>
    </row>
    <row r="11581" spans="30:30" x14ac:dyDescent="0.25">
      <c r="AD11581"/>
    </row>
    <row r="11582" spans="30:30" x14ac:dyDescent="0.25">
      <c r="AD11582"/>
    </row>
    <row r="11583" spans="30:30" x14ac:dyDescent="0.25">
      <c r="AD11583"/>
    </row>
    <row r="11584" spans="30:30" x14ac:dyDescent="0.25">
      <c r="AD11584"/>
    </row>
    <row r="11585" spans="30:30" x14ac:dyDescent="0.25">
      <c r="AD11585"/>
    </row>
    <row r="11586" spans="30:30" x14ac:dyDescent="0.25">
      <c r="AD11586"/>
    </row>
    <row r="11587" spans="30:30" x14ac:dyDescent="0.25">
      <c r="AD11587"/>
    </row>
    <row r="11588" spans="30:30" x14ac:dyDescent="0.25">
      <c r="AD11588"/>
    </row>
    <row r="11589" spans="30:30" x14ac:dyDescent="0.25">
      <c r="AD11589"/>
    </row>
    <row r="11590" spans="30:30" x14ac:dyDescent="0.25">
      <c r="AD11590"/>
    </row>
    <row r="11591" spans="30:30" x14ac:dyDescent="0.25">
      <c r="AD11591"/>
    </row>
    <row r="11592" spans="30:30" x14ac:dyDescent="0.25">
      <c r="AD11592"/>
    </row>
    <row r="11593" spans="30:30" x14ac:dyDescent="0.25">
      <c r="AD11593"/>
    </row>
    <row r="11594" spans="30:30" x14ac:dyDescent="0.25">
      <c r="AD11594"/>
    </row>
    <row r="11595" spans="30:30" x14ac:dyDescent="0.25">
      <c r="AD11595"/>
    </row>
    <row r="11596" spans="30:30" x14ac:dyDescent="0.25">
      <c r="AD11596"/>
    </row>
    <row r="11597" spans="30:30" x14ac:dyDescent="0.25">
      <c r="AD11597"/>
    </row>
    <row r="11598" spans="30:30" x14ac:dyDescent="0.25">
      <c r="AD11598"/>
    </row>
    <row r="11599" spans="30:30" x14ac:dyDescent="0.25">
      <c r="AD11599"/>
    </row>
    <row r="11600" spans="30:30" x14ac:dyDescent="0.25">
      <c r="AD11600"/>
    </row>
    <row r="11601" spans="30:30" x14ac:dyDescent="0.25">
      <c r="AD11601"/>
    </row>
    <row r="11602" spans="30:30" x14ac:dyDescent="0.25">
      <c r="AD11602"/>
    </row>
    <row r="11603" spans="30:30" x14ac:dyDescent="0.25">
      <c r="AD11603"/>
    </row>
    <row r="11604" spans="30:30" x14ac:dyDescent="0.25">
      <c r="AD11604"/>
    </row>
    <row r="11605" spans="30:30" x14ac:dyDescent="0.25">
      <c r="AD11605"/>
    </row>
    <row r="11606" spans="30:30" x14ac:dyDescent="0.25">
      <c r="AD11606"/>
    </row>
    <row r="11607" spans="30:30" x14ac:dyDescent="0.25">
      <c r="AD11607"/>
    </row>
    <row r="11608" spans="30:30" x14ac:dyDescent="0.25">
      <c r="AD11608"/>
    </row>
    <row r="11609" spans="30:30" x14ac:dyDescent="0.25">
      <c r="AD11609"/>
    </row>
    <row r="11610" spans="30:30" x14ac:dyDescent="0.25">
      <c r="AD11610"/>
    </row>
    <row r="11611" spans="30:30" x14ac:dyDescent="0.25">
      <c r="AD11611"/>
    </row>
    <row r="11612" spans="30:30" x14ac:dyDescent="0.25">
      <c r="AD11612"/>
    </row>
    <row r="11613" spans="30:30" x14ac:dyDescent="0.25">
      <c r="AD11613"/>
    </row>
    <row r="11614" spans="30:30" x14ac:dyDescent="0.25">
      <c r="AD11614"/>
    </row>
    <row r="11615" spans="30:30" x14ac:dyDescent="0.25">
      <c r="AD11615"/>
    </row>
    <row r="11616" spans="30:30" x14ac:dyDescent="0.25">
      <c r="AD11616"/>
    </row>
    <row r="11617" spans="30:30" x14ac:dyDescent="0.25">
      <c r="AD11617"/>
    </row>
    <row r="11618" spans="30:30" x14ac:dyDescent="0.25">
      <c r="AD11618"/>
    </row>
    <row r="11619" spans="30:30" x14ac:dyDescent="0.25">
      <c r="AD11619"/>
    </row>
    <row r="11620" spans="30:30" x14ac:dyDescent="0.25">
      <c r="AD11620"/>
    </row>
    <row r="11621" spans="30:30" x14ac:dyDescent="0.25">
      <c r="AD11621"/>
    </row>
    <row r="11622" spans="30:30" x14ac:dyDescent="0.25">
      <c r="AD11622"/>
    </row>
    <row r="11623" spans="30:30" x14ac:dyDescent="0.25">
      <c r="AD11623"/>
    </row>
    <row r="11624" spans="30:30" x14ac:dyDescent="0.25">
      <c r="AD11624"/>
    </row>
    <row r="11625" spans="30:30" x14ac:dyDescent="0.25">
      <c r="AD11625"/>
    </row>
    <row r="11626" spans="30:30" x14ac:dyDescent="0.25">
      <c r="AD11626"/>
    </row>
    <row r="11627" spans="30:30" x14ac:dyDescent="0.25">
      <c r="AD11627"/>
    </row>
    <row r="11628" spans="30:30" x14ac:dyDescent="0.25">
      <c r="AD11628"/>
    </row>
    <row r="11629" spans="30:30" x14ac:dyDescent="0.25">
      <c r="AD11629"/>
    </row>
    <row r="11630" spans="30:30" x14ac:dyDescent="0.25">
      <c r="AD11630"/>
    </row>
    <row r="11631" spans="30:30" x14ac:dyDescent="0.25">
      <c r="AD11631"/>
    </row>
    <row r="11632" spans="30:30" x14ac:dyDescent="0.25">
      <c r="AD11632"/>
    </row>
    <row r="11633" spans="30:30" x14ac:dyDescent="0.25">
      <c r="AD11633"/>
    </row>
    <row r="11634" spans="30:30" x14ac:dyDescent="0.25">
      <c r="AD11634"/>
    </row>
    <row r="11635" spans="30:30" x14ac:dyDescent="0.25">
      <c r="AD11635"/>
    </row>
    <row r="11636" spans="30:30" x14ac:dyDescent="0.25">
      <c r="AD11636"/>
    </row>
    <row r="11637" spans="30:30" x14ac:dyDescent="0.25">
      <c r="AD11637"/>
    </row>
    <row r="11638" spans="30:30" x14ac:dyDescent="0.25">
      <c r="AD11638"/>
    </row>
    <row r="11639" spans="30:30" x14ac:dyDescent="0.25">
      <c r="AD11639"/>
    </row>
    <row r="11640" spans="30:30" x14ac:dyDescent="0.25">
      <c r="AD11640"/>
    </row>
    <row r="11641" spans="30:30" x14ac:dyDescent="0.25">
      <c r="AD11641"/>
    </row>
    <row r="11642" spans="30:30" x14ac:dyDescent="0.25">
      <c r="AD11642"/>
    </row>
    <row r="11643" spans="30:30" x14ac:dyDescent="0.25">
      <c r="AD11643"/>
    </row>
    <row r="11644" spans="30:30" x14ac:dyDescent="0.25">
      <c r="AD11644"/>
    </row>
    <row r="11645" spans="30:30" x14ac:dyDescent="0.25">
      <c r="AD11645"/>
    </row>
    <row r="11646" spans="30:30" x14ac:dyDescent="0.25">
      <c r="AD11646"/>
    </row>
    <row r="11647" spans="30:30" x14ac:dyDescent="0.25">
      <c r="AD11647"/>
    </row>
    <row r="11648" spans="30:30" x14ac:dyDescent="0.25">
      <c r="AD11648"/>
    </row>
    <row r="11649" spans="30:30" x14ac:dyDescent="0.25">
      <c r="AD11649"/>
    </row>
    <row r="11650" spans="30:30" x14ac:dyDescent="0.25">
      <c r="AD11650"/>
    </row>
    <row r="11651" spans="30:30" x14ac:dyDescent="0.25">
      <c r="AD11651"/>
    </row>
    <row r="11652" spans="30:30" x14ac:dyDescent="0.25">
      <c r="AD11652"/>
    </row>
    <row r="11653" spans="30:30" x14ac:dyDescent="0.25">
      <c r="AD11653"/>
    </row>
    <row r="11654" spans="30:30" x14ac:dyDescent="0.25">
      <c r="AD11654"/>
    </row>
    <row r="11655" spans="30:30" x14ac:dyDescent="0.25">
      <c r="AD11655"/>
    </row>
    <row r="11656" spans="30:30" x14ac:dyDescent="0.25">
      <c r="AD11656"/>
    </row>
    <row r="11657" spans="30:30" x14ac:dyDescent="0.25">
      <c r="AD11657"/>
    </row>
    <row r="11658" spans="30:30" x14ac:dyDescent="0.25">
      <c r="AD11658"/>
    </row>
    <row r="11659" spans="30:30" x14ac:dyDescent="0.25">
      <c r="AD11659"/>
    </row>
    <row r="11660" spans="30:30" x14ac:dyDescent="0.25">
      <c r="AD11660"/>
    </row>
    <row r="11661" spans="30:30" x14ac:dyDescent="0.25">
      <c r="AD11661"/>
    </row>
    <row r="11662" spans="30:30" x14ac:dyDescent="0.25">
      <c r="AD11662"/>
    </row>
    <row r="11663" spans="30:30" x14ac:dyDescent="0.25">
      <c r="AD11663"/>
    </row>
    <row r="11664" spans="30:30" x14ac:dyDescent="0.25">
      <c r="AD11664"/>
    </row>
    <row r="11665" spans="30:30" x14ac:dyDescent="0.25">
      <c r="AD11665"/>
    </row>
    <row r="11666" spans="30:30" x14ac:dyDescent="0.25">
      <c r="AD11666"/>
    </row>
    <row r="11667" spans="30:30" x14ac:dyDescent="0.25">
      <c r="AD11667"/>
    </row>
    <row r="11668" spans="30:30" x14ac:dyDescent="0.25">
      <c r="AD11668"/>
    </row>
    <row r="11669" spans="30:30" x14ac:dyDescent="0.25">
      <c r="AD11669"/>
    </row>
    <row r="11670" spans="30:30" x14ac:dyDescent="0.25">
      <c r="AD11670"/>
    </row>
    <row r="11671" spans="30:30" x14ac:dyDescent="0.25">
      <c r="AD11671"/>
    </row>
    <row r="11672" spans="30:30" x14ac:dyDescent="0.25">
      <c r="AD11672"/>
    </row>
    <row r="11673" spans="30:30" x14ac:dyDescent="0.25">
      <c r="AD11673"/>
    </row>
    <row r="11674" spans="30:30" x14ac:dyDescent="0.25">
      <c r="AD11674"/>
    </row>
    <row r="11675" spans="30:30" x14ac:dyDescent="0.25">
      <c r="AD11675"/>
    </row>
    <row r="11676" spans="30:30" x14ac:dyDescent="0.25">
      <c r="AD11676"/>
    </row>
    <row r="11677" spans="30:30" x14ac:dyDescent="0.25">
      <c r="AD11677"/>
    </row>
    <row r="11678" spans="30:30" x14ac:dyDescent="0.25">
      <c r="AD11678"/>
    </row>
    <row r="11679" spans="30:30" x14ac:dyDescent="0.25">
      <c r="AD11679"/>
    </row>
    <row r="11680" spans="30:30" x14ac:dyDescent="0.25">
      <c r="AD11680"/>
    </row>
    <row r="11681" spans="30:30" x14ac:dyDescent="0.25">
      <c r="AD11681"/>
    </row>
    <row r="11682" spans="30:30" x14ac:dyDescent="0.25">
      <c r="AD11682"/>
    </row>
    <row r="11683" spans="30:30" x14ac:dyDescent="0.25">
      <c r="AD11683"/>
    </row>
    <row r="11684" spans="30:30" x14ac:dyDescent="0.25">
      <c r="AD11684"/>
    </row>
    <row r="11685" spans="30:30" x14ac:dyDescent="0.25">
      <c r="AD11685"/>
    </row>
    <row r="11686" spans="30:30" x14ac:dyDescent="0.25">
      <c r="AD11686"/>
    </row>
    <row r="11687" spans="30:30" x14ac:dyDescent="0.25">
      <c r="AD11687"/>
    </row>
    <row r="11688" spans="30:30" x14ac:dyDescent="0.25">
      <c r="AD11688"/>
    </row>
    <row r="11689" spans="30:30" x14ac:dyDescent="0.25">
      <c r="AD11689"/>
    </row>
    <row r="11690" spans="30:30" x14ac:dyDescent="0.25">
      <c r="AD11690"/>
    </row>
    <row r="11691" spans="30:30" x14ac:dyDescent="0.25">
      <c r="AD11691"/>
    </row>
    <row r="11692" spans="30:30" x14ac:dyDescent="0.25">
      <c r="AD11692"/>
    </row>
    <row r="11693" spans="30:30" x14ac:dyDescent="0.25">
      <c r="AD11693"/>
    </row>
    <row r="11694" spans="30:30" x14ac:dyDescent="0.25">
      <c r="AD11694"/>
    </row>
    <row r="11695" spans="30:30" x14ac:dyDescent="0.25">
      <c r="AD11695"/>
    </row>
    <row r="11696" spans="30:30" x14ac:dyDescent="0.25">
      <c r="AD11696"/>
    </row>
    <row r="11697" spans="30:30" x14ac:dyDescent="0.25">
      <c r="AD11697"/>
    </row>
    <row r="11698" spans="30:30" x14ac:dyDescent="0.25">
      <c r="AD11698"/>
    </row>
    <row r="11699" spans="30:30" x14ac:dyDescent="0.25">
      <c r="AD11699"/>
    </row>
    <row r="11700" spans="30:30" x14ac:dyDescent="0.25">
      <c r="AD11700"/>
    </row>
    <row r="11701" spans="30:30" x14ac:dyDescent="0.25">
      <c r="AD11701"/>
    </row>
    <row r="11702" spans="30:30" x14ac:dyDescent="0.25">
      <c r="AD11702"/>
    </row>
    <row r="11703" spans="30:30" x14ac:dyDescent="0.25">
      <c r="AD11703"/>
    </row>
    <row r="11704" spans="30:30" x14ac:dyDescent="0.25">
      <c r="AD11704"/>
    </row>
    <row r="11705" spans="30:30" x14ac:dyDescent="0.25">
      <c r="AD11705"/>
    </row>
    <row r="11706" spans="30:30" x14ac:dyDescent="0.25">
      <c r="AD11706"/>
    </row>
    <row r="11707" spans="30:30" x14ac:dyDescent="0.25">
      <c r="AD11707"/>
    </row>
    <row r="11708" spans="30:30" x14ac:dyDescent="0.25">
      <c r="AD11708"/>
    </row>
    <row r="11709" spans="30:30" x14ac:dyDescent="0.25">
      <c r="AD11709"/>
    </row>
    <row r="11710" spans="30:30" x14ac:dyDescent="0.25">
      <c r="AD11710"/>
    </row>
    <row r="11711" spans="30:30" x14ac:dyDescent="0.25">
      <c r="AD11711"/>
    </row>
    <row r="11712" spans="30:30" x14ac:dyDescent="0.25">
      <c r="AD11712"/>
    </row>
    <row r="11713" spans="30:30" x14ac:dyDescent="0.25">
      <c r="AD11713"/>
    </row>
    <row r="11714" spans="30:30" x14ac:dyDescent="0.25">
      <c r="AD11714"/>
    </row>
    <row r="11715" spans="30:30" x14ac:dyDescent="0.25">
      <c r="AD11715"/>
    </row>
    <row r="11716" spans="30:30" x14ac:dyDescent="0.25">
      <c r="AD11716"/>
    </row>
    <row r="11717" spans="30:30" x14ac:dyDescent="0.25">
      <c r="AD11717"/>
    </row>
    <row r="11718" spans="30:30" x14ac:dyDescent="0.25">
      <c r="AD11718"/>
    </row>
    <row r="11719" spans="30:30" x14ac:dyDescent="0.25">
      <c r="AD11719"/>
    </row>
    <row r="11720" spans="30:30" x14ac:dyDescent="0.25">
      <c r="AD11720"/>
    </row>
    <row r="11721" spans="30:30" x14ac:dyDescent="0.25">
      <c r="AD11721"/>
    </row>
    <row r="11722" spans="30:30" x14ac:dyDescent="0.25">
      <c r="AD11722"/>
    </row>
    <row r="11723" spans="30:30" x14ac:dyDescent="0.25">
      <c r="AD11723"/>
    </row>
    <row r="11724" spans="30:30" x14ac:dyDescent="0.25">
      <c r="AD11724"/>
    </row>
    <row r="11725" spans="30:30" x14ac:dyDescent="0.25">
      <c r="AD11725"/>
    </row>
    <row r="11726" spans="30:30" x14ac:dyDescent="0.25">
      <c r="AD11726"/>
    </row>
    <row r="11727" spans="30:30" x14ac:dyDescent="0.25">
      <c r="AD11727"/>
    </row>
    <row r="11728" spans="30:30" x14ac:dyDescent="0.25">
      <c r="AD11728"/>
    </row>
    <row r="11729" spans="30:30" x14ac:dyDescent="0.25">
      <c r="AD11729"/>
    </row>
    <row r="11730" spans="30:30" x14ac:dyDescent="0.25">
      <c r="AD11730"/>
    </row>
    <row r="11731" spans="30:30" x14ac:dyDescent="0.25">
      <c r="AD11731"/>
    </row>
    <row r="11732" spans="30:30" x14ac:dyDescent="0.25">
      <c r="AD11732"/>
    </row>
    <row r="11733" spans="30:30" x14ac:dyDescent="0.25">
      <c r="AD11733"/>
    </row>
    <row r="11734" spans="30:30" x14ac:dyDescent="0.25">
      <c r="AD11734"/>
    </row>
    <row r="11735" spans="30:30" x14ac:dyDescent="0.25">
      <c r="AD11735"/>
    </row>
    <row r="11736" spans="30:30" x14ac:dyDescent="0.25">
      <c r="AD11736"/>
    </row>
    <row r="11737" spans="30:30" x14ac:dyDescent="0.25">
      <c r="AD11737"/>
    </row>
    <row r="11738" spans="30:30" x14ac:dyDescent="0.25">
      <c r="AD11738"/>
    </row>
    <row r="11739" spans="30:30" x14ac:dyDescent="0.25">
      <c r="AD11739"/>
    </row>
    <row r="11740" spans="30:30" x14ac:dyDescent="0.25">
      <c r="AD11740"/>
    </row>
    <row r="11741" spans="30:30" x14ac:dyDescent="0.25">
      <c r="AD11741"/>
    </row>
    <row r="11742" spans="30:30" x14ac:dyDescent="0.25">
      <c r="AD11742"/>
    </row>
    <row r="11743" spans="30:30" x14ac:dyDescent="0.25">
      <c r="AD11743"/>
    </row>
    <row r="11744" spans="30:30" x14ac:dyDescent="0.25">
      <c r="AD11744"/>
    </row>
    <row r="11745" spans="30:30" x14ac:dyDescent="0.25">
      <c r="AD11745"/>
    </row>
    <row r="11746" spans="30:30" x14ac:dyDescent="0.25">
      <c r="AD11746"/>
    </row>
    <row r="11747" spans="30:30" x14ac:dyDescent="0.25">
      <c r="AD11747"/>
    </row>
    <row r="11748" spans="30:30" x14ac:dyDescent="0.25">
      <c r="AD11748"/>
    </row>
    <row r="11749" spans="30:30" x14ac:dyDescent="0.25">
      <c r="AD11749"/>
    </row>
    <row r="11750" spans="30:30" x14ac:dyDescent="0.25">
      <c r="AD11750"/>
    </row>
    <row r="11751" spans="30:30" x14ac:dyDescent="0.25">
      <c r="AD11751"/>
    </row>
    <row r="11752" spans="30:30" x14ac:dyDescent="0.25">
      <c r="AD11752"/>
    </row>
    <row r="11753" spans="30:30" x14ac:dyDescent="0.25">
      <c r="AD11753"/>
    </row>
    <row r="11754" spans="30:30" x14ac:dyDescent="0.25">
      <c r="AD11754"/>
    </row>
    <row r="11755" spans="30:30" x14ac:dyDescent="0.25">
      <c r="AD11755"/>
    </row>
    <row r="11756" spans="30:30" x14ac:dyDescent="0.25">
      <c r="AD11756"/>
    </row>
    <row r="11757" spans="30:30" x14ac:dyDescent="0.25">
      <c r="AD11757"/>
    </row>
    <row r="11758" spans="30:30" x14ac:dyDescent="0.25">
      <c r="AD11758"/>
    </row>
    <row r="11759" spans="30:30" x14ac:dyDescent="0.25">
      <c r="AD11759"/>
    </row>
    <row r="11760" spans="30:30" x14ac:dyDescent="0.25">
      <c r="AD11760"/>
    </row>
    <row r="11761" spans="30:30" x14ac:dyDescent="0.25">
      <c r="AD11761"/>
    </row>
    <row r="11762" spans="30:30" x14ac:dyDescent="0.25">
      <c r="AD11762"/>
    </row>
    <row r="11763" spans="30:30" x14ac:dyDescent="0.25">
      <c r="AD11763"/>
    </row>
    <row r="11764" spans="30:30" x14ac:dyDescent="0.25">
      <c r="AD11764"/>
    </row>
    <row r="11765" spans="30:30" x14ac:dyDescent="0.25">
      <c r="AD11765"/>
    </row>
    <row r="11766" spans="30:30" x14ac:dyDescent="0.25">
      <c r="AD11766"/>
    </row>
    <row r="11767" spans="30:30" x14ac:dyDescent="0.25">
      <c r="AD11767"/>
    </row>
    <row r="11768" spans="30:30" x14ac:dyDescent="0.25">
      <c r="AD11768"/>
    </row>
    <row r="11769" spans="30:30" x14ac:dyDescent="0.25">
      <c r="AD11769"/>
    </row>
    <row r="11770" spans="30:30" x14ac:dyDescent="0.25">
      <c r="AD11770"/>
    </row>
    <row r="11771" spans="30:30" x14ac:dyDescent="0.25">
      <c r="AD11771"/>
    </row>
    <row r="11772" spans="30:30" x14ac:dyDescent="0.25">
      <c r="AD11772"/>
    </row>
    <row r="11773" spans="30:30" x14ac:dyDescent="0.25">
      <c r="AD11773"/>
    </row>
    <row r="11774" spans="30:30" x14ac:dyDescent="0.25">
      <c r="AD11774"/>
    </row>
    <row r="11775" spans="30:30" x14ac:dyDescent="0.25">
      <c r="AD11775"/>
    </row>
    <row r="11776" spans="30:30" x14ac:dyDescent="0.25">
      <c r="AD11776"/>
    </row>
    <row r="11777" spans="30:30" x14ac:dyDescent="0.25">
      <c r="AD11777"/>
    </row>
    <row r="11778" spans="30:30" x14ac:dyDescent="0.25">
      <c r="AD11778"/>
    </row>
    <row r="11779" spans="30:30" x14ac:dyDescent="0.25">
      <c r="AD11779"/>
    </row>
    <row r="11780" spans="30:30" x14ac:dyDescent="0.25">
      <c r="AD11780"/>
    </row>
    <row r="11781" spans="30:30" x14ac:dyDescent="0.25">
      <c r="AD11781"/>
    </row>
    <row r="11782" spans="30:30" x14ac:dyDescent="0.25">
      <c r="AD11782"/>
    </row>
    <row r="11783" spans="30:30" x14ac:dyDescent="0.25">
      <c r="AD11783"/>
    </row>
    <row r="11784" spans="30:30" x14ac:dyDescent="0.25">
      <c r="AD11784"/>
    </row>
    <row r="11785" spans="30:30" x14ac:dyDescent="0.25">
      <c r="AD11785"/>
    </row>
    <row r="11786" spans="30:30" x14ac:dyDescent="0.25">
      <c r="AD11786"/>
    </row>
    <row r="11787" spans="30:30" x14ac:dyDescent="0.25">
      <c r="AD11787"/>
    </row>
    <row r="11788" spans="30:30" x14ac:dyDescent="0.25">
      <c r="AD11788"/>
    </row>
    <row r="11789" spans="30:30" x14ac:dyDescent="0.25">
      <c r="AD11789"/>
    </row>
    <row r="11790" spans="30:30" x14ac:dyDescent="0.25">
      <c r="AD11790"/>
    </row>
    <row r="11791" spans="30:30" x14ac:dyDescent="0.25">
      <c r="AD11791"/>
    </row>
    <row r="11792" spans="30:30" x14ac:dyDescent="0.25">
      <c r="AD11792"/>
    </row>
    <row r="11793" spans="30:30" x14ac:dyDescent="0.25">
      <c r="AD11793"/>
    </row>
    <row r="11794" spans="30:30" x14ac:dyDescent="0.25">
      <c r="AD11794"/>
    </row>
    <row r="11795" spans="30:30" x14ac:dyDescent="0.25">
      <c r="AD11795"/>
    </row>
    <row r="11796" spans="30:30" x14ac:dyDescent="0.25">
      <c r="AD11796"/>
    </row>
    <row r="11797" spans="30:30" x14ac:dyDescent="0.25">
      <c r="AD11797"/>
    </row>
    <row r="11798" spans="30:30" x14ac:dyDescent="0.25">
      <c r="AD11798"/>
    </row>
    <row r="11799" spans="30:30" x14ac:dyDescent="0.25">
      <c r="AD11799"/>
    </row>
    <row r="11800" spans="30:30" x14ac:dyDescent="0.25">
      <c r="AD11800"/>
    </row>
    <row r="11801" spans="30:30" x14ac:dyDescent="0.25">
      <c r="AD11801"/>
    </row>
    <row r="11802" spans="30:30" x14ac:dyDescent="0.25">
      <c r="AD11802"/>
    </row>
    <row r="11803" spans="30:30" x14ac:dyDescent="0.25">
      <c r="AD11803"/>
    </row>
    <row r="11804" spans="30:30" x14ac:dyDescent="0.25">
      <c r="AD11804"/>
    </row>
    <row r="11805" spans="30:30" x14ac:dyDescent="0.25">
      <c r="AD11805"/>
    </row>
    <row r="11806" spans="30:30" x14ac:dyDescent="0.25">
      <c r="AD11806"/>
    </row>
    <row r="11807" spans="30:30" x14ac:dyDescent="0.25">
      <c r="AD11807"/>
    </row>
    <row r="11808" spans="30:30" x14ac:dyDescent="0.25">
      <c r="AD11808"/>
    </row>
    <row r="11809" spans="30:30" x14ac:dyDescent="0.25">
      <c r="AD11809"/>
    </row>
    <row r="11810" spans="30:30" x14ac:dyDescent="0.25">
      <c r="AD11810"/>
    </row>
    <row r="11811" spans="30:30" x14ac:dyDescent="0.25">
      <c r="AD11811"/>
    </row>
    <row r="11812" spans="30:30" x14ac:dyDescent="0.25">
      <c r="AD11812"/>
    </row>
    <row r="11813" spans="30:30" x14ac:dyDescent="0.25">
      <c r="AD11813"/>
    </row>
    <row r="11814" spans="30:30" x14ac:dyDescent="0.25">
      <c r="AD11814"/>
    </row>
    <row r="11815" spans="30:30" x14ac:dyDescent="0.25">
      <c r="AD11815"/>
    </row>
    <row r="11816" spans="30:30" x14ac:dyDescent="0.25">
      <c r="AD11816"/>
    </row>
    <row r="11817" spans="30:30" x14ac:dyDescent="0.25">
      <c r="AD11817"/>
    </row>
    <row r="11818" spans="30:30" x14ac:dyDescent="0.25">
      <c r="AD11818"/>
    </row>
    <row r="11819" spans="30:30" x14ac:dyDescent="0.25">
      <c r="AD11819"/>
    </row>
    <row r="11820" spans="30:30" x14ac:dyDescent="0.25">
      <c r="AD11820"/>
    </row>
    <row r="11821" spans="30:30" x14ac:dyDescent="0.25">
      <c r="AD11821"/>
    </row>
    <row r="11822" spans="30:30" x14ac:dyDescent="0.25">
      <c r="AD11822"/>
    </row>
    <row r="11823" spans="30:30" x14ac:dyDescent="0.25">
      <c r="AD11823"/>
    </row>
    <row r="11824" spans="30:30" x14ac:dyDescent="0.25">
      <c r="AD11824"/>
    </row>
    <row r="11825" spans="30:30" x14ac:dyDescent="0.25">
      <c r="AD11825"/>
    </row>
    <row r="11826" spans="30:30" x14ac:dyDescent="0.25">
      <c r="AD11826"/>
    </row>
    <row r="11827" spans="30:30" x14ac:dyDescent="0.25">
      <c r="AD11827"/>
    </row>
    <row r="11828" spans="30:30" x14ac:dyDescent="0.25">
      <c r="AD11828"/>
    </row>
    <row r="11829" spans="30:30" x14ac:dyDescent="0.25">
      <c r="AD11829"/>
    </row>
    <row r="11830" spans="30:30" x14ac:dyDescent="0.25">
      <c r="AD11830"/>
    </row>
    <row r="11831" spans="30:30" x14ac:dyDescent="0.25">
      <c r="AD11831"/>
    </row>
    <row r="11832" spans="30:30" x14ac:dyDescent="0.25">
      <c r="AD11832"/>
    </row>
    <row r="11833" spans="30:30" x14ac:dyDescent="0.25">
      <c r="AD11833"/>
    </row>
    <row r="11834" spans="30:30" x14ac:dyDescent="0.25">
      <c r="AD11834"/>
    </row>
    <row r="11835" spans="30:30" x14ac:dyDescent="0.25">
      <c r="AD11835"/>
    </row>
    <row r="11836" spans="30:30" x14ac:dyDescent="0.25">
      <c r="AD11836"/>
    </row>
    <row r="11837" spans="30:30" x14ac:dyDescent="0.25">
      <c r="AD11837"/>
    </row>
    <row r="11838" spans="30:30" x14ac:dyDescent="0.25">
      <c r="AD11838"/>
    </row>
    <row r="11839" spans="30:30" x14ac:dyDescent="0.25">
      <c r="AD11839"/>
    </row>
    <row r="11840" spans="30:30" x14ac:dyDescent="0.25">
      <c r="AD11840"/>
    </row>
    <row r="11841" spans="30:30" x14ac:dyDescent="0.25">
      <c r="AD11841"/>
    </row>
    <row r="11842" spans="30:30" x14ac:dyDescent="0.25">
      <c r="AD11842"/>
    </row>
    <row r="11843" spans="30:30" x14ac:dyDescent="0.25">
      <c r="AD11843"/>
    </row>
    <row r="11844" spans="30:30" x14ac:dyDescent="0.25">
      <c r="AD11844"/>
    </row>
    <row r="11845" spans="30:30" x14ac:dyDescent="0.25">
      <c r="AD11845"/>
    </row>
    <row r="11846" spans="30:30" x14ac:dyDescent="0.25">
      <c r="AD11846"/>
    </row>
    <row r="11847" spans="30:30" x14ac:dyDescent="0.25">
      <c r="AD11847"/>
    </row>
    <row r="11848" spans="30:30" x14ac:dyDescent="0.25">
      <c r="AD11848"/>
    </row>
    <row r="11849" spans="30:30" x14ac:dyDescent="0.25">
      <c r="AD11849"/>
    </row>
    <row r="11850" spans="30:30" x14ac:dyDescent="0.25">
      <c r="AD11850"/>
    </row>
    <row r="11851" spans="30:30" x14ac:dyDescent="0.25">
      <c r="AD11851"/>
    </row>
    <row r="11852" spans="30:30" x14ac:dyDescent="0.25">
      <c r="AD11852"/>
    </row>
    <row r="11853" spans="30:30" x14ac:dyDescent="0.25">
      <c r="AD11853"/>
    </row>
    <row r="11854" spans="30:30" x14ac:dyDescent="0.25">
      <c r="AD11854"/>
    </row>
    <row r="11855" spans="30:30" x14ac:dyDescent="0.25">
      <c r="AD11855"/>
    </row>
    <row r="11856" spans="30:30" x14ac:dyDescent="0.25">
      <c r="AD11856"/>
    </row>
    <row r="11857" spans="30:30" x14ac:dyDescent="0.25">
      <c r="AD11857"/>
    </row>
    <row r="11858" spans="30:30" x14ac:dyDescent="0.25">
      <c r="AD11858"/>
    </row>
    <row r="11859" spans="30:30" x14ac:dyDescent="0.25">
      <c r="AD11859"/>
    </row>
    <row r="11860" spans="30:30" x14ac:dyDescent="0.25">
      <c r="AD11860"/>
    </row>
    <row r="11861" spans="30:30" x14ac:dyDescent="0.25">
      <c r="AD11861"/>
    </row>
    <row r="11862" spans="30:30" x14ac:dyDescent="0.25">
      <c r="AD11862"/>
    </row>
    <row r="11863" spans="30:30" x14ac:dyDescent="0.25">
      <c r="AD11863"/>
    </row>
    <row r="11864" spans="30:30" x14ac:dyDescent="0.25">
      <c r="AD11864"/>
    </row>
    <row r="11865" spans="30:30" x14ac:dyDescent="0.25">
      <c r="AD11865"/>
    </row>
    <row r="11866" spans="30:30" x14ac:dyDescent="0.25">
      <c r="AD11866"/>
    </row>
    <row r="11867" spans="30:30" x14ac:dyDescent="0.25">
      <c r="AD11867"/>
    </row>
    <row r="11868" spans="30:30" x14ac:dyDescent="0.25">
      <c r="AD11868"/>
    </row>
    <row r="11869" spans="30:30" x14ac:dyDescent="0.25">
      <c r="AD11869"/>
    </row>
    <row r="11870" spans="30:30" x14ac:dyDescent="0.25">
      <c r="AD11870"/>
    </row>
    <row r="11871" spans="30:30" x14ac:dyDescent="0.25">
      <c r="AD11871"/>
    </row>
    <row r="11872" spans="30:30" x14ac:dyDescent="0.25">
      <c r="AD11872"/>
    </row>
    <row r="11873" spans="30:30" x14ac:dyDescent="0.25">
      <c r="AD11873"/>
    </row>
    <row r="11874" spans="30:30" x14ac:dyDescent="0.25">
      <c r="AD11874"/>
    </row>
    <row r="11875" spans="30:30" x14ac:dyDescent="0.25">
      <c r="AD11875"/>
    </row>
    <row r="11876" spans="30:30" x14ac:dyDescent="0.25">
      <c r="AD11876"/>
    </row>
    <row r="11877" spans="30:30" x14ac:dyDescent="0.25">
      <c r="AD11877"/>
    </row>
    <row r="11878" spans="30:30" x14ac:dyDescent="0.25">
      <c r="AD11878"/>
    </row>
    <row r="11879" spans="30:30" x14ac:dyDescent="0.25">
      <c r="AD11879"/>
    </row>
    <row r="11880" spans="30:30" x14ac:dyDescent="0.25">
      <c r="AD11880"/>
    </row>
    <row r="11881" spans="30:30" x14ac:dyDescent="0.25">
      <c r="AD11881"/>
    </row>
    <row r="11882" spans="30:30" x14ac:dyDescent="0.25">
      <c r="AD11882"/>
    </row>
    <row r="11883" spans="30:30" x14ac:dyDescent="0.25">
      <c r="AD11883"/>
    </row>
    <row r="11884" spans="30:30" x14ac:dyDescent="0.25">
      <c r="AD11884"/>
    </row>
    <row r="11885" spans="30:30" x14ac:dyDescent="0.25">
      <c r="AD11885"/>
    </row>
    <row r="11886" spans="30:30" x14ac:dyDescent="0.25">
      <c r="AD11886"/>
    </row>
    <row r="11887" spans="30:30" x14ac:dyDescent="0.25">
      <c r="AD11887"/>
    </row>
    <row r="11888" spans="30:30" x14ac:dyDescent="0.25">
      <c r="AD11888"/>
    </row>
    <row r="11889" spans="30:30" x14ac:dyDescent="0.25">
      <c r="AD11889"/>
    </row>
    <row r="11890" spans="30:30" x14ac:dyDescent="0.25">
      <c r="AD11890"/>
    </row>
    <row r="11891" spans="30:30" x14ac:dyDescent="0.25">
      <c r="AD11891"/>
    </row>
    <row r="11892" spans="30:30" x14ac:dyDescent="0.25">
      <c r="AD11892"/>
    </row>
    <row r="11893" spans="30:30" x14ac:dyDescent="0.25">
      <c r="AD11893"/>
    </row>
    <row r="11894" spans="30:30" x14ac:dyDescent="0.25">
      <c r="AD11894"/>
    </row>
    <row r="11895" spans="30:30" x14ac:dyDescent="0.25">
      <c r="AD11895"/>
    </row>
    <row r="11896" spans="30:30" x14ac:dyDescent="0.25">
      <c r="AD11896"/>
    </row>
    <row r="11897" spans="30:30" x14ac:dyDescent="0.25">
      <c r="AD11897"/>
    </row>
    <row r="11898" spans="30:30" x14ac:dyDescent="0.25">
      <c r="AD11898"/>
    </row>
    <row r="11899" spans="30:30" x14ac:dyDescent="0.25">
      <c r="AD11899"/>
    </row>
    <row r="11900" spans="30:30" x14ac:dyDescent="0.25">
      <c r="AD11900"/>
    </row>
    <row r="11901" spans="30:30" x14ac:dyDescent="0.25">
      <c r="AD11901"/>
    </row>
    <row r="11902" spans="30:30" x14ac:dyDescent="0.25">
      <c r="AD11902"/>
    </row>
    <row r="11903" spans="30:30" x14ac:dyDescent="0.25">
      <c r="AD11903"/>
    </row>
    <row r="11904" spans="30:30" x14ac:dyDescent="0.25">
      <c r="AD11904"/>
    </row>
    <row r="11905" spans="30:30" x14ac:dyDescent="0.25">
      <c r="AD11905"/>
    </row>
    <row r="11906" spans="30:30" x14ac:dyDescent="0.25">
      <c r="AD11906"/>
    </row>
    <row r="11907" spans="30:30" x14ac:dyDescent="0.25">
      <c r="AD11907"/>
    </row>
    <row r="11908" spans="30:30" x14ac:dyDescent="0.25">
      <c r="AD11908"/>
    </row>
    <row r="11909" spans="30:30" x14ac:dyDescent="0.25">
      <c r="AD11909"/>
    </row>
    <row r="11910" spans="30:30" x14ac:dyDescent="0.25">
      <c r="AD11910"/>
    </row>
    <row r="11911" spans="30:30" x14ac:dyDescent="0.25">
      <c r="AD11911"/>
    </row>
    <row r="11912" spans="30:30" x14ac:dyDescent="0.25">
      <c r="AD11912"/>
    </row>
    <row r="11913" spans="30:30" x14ac:dyDescent="0.25">
      <c r="AD11913"/>
    </row>
    <row r="11914" spans="30:30" x14ac:dyDescent="0.25">
      <c r="AD11914"/>
    </row>
    <row r="11915" spans="30:30" x14ac:dyDescent="0.25">
      <c r="AD11915"/>
    </row>
    <row r="11916" spans="30:30" x14ac:dyDescent="0.25">
      <c r="AD11916"/>
    </row>
    <row r="11917" spans="30:30" x14ac:dyDescent="0.25">
      <c r="AD11917"/>
    </row>
    <row r="11918" spans="30:30" x14ac:dyDescent="0.25">
      <c r="AD11918"/>
    </row>
    <row r="11919" spans="30:30" x14ac:dyDescent="0.25">
      <c r="AD11919"/>
    </row>
    <row r="11920" spans="30:30" x14ac:dyDescent="0.25">
      <c r="AD11920"/>
    </row>
    <row r="11921" spans="30:30" x14ac:dyDescent="0.25">
      <c r="AD11921"/>
    </row>
    <row r="11922" spans="30:30" x14ac:dyDescent="0.25">
      <c r="AD11922"/>
    </row>
    <row r="11923" spans="30:30" x14ac:dyDescent="0.25">
      <c r="AD11923"/>
    </row>
    <row r="11924" spans="30:30" x14ac:dyDescent="0.25">
      <c r="AD11924"/>
    </row>
    <row r="11925" spans="30:30" x14ac:dyDescent="0.25">
      <c r="AD11925"/>
    </row>
    <row r="11926" spans="30:30" x14ac:dyDescent="0.25">
      <c r="AD11926"/>
    </row>
    <row r="11927" spans="30:30" x14ac:dyDescent="0.25">
      <c r="AD11927"/>
    </row>
    <row r="11928" spans="30:30" x14ac:dyDescent="0.25">
      <c r="AD11928"/>
    </row>
    <row r="11929" spans="30:30" x14ac:dyDescent="0.25">
      <c r="AD11929"/>
    </row>
    <row r="11930" spans="30:30" x14ac:dyDescent="0.25">
      <c r="AD11930"/>
    </row>
    <row r="11931" spans="30:30" x14ac:dyDescent="0.25">
      <c r="AD11931"/>
    </row>
    <row r="11932" spans="30:30" x14ac:dyDescent="0.25">
      <c r="AD11932"/>
    </row>
    <row r="11933" spans="30:30" x14ac:dyDescent="0.25">
      <c r="AD11933"/>
    </row>
    <row r="11934" spans="30:30" x14ac:dyDescent="0.25">
      <c r="AD11934"/>
    </row>
    <row r="11935" spans="30:30" x14ac:dyDescent="0.25">
      <c r="AD11935"/>
    </row>
    <row r="11936" spans="30:30" x14ac:dyDescent="0.25">
      <c r="AD11936"/>
    </row>
    <row r="11937" spans="30:30" x14ac:dyDescent="0.25">
      <c r="AD11937"/>
    </row>
    <row r="11938" spans="30:30" x14ac:dyDescent="0.25">
      <c r="AD11938"/>
    </row>
    <row r="11939" spans="30:30" x14ac:dyDescent="0.25">
      <c r="AD11939"/>
    </row>
    <row r="11940" spans="30:30" x14ac:dyDescent="0.25">
      <c r="AD11940"/>
    </row>
    <row r="11941" spans="30:30" x14ac:dyDescent="0.25">
      <c r="AD11941"/>
    </row>
    <row r="11942" spans="30:30" x14ac:dyDescent="0.25">
      <c r="AD11942"/>
    </row>
    <row r="11943" spans="30:30" x14ac:dyDescent="0.25">
      <c r="AD11943"/>
    </row>
    <row r="11944" spans="30:30" x14ac:dyDescent="0.25">
      <c r="AD11944"/>
    </row>
    <row r="11945" spans="30:30" x14ac:dyDescent="0.25">
      <c r="AD11945"/>
    </row>
    <row r="11946" spans="30:30" x14ac:dyDescent="0.25">
      <c r="AD11946"/>
    </row>
    <row r="11947" spans="30:30" x14ac:dyDescent="0.25">
      <c r="AD11947"/>
    </row>
    <row r="11948" spans="30:30" x14ac:dyDescent="0.25">
      <c r="AD11948"/>
    </row>
    <row r="11949" spans="30:30" x14ac:dyDescent="0.25">
      <c r="AD11949"/>
    </row>
    <row r="11950" spans="30:30" x14ac:dyDescent="0.25">
      <c r="AD11950"/>
    </row>
    <row r="11951" spans="30:30" x14ac:dyDescent="0.25">
      <c r="AD11951"/>
    </row>
    <row r="11952" spans="30:30" x14ac:dyDescent="0.25">
      <c r="AD11952"/>
    </row>
    <row r="11953" spans="30:30" x14ac:dyDescent="0.25">
      <c r="AD11953"/>
    </row>
    <row r="11954" spans="30:30" x14ac:dyDescent="0.25">
      <c r="AD11954"/>
    </row>
    <row r="11955" spans="30:30" x14ac:dyDescent="0.25">
      <c r="AD11955"/>
    </row>
    <row r="11956" spans="30:30" x14ac:dyDescent="0.25">
      <c r="AD11956"/>
    </row>
    <row r="11957" spans="30:30" x14ac:dyDescent="0.25">
      <c r="AD11957"/>
    </row>
    <row r="11958" spans="30:30" x14ac:dyDescent="0.25">
      <c r="AD11958"/>
    </row>
    <row r="11959" spans="30:30" x14ac:dyDescent="0.25">
      <c r="AD11959"/>
    </row>
    <row r="11960" spans="30:30" x14ac:dyDescent="0.25">
      <c r="AD11960"/>
    </row>
    <row r="11961" spans="30:30" x14ac:dyDescent="0.25">
      <c r="AD11961"/>
    </row>
    <row r="11962" spans="30:30" x14ac:dyDescent="0.25">
      <c r="AD11962"/>
    </row>
    <row r="11963" spans="30:30" x14ac:dyDescent="0.25">
      <c r="AD11963"/>
    </row>
    <row r="11964" spans="30:30" x14ac:dyDescent="0.25">
      <c r="AD11964"/>
    </row>
    <row r="11965" spans="30:30" x14ac:dyDescent="0.25">
      <c r="AD11965"/>
    </row>
    <row r="11966" spans="30:30" x14ac:dyDescent="0.25">
      <c r="AD11966"/>
    </row>
    <row r="11967" spans="30:30" x14ac:dyDescent="0.25">
      <c r="AD11967"/>
    </row>
    <row r="11968" spans="30:30" x14ac:dyDescent="0.25">
      <c r="AD11968"/>
    </row>
    <row r="11969" spans="30:30" x14ac:dyDescent="0.25">
      <c r="AD11969"/>
    </row>
    <row r="11970" spans="30:30" x14ac:dyDescent="0.25">
      <c r="AD11970"/>
    </row>
    <row r="11971" spans="30:30" x14ac:dyDescent="0.25">
      <c r="AD11971"/>
    </row>
    <row r="11972" spans="30:30" x14ac:dyDescent="0.25">
      <c r="AD11972"/>
    </row>
    <row r="11973" spans="30:30" x14ac:dyDescent="0.25">
      <c r="AD11973"/>
    </row>
    <row r="11974" spans="30:30" x14ac:dyDescent="0.25">
      <c r="AD11974"/>
    </row>
    <row r="11975" spans="30:30" x14ac:dyDescent="0.25">
      <c r="AD11975"/>
    </row>
    <row r="11976" spans="30:30" x14ac:dyDescent="0.25">
      <c r="AD11976"/>
    </row>
    <row r="11977" spans="30:30" x14ac:dyDescent="0.25">
      <c r="AD11977"/>
    </row>
    <row r="11978" spans="30:30" x14ac:dyDescent="0.25">
      <c r="AD11978"/>
    </row>
    <row r="11979" spans="30:30" x14ac:dyDescent="0.25">
      <c r="AD11979"/>
    </row>
    <row r="11980" spans="30:30" x14ac:dyDescent="0.25">
      <c r="AD11980"/>
    </row>
    <row r="11981" spans="30:30" x14ac:dyDescent="0.25">
      <c r="AD11981"/>
    </row>
    <row r="11982" spans="30:30" x14ac:dyDescent="0.25">
      <c r="AD11982"/>
    </row>
    <row r="11983" spans="30:30" x14ac:dyDescent="0.25">
      <c r="AD11983"/>
    </row>
    <row r="11984" spans="30:30" x14ac:dyDescent="0.25">
      <c r="AD11984"/>
    </row>
    <row r="11985" spans="30:30" x14ac:dyDescent="0.25">
      <c r="AD11985"/>
    </row>
    <row r="11986" spans="30:30" x14ac:dyDescent="0.25">
      <c r="AD11986"/>
    </row>
    <row r="11987" spans="30:30" x14ac:dyDescent="0.25">
      <c r="AD11987"/>
    </row>
    <row r="11988" spans="30:30" x14ac:dyDescent="0.25">
      <c r="AD11988"/>
    </row>
    <row r="11989" spans="30:30" x14ac:dyDescent="0.25">
      <c r="AD11989"/>
    </row>
    <row r="11990" spans="30:30" x14ac:dyDescent="0.25">
      <c r="AD11990"/>
    </row>
    <row r="11991" spans="30:30" x14ac:dyDescent="0.25">
      <c r="AD11991"/>
    </row>
    <row r="11992" spans="30:30" x14ac:dyDescent="0.25">
      <c r="AD11992"/>
    </row>
    <row r="11993" spans="30:30" x14ac:dyDescent="0.25">
      <c r="AD11993"/>
    </row>
    <row r="11994" spans="30:30" x14ac:dyDescent="0.25">
      <c r="AD11994"/>
    </row>
    <row r="11995" spans="30:30" x14ac:dyDescent="0.25">
      <c r="AD11995"/>
    </row>
    <row r="11996" spans="30:30" x14ac:dyDescent="0.25">
      <c r="AD11996"/>
    </row>
    <row r="11997" spans="30:30" x14ac:dyDescent="0.25">
      <c r="AD11997"/>
    </row>
    <row r="11998" spans="30:30" x14ac:dyDescent="0.25">
      <c r="AD11998"/>
    </row>
    <row r="11999" spans="30:30" x14ac:dyDescent="0.25">
      <c r="AD11999"/>
    </row>
    <row r="12000" spans="30:30" x14ac:dyDescent="0.25">
      <c r="AD12000"/>
    </row>
    <row r="12001" spans="30:30" x14ac:dyDescent="0.25">
      <c r="AD12001"/>
    </row>
    <row r="12002" spans="30:30" x14ac:dyDescent="0.25">
      <c r="AD12002"/>
    </row>
    <row r="12003" spans="30:30" x14ac:dyDescent="0.25">
      <c r="AD12003"/>
    </row>
    <row r="12004" spans="30:30" x14ac:dyDescent="0.25">
      <c r="AD12004"/>
    </row>
    <row r="12005" spans="30:30" x14ac:dyDescent="0.25">
      <c r="AD12005"/>
    </row>
    <row r="12006" spans="30:30" x14ac:dyDescent="0.25">
      <c r="AD12006"/>
    </row>
    <row r="12007" spans="30:30" x14ac:dyDescent="0.25">
      <c r="AD12007"/>
    </row>
    <row r="12008" spans="30:30" x14ac:dyDescent="0.25">
      <c r="AD12008"/>
    </row>
    <row r="12009" spans="30:30" x14ac:dyDescent="0.25">
      <c r="AD12009"/>
    </row>
    <row r="12010" spans="30:30" x14ac:dyDescent="0.25">
      <c r="AD12010"/>
    </row>
    <row r="12011" spans="30:30" x14ac:dyDescent="0.25">
      <c r="AD12011"/>
    </row>
    <row r="12012" spans="30:30" x14ac:dyDescent="0.25">
      <c r="AD12012"/>
    </row>
    <row r="12013" spans="30:30" x14ac:dyDescent="0.25">
      <c r="AD12013"/>
    </row>
    <row r="12014" spans="30:30" x14ac:dyDescent="0.25">
      <c r="AD12014"/>
    </row>
    <row r="12015" spans="30:30" x14ac:dyDescent="0.25">
      <c r="AD12015"/>
    </row>
    <row r="12016" spans="30:30" x14ac:dyDescent="0.25">
      <c r="AD12016"/>
    </row>
    <row r="12017" spans="30:30" x14ac:dyDescent="0.25">
      <c r="AD12017"/>
    </row>
    <row r="12018" spans="30:30" x14ac:dyDescent="0.25">
      <c r="AD12018"/>
    </row>
    <row r="12019" spans="30:30" x14ac:dyDescent="0.25">
      <c r="AD12019"/>
    </row>
    <row r="12020" spans="30:30" x14ac:dyDescent="0.25">
      <c r="AD12020"/>
    </row>
    <row r="12021" spans="30:30" x14ac:dyDescent="0.25">
      <c r="AD12021"/>
    </row>
    <row r="12022" spans="30:30" x14ac:dyDescent="0.25">
      <c r="AD12022"/>
    </row>
    <row r="12023" spans="30:30" x14ac:dyDescent="0.25">
      <c r="AD12023"/>
    </row>
    <row r="12024" spans="30:30" x14ac:dyDescent="0.25">
      <c r="AD12024"/>
    </row>
    <row r="12025" spans="30:30" x14ac:dyDescent="0.25">
      <c r="AD12025"/>
    </row>
    <row r="12026" spans="30:30" x14ac:dyDescent="0.25">
      <c r="AD12026"/>
    </row>
    <row r="12027" spans="30:30" x14ac:dyDescent="0.25">
      <c r="AD12027"/>
    </row>
    <row r="12028" spans="30:30" x14ac:dyDescent="0.25">
      <c r="AD12028"/>
    </row>
    <row r="12029" spans="30:30" x14ac:dyDescent="0.25">
      <c r="AD12029"/>
    </row>
    <row r="12030" spans="30:30" x14ac:dyDescent="0.25">
      <c r="AD12030"/>
    </row>
    <row r="12031" spans="30:30" x14ac:dyDescent="0.25">
      <c r="AD12031"/>
    </row>
    <row r="12032" spans="30:30" x14ac:dyDescent="0.25">
      <c r="AD12032"/>
    </row>
    <row r="12033" spans="30:30" x14ac:dyDescent="0.25">
      <c r="AD12033"/>
    </row>
    <row r="12034" spans="30:30" x14ac:dyDescent="0.25">
      <c r="AD12034"/>
    </row>
    <row r="12035" spans="30:30" x14ac:dyDescent="0.25">
      <c r="AD12035"/>
    </row>
    <row r="12036" spans="30:30" x14ac:dyDescent="0.25">
      <c r="AD12036"/>
    </row>
    <row r="12037" spans="30:30" x14ac:dyDescent="0.25">
      <c r="AD12037"/>
    </row>
    <row r="12038" spans="30:30" x14ac:dyDescent="0.25">
      <c r="AD12038"/>
    </row>
    <row r="12039" spans="30:30" x14ac:dyDescent="0.25">
      <c r="AD12039"/>
    </row>
    <row r="12040" spans="30:30" x14ac:dyDescent="0.25">
      <c r="AD12040"/>
    </row>
    <row r="12041" spans="30:30" x14ac:dyDescent="0.25">
      <c r="AD12041"/>
    </row>
    <row r="12042" spans="30:30" x14ac:dyDescent="0.25">
      <c r="AD12042"/>
    </row>
    <row r="12043" spans="30:30" x14ac:dyDescent="0.25">
      <c r="AD12043"/>
    </row>
    <row r="12044" spans="30:30" x14ac:dyDescent="0.25">
      <c r="AD12044"/>
    </row>
    <row r="12045" spans="30:30" x14ac:dyDescent="0.25">
      <c r="AD12045"/>
    </row>
    <row r="12046" spans="30:30" x14ac:dyDescent="0.25">
      <c r="AD12046"/>
    </row>
    <row r="12047" spans="30:30" x14ac:dyDescent="0.25">
      <c r="AD12047"/>
    </row>
    <row r="12048" spans="30:30" x14ac:dyDescent="0.25">
      <c r="AD12048"/>
    </row>
    <row r="12049" spans="30:30" x14ac:dyDescent="0.25">
      <c r="AD12049"/>
    </row>
    <row r="12050" spans="30:30" x14ac:dyDescent="0.25">
      <c r="AD12050"/>
    </row>
    <row r="12051" spans="30:30" x14ac:dyDescent="0.25">
      <c r="AD12051"/>
    </row>
    <row r="12052" spans="30:30" x14ac:dyDescent="0.25">
      <c r="AD12052"/>
    </row>
    <row r="12053" spans="30:30" x14ac:dyDescent="0.25">
      <c r="AD12053"/>
    </row>
    <row r="12054" spans="30:30" x14ac:dyDescent="0.25">
      <c r="AD12054"/>
    </row>
    <row r="12055" spans="30:30" x14ac:dyDescent="0.25">
      <c r="AD12055"/>
    </row>
    <row r="12056" spans="30:30" x14ac:dyDescent="0.25">
      <c r="AD12056"/>
    </row>
    <row r="12057" spans="30:30" x14ac:dyDescent="0.25">
      <c r="AD12057"/>
    </row>
    <row r="12058" spans="30:30" x14ac:dyDescent="0.25">
      <c r="AD12058"/>
    </row>
    <row r="12059" spans="30:30" x14ac:dyDescent="0.25">
      <c r="AD12059"/>
    </row>
    <row r="12060" spans="30:30" x14ac:dyDescent="0.25">
      <c r="AD12060"/>
    </row>
    <row r="12061" spans="30:30" x14ac:dyDescent="0.25">
      <c r="AD12061"/>
    </row>
    <row r="12062" spans="30:30" x14ac:dyDescent="0.25">
      <c r="AD12062"/>
    </row>
    <row r="12063" spans="30:30" x14ac:dyDescent="0.25">
      <c r="AD12063"/>
    </row>
    <row r="12064" spans="30:30" x14ac:dyDescent="0.25">
      <c r="AD12064"/>
    </row>
    <row r="12065" spans="30:30" x14ac:dyDescent="0.25">
      <c r="AD12065"/>
    </row>
    <row r="12066" spans="30:30" x14ac:dyDescent="0.25">
      <c r="AD12066"/>
    </row>
    <row r="12067" spans="30:30" x14ac:dyDescent="0.25">
      <c r="AD12067"/>
    </row>
    <row r="12068" spans="30:30" x14ac:dyDescent="0.25">
      <c r="AD12068"/>
    </row>
    <row r="12069" spans="30:30" x14ac:dyDescent="0.25">
      <c r="AD12069"/>
    </row>
    <row r="12070" spans="30:30" x14ac:dyDescent="0.25">
      <c r="AD12070"/>
    </row>
    <row r="12071" spans="30:30" x14ac:dyDescent="0.25">
      <c r="AD12071"/>
    </row>
    <row r="12072" spans="30:30" x14ac:dyDescent="0.25">
      <c r="AD12072"/>
    </row>
    <row r="12073" spans="30:30" x14ac:dyDescent="0.25">
      <c r="AD12073"/>
    </row>
    <row r="12074" spans="30:30" x14ac:dyDescent="0.25">
      <c r="AD12074"/>
    </row>
    <row r="12075" spans="30:30" x14ac:dyDescent="0.25">
      <c r="AD12075"/>
    </row>
    <row r="12076" spans="30:30" x14ac:dyDescent="0.25">
      <c r="AD12076"/>
    </row>
    <row r="12077" spans="30:30" x14ac:dyDescent="0.25">
      <c r="AD12077"/>
    </row>
    <row r="12078" spans="30:30" x14ac:dyDescent="0.25">
      <c r="AD12078"/>
    </row>
    <row r="12079" spans="30:30" x14ac:dyDescent="0.25">
      <c r="AD12079"/>
    </row>
    <row r="12080" spans="30:30" x14ac:dyDescent="0.25">
      <c r="AD12080"/>
    </row>
    <row r="12081" spans="30:30" x14ac:dyDescent="0.25">
      <c r="AD12081"/>
    </row>
    <row r="12082" spans="30:30" x14ac:dyDescent="0.25">
      <c r="AD12082"/>
    </row>
    <row r="12083" spans="30:30" x14ac:dyDescent="0.25">
      <c r="AD12083"/>
    </row>
    <row r="12084" spans="30:30" x14ac:dyDescent="0.25">
      <c r="AD12084"/>
    </row>
    <row r="12085" spans="30:30" x14ac:dyDescent="0.25">
      <c r="AD12085"/>
    </row>
    <row r="12086" spans="30:30" x14ac:dyDescent="0.25">
      <c r="AD12086"/>
    </row>
    <row r="12087" spans="30:30" x14ac:dyDescent="0.25">
      <c r="AD12087"/>
    </row>
    <row r="12088" spans="30:30" x14ac:dyDescent="0.25">
      <c r="AD12088"/>
    </row>
    <row r="12089" spans="30:30" x14ac:dyDescent="0.25">
      <c r="AD12089"/>
    </row>
    <row r="12090" spans="30:30" x14ac:dyDescent="0.25">
      <c r="AD12090"/>
    </row>
    <row r="12091" spans="30:30" x14ac:dyDescent="0.25">
      <c r="AD12091"/>
    </row>
    <row r="12092" spans="30:30" x14ac:dyDescent="0.25">
      <c r="AD12092"/>
    </row>
    <row r="12093" spans="30:30" x14ac:dyDescent="0.25">
      <c r="AD12093"/>
    </row>
    <row r="12094" spans="30:30" x14ac:dyDescent="0.25">
      <c r="AD12094"/>
    </row>
    <row r="12095" spans="30:30" x14ac:dyDescent="0.25">
      <c r="AD12095"/>
    </row>
    <row r="12096" spans="30:30" x14ac:dyDescent="0.25">
      <c r="AD12096"/>
    </row>
    <row r="12097" spans="30:30" x14ac:dyDescent="0.25">
      <c r="AD12097"/>
    </row>
    <row r="12098" spans="30:30" x14ac:dyDescent="0.25">
      <c r="AD12098"/>
    </row>
    <row r="12099" spans="30:30" x14ac:dyDescent="0.25">
      <c r="AD12099"/>
    </row>
    <row r="12100" spans="30:30" x14ac:dyDescent="0.25">
      <c r="AD12100"/>
    </row>
    <row r="12101" spans="30:30" x14ac:dyDescent="0.25">
      <c r="AD12101"/>
    </row>
    <row r="12102" spans="30:30" x14ac:dyDescent="0.25">
      <c r="AD12102"/>
    </row>
    <row r="12103" spans="30:30" x14ac:dyDescent="0.25">
      <c r="AD12103"/>
    </row>
    <row r="12104" spans="30:30" x14ac:dyDescent="0.25">
      <c r="AD12104"/>
    </row>
    <row r="12105" spans="30:30" x14ac:dyDescent="0.25">
      <c r="AD12105"/>
    </row>
    <row r="12106" spans="30:30" x14ac:dyDescent="0.25">
      <c r="AD12106"/>
    </row>
    <row r="12107" spans="30:30" x14ac:dyDescent="0.25">
      <c r="AD12107"/>
    </row>
    <row r="12108" spans="30:30" x14ac:dyDescent="0.25">
      <c r="AD12108"/>
    </row>
    <row r="12109" spans="30:30" x14ac:dyDescent="0.25">
      <c r="AD12109"/>
    </row>
    <row r="12110" spans="30:30" x14ac:dyDescent="0.25">
      <c r="AD12110"/>
    </row>
    <row r="12111" spans="30:30" x14ac:dyDescent="0.25">
      <c r="AD12111"/>
    </row>
    <row r="12112" spans="30:30" x14ac:dyDescent="0.25">
      <c r="AD12112"/>
    </row>
    <row r="12113" spans="30:30" x14ac:dyDescent="0.25">
      <c r="AD12113"/>
    </row>
    <row r="12114" spans="30:30" x14ac:dyDescent="0.25">
      <c r="AD12114"/>
    </row>
    <row r="12115" spans="30:30" x14ac:dyDescent="0.25">
      <c r="AD12115"/>
    </row>
    <row r="12116" spans="30:30" x14ac:dyDescent="0.25">
      <c r="AD12116"/>
    </row>
    <row r="12117" spans="30:30" x14ac:dyDescent="0.25">
      <c r="AD12117"/>
    </row>
    <row r="12118" spans="30:30" x14ac:dyDescent="0.25">
      <c r="AD12118"/>
    </row>
    <row r="12119" spans="30:30" x14ac:dyDescent="0.25">
      <c r="AD12119"/>
    </row>
    <row r="12120" spans="30:30" x14ac:dyDescent="0.25">
      <c r="AD12120"/>
    </row>
    <row r="12121" spans="30:30" x14ac:dyDescent="0.25">
      <c r="AD12121"/>
    </row>
    <row r="12122" spans="30:30" x14ac:dyDescent="0.25">
      <c r="AD12122"/>
    </row>
    <row r="12123" spans="30:30" x14ac:dyDescent="0.25">
      <c r="AD12123"/>
    </row>
    <row r="12124" spans="30:30" x14ac:dyDescent="0.25">
      <c r="AD12124"/>
    </row>
    <row r="12125" spans="30:30" x14ac:dyDescent="0.25">
      <c r="AD12125"/>
    </row>
    <row r="12126" spans="30:30" x14ac:dyDescent="0.25">
      <c r="AD12126"/>
    </row>
    <row r="12127" spans="30:30" x14ac:dyDescent="0.25">
      <c r="AD12127"/>
    </row>
    <row r="12128" spans="30:30" x14ac:dyDescent="0.25">
      <c r="AD12128"/>
    </row>
    <row r="12129" spans="30:30" x14ac:dyDescent="0.25">
      <c r="AD12129"/>
    </row>
    <row r="12130" spans="30:30" x14ac:dyDescent="0.25">
      <c r="AD12130"/>
    </row>
    <row r="12131" spans="30:30" x14ac:dyDescent="0.25">
      <c r="AD12131"/>
    </row>
    <row r="12132" spans="30:30" x14ac:dyDescent="0.25">
      <c r="AD12132"/>
    </row>
    <row r="12133" spans="30:30" x14ac:dyDescent="0.25">
      <c r="AD12133"/>
    </row>
    <row r="12134" spans="30:30" x14ac:dyDescent="0.25">
      <c r="AD12134"/>
    </row>
    <row r="12135" spans="30:30" x14ac:dyDescent="0.25">
      <c r="AD12135"/>
    </row>
    <row r="12136" spans="30:30" x14ac:dyDescent="0.25">
      <c r="AD12136"/>
    </row>
    <row r="12137" spans="30:30" x14ac:dyDescent="0.25">
      <c r="AD12137"/>
    </row>
    <row r="12138" spans="30:30" x14ac:dyDescent="0.25">
      <c r="AD12138"/>
    </row>
    <row r="12139" spans="30:30" x14ac:dyDescent="0.25">
      <c r="AD12139"/>
    </row>
    <row r="12140" spans="30:30" x14ac:dyDescent="0.25">
      <c r="AD12140"/>
    </row>
    <row r="12141" spans="30:30" x14ac:dyDescent="0.25">
      <c r="AD12141"/>
    </row>
    <row r="12142" spans="30:30" x14ac:dyDescent="0.25">
      <c r="AD12142"/>
    </row>
    <row r="12143" spans="30:30" x14ac:dyDescent="0.25">
      <c r="AD12143"/>
    </row>
    <row r="12144" spans="30:30" x14ac:dyDescent="0.25">
      <c r="AD12144"/>
    </row>
    <row r="12145" spans="30:30" x14ac:dyDescent="0.25">
      <c r="AD12145"/>
    </row>
    <row r="12146" spans="30:30" x14ac:dyDescent="0.25">
      <c r="AD12146"/>
    </row>
    <row r="12147" spans="30:30" x14ac:dyDescent="0.25">
      <c r="AD12147"/>
    </row>
    <row r="12148" spans="30:30" x14ac:dyDescent="0.25">
      <c r="AD12148"/>
    </row>
    <row r="12149" spans="30:30" x14ac:dyDescent="0.25">
      <c r="AD12149"/>
    </row>
    <row r="12150" spans="30:30" x14ac:dyDescent="0.25">
      <c r="AD12150"/>
    </row>
    <row r="12151" spans="30:30" x14ac:dyDescent="0.25">
      <c r="AD12151"/>
    </row>
    <row r="12152" spans="30:30" x14ac:dyDescent="0.25">
      <c r="AD12152"/>
    </row>
    <row r="12153" spans="30:30" x14ac:dyDescent="0.25">
      <c r="AD12153"/>
    </row>
    <row r="12154" spans="30:30" x14ac:dyDescent="0.25">
      <c r="AD12154"/>
    </row>
    <row r="12155" spans="30:30" x14ac:dyDescent="0.25">
      <c r="AD12155"/>
    </row>
    <row r="12156" spans="30:30" x14ac:dyDescent="0.25">
      <c r="AD12156"/>
    </row>
    <row r="12157" spans="30:30" x14ac:dyDescent="0.25">
      <c r="AD12157"/>
    </row>
    <row r="12158" spans="30:30" x14ac:dyDescent="0.25">
      <c r="AD12158"/>
    </row>
    <row r="12159" spans="30:30" x14ac:dyDescent="0.25">
      <c r="AD12159"/>
    </row>
    <row r="12160" spans="30:30" x14ac:dyDescent="0.25">
      <c r="AD12160"/>
    </row>
    <row r="12161" spans="30:30" x14ac:dyDescent="0.25">
      <c r="AD12161"/>
    </row>
    <row r="12162" spans="30:30" x14ac:dyDescent="0.25">
      <c r="AD12162"/>
    </row>
    <row r="12163" spans="30:30" x14ac:dyDescent="0.25">
      <c r="AD12163"/>
    </row>
    <row r="12164" spans="30:30" x14ac:dyDescent="0.25">
      <c r="AD12164"/>
    </row>
    <row r="12165" spans="30:30" x14ac:dyDescent="0.25">
      <c r="AD12165"/>
    </row>
    <row r="12166" spans="30:30" x14ac:dyDescent="0.25">
      <c r="AD12166"/>
    </row>
    <row r="12167" spans="30:30" x14ac:dyDescent="0.25">
      <c r="AD12167"/>
    </row>
    <row r="12168" spans="30:30" x14ac:dyDescent="0.25">
      <c r="AD12168"/>
    </row>
    <row r="12169" spans="30:30" x14ac:dyDescent="0.25">
      <c r="AD12169"/>
    </row>
    <row r="12170" spans="30:30" x14ac:dyDescent="0.25">
      <c r="AD12170"/>
    </row>
    <row r="12171" spans="30:30" x14ac:dyDescent="0.25">
      <c r="AD12171"/>
    </row>
    <row r="12172" spans="30:30" x14ac:dyDescent="0.25">
      <c r="AD12172"/>
    </row>
    <row r="12173" spans="30:30" x14ac:dyDescent="0.25">
      <c r="AD12173"/>
    </row>
    <row r="12174" spans="30:30" x14ac:dyDescent="0.25">
      <c r="AD12174"/>
    </row>
    <row r="12175" spans="30:30" x14ac:dyDescent="0.25">
      <c r="AD12175"/>
    </row>
    <row r="12176" spans="30:30" x14ac:dyDescent="0.25">
      <c r="AD12176"/>
    </row>
    <row r="12177" spans="30:30" x14ac:dyDescent="0.25">
      <c r="AD12177"/>
    </row>
    <row r="12178" spans="30:30" x14ac:dyDescent="0.25">
      <c r="AD12178"/>
    </row>
    <row r="12179" spans="30:30" x14ac:dyDescent="0.25">
      <c r="AD12179"/>
    </row>
    <row r="12180" spans="30:30" x14ac:dyDescent="0.25">
      <c r="AD12180"/>
    </row>
    <row r="12181" spans="30:30" x14ac:dyDescent="0.25">
      <c r="AD12181"/>
    </row>
    <row r="12182" spans="30:30" x14ac:dyDescent="0.25">
      <c r="AD12182"/>
    </row>
    <row r="12183" spans="30:30" x14ac:dyDescent="0.25">
      <c r="AD12183"/>
    </row>
    <row r="12184" spans="30:30" x14ac:dyDescent="0.25">
      <c r="AD12184"/>
    </row>
    <row r="12185" spans="30:30" x14ac:dyDescent="0.25">
      <c r="AD12185"/>
    </row>
    <row r="12186" spans="30:30" x14ac:dyDescent="0.25">
      <c r="AD12186"/>
    </row>
    <row r="12187" spans="30:30" x14ac:dyDescent="0.25">
      <c r="AD12187"/>
    </row>
    <row r="12188" spans="30:30" x14ac:dyDescent="0.25">
      <c r="AD12188"/>
    </row>
    <row r="12189" spans="30:30" x14ac:dyDescent="0.25">
      <c r="AD12189"/>
    </row>
    <row r="12190" spans="30:30" x14ac:dyDescent="0.25">
      <c r="AD12190"/>
    </row>
    <row r="12191" spans="30:30" x14ac:dyDescent="0.25">
      <c r="AD12191"/>
    </row>
    <row r="12192" spans="30:30" x14ac:dyDescent="0.25">
      <c r="AD12192"/>
    </row>
    <row r="12193" spans="30:30" x14ac:dyDescent="0.25">
      <c r="AD12193"/>
    </row>
    <row r="12194" spans="30:30" x14ac:dyDescent="0.25">
      <c r="AD12194"/>
    </row>
    <row r="12195" spans="30:30" x14ac:dyDescent="0.25">
      <c r="AD12195"/>
    </row>
    <row r="12196" spans="30:30" x14ac:dyDescent="0.25">
      <c r="AD12196"/>
    </row>
    <row r="12197" spans="30:30" x14ac:dyDescent="0.25">
      <c r="AD12197"/>
    </row>
    <row r="12198" spans="30:30" x14ac:dyDescent="0.25">
      <c r="AD12198"/>
    </row>
    <row r="12199" spans="30:30" x14ac:dyDescent="0.25">
      <c r="AD12199"/>
    </row>
    <row r="12200" spans="30:30" x14ac:dyDescent="0.25">
      <c r="AD12200"/>
    </row>
    <row r="12201" spans="30:30" x14ac:dyDescent="0.25">
      <c r="AD12201"/>
    </row>
    <row r="12202" spans="30:30" x14ac:dyDescent="0.25">
      <c r="AD12202"/>
    </row>
    <row r="12203" spans="30:30" x14ac:dyDescent="0.25">
      <c r="AD12203"/>
    </row>
    <row r="12204" spans="30:30" x14ac:dyDescent="0.25">
      <c r="AD12204"/>
    </row>
    <row r="12205" spans="30:30" x14ac:dyDescent="0.25">
      <c r="AD12205"/>
    </row>
    <row r="12206" spans="30:30" x14ac:dyDescent="0.25">
      <c r="AD12206"/>
    </row>
    <row r="12207" spans="30:30" x14ac:dyDescent="0.25">
      <c r="AD12207"/>
    </row>
    <row r="12208" spans="30:30" x14ac:dyDescent="0.25">
      <c r="AD12208"/>
    </row>
    <row r="12209" spans="30:30" x14ac:dyDescent="0.25">
      <c r="AD12209"/>
    </row>
    <row r="12210" spans="30:30" x14ac:dyDescent="0.25">
      <c r="AD12210"/>
    </row>
    <row r="12211" spans="30:30" x14ac:dyDescent="0.25">
      <c r="AD12211"/>
    </row>
    <row r="12212" spans="30:30" x14ac:dyDescent="0.25">
      <c r="AD12212"/>
    </row>
    <row r="12213" spans="30:30" x14ac:dyDescent="0.25">
      <c r="AD12213"/>
    </row>
    <row r="12214" spans="30:30" x14ac:dyDescent="0.25">
      <c r="AD12214"/>
    </row>
    <row r="12215" spans="30:30" x14ac:dyDescent="0.25">
      <c r="AD12215"/>
    </row>
    <row r="12216" spans="30:30" x14ac:dyDescent="0.25">
      <c r="AD12216"/>
    </row>
    <row r="12217" spans="30:30" x14ac:dyDescent="0.25">
      <c r="AD12217"/>
    </row>
    <row r="12218" spans="30:30" x14ac:dyDescent="0.25">
      <c r="AD12218"/>
    </row>
    <row r="12219" spans="30:30" x14ac:dyDescent="0.25">
      <c r="AD12219"/>
    </row>
    <row r="12220" spans="30:30" x14ac:dyDescent="0.25">
      <c r="AD12220"/>
    </row>
    <row r="12221" spans="30:30" x14ac:dyDescent="0.25">
      <c r="AD12221"/>
    </row>
    <row r="12222" spans="30:30" x14ac:dyDescent="0.25">
      <c r="AD12222"/>
    </row>
    <row r="12223" spans="30:30" x14ac:dyDescent="0.25">
      <c r="AD12223"/>
    </row>
    <row r="12224" spans="30:30" x14ac:dyDescent="0.25">
      <c r="AD12224"/>
    </row>
    <row r="12225" spans="30:30" x14ac:dyDescent="0.25">
      <c r="AD12225"/>
    </row>
    <row r="12226" spans="30:30" x14ac:dyDescent="0.25">
      <c r="AD12226"/>
    </row>
    <row r="12227" spans="30:30" x14ac:dyDescent="0.25">
      <c r="AD12227"/>
    </row>
    <row r="12228" spans="30:30" x14ac:dyDescent="0.25">
      <c r="AD12228"/>
    </row>
    <row r="12229" spans="30:30" x14ac:dyDescent="0.25">
      <c r="AD12229"/>
    </row>
    <row r="12230" spans="30:30" x14ac:dyDescent="0.25">
      <c r="AD12230"/>
    </row>
    <row r="12231" spans="30:30" x14ac:dyDescent="0.25">
      <c r="AD12231"/>
    </row>
    <row r="12232" spans="30:30" x14ac:dyDescent="0.25">
      <c r="AD12232"/>
    </row>
    <row r="12233" spans="30:30" x14ac:dyDescent="0.25">
      <c r="AD12233"/>
    </row>
    <row r="12234" spans="30:30" x14ac:dyDescent="0.25">
      <c r="AD12234"/>
    </row>
    <row r="12235" spans="30:30" x14ac:dyDescent="0.25">
      <c r="AD12235"/>
    </row>
    <row r="12236" spans="30:30" x14ac:dyDescent="0.25">
      <c r="AD12236"/>
    </row>
    <row r="12237" spans="30:30" x14ac:dyDescent="0.25">
      <c r="AD12237"/>
    </row>
    <row r="12238" spans="30:30" x14ac:dyDescent="0.25">
      <c r="AD12238"/>
    </row>
    <row r="12239" spans="30:30" x14ac:dyDescent="0.25">
      <c r="AD12239"/>
    </row>
    <row r="12240" spans="30:30" x14ac:dyDescent="0.25">
      <c r="AD12240"/>
    </row>
    <row r="12241" spans="30:30" x14ac:dyDescent="0.25">
      <c r="AD12241"/>
    </row>
    <row r="12242" spans="30:30" x14ac:dyDescent="0.25">
      <c r="AD12242"/>
    </row>
    <row r="12243" spans="30:30" x14ac:dyDescent="0.25">
      <c r="AD12243"/>
    </row>
    <row r="12244" spans="30:30" x14ac:dyDescent="0.25">
      <c r="AD12244"/>
    </row>
    <row r="12245" spans="30:30" x14ac:dyDescent="0.25">
      <c r="AD12245"/>
    </row>
    <row r="12246" spans="30:30" x14ac:dyDescent="0.25">
      <c r="AD12246"/>
    </row>
    <row r="12247" spans="30:30" x14ac:dyDescent="0.25">
      <c r="AD12247"/>
    </row>
    <row r="12248" spans="30:30" x14ac:dyDescent="0.25">
      <c r="AD12248"/>
    </row>
    <row r="12249" spans="30:30" x14ac:dyDescent="0.25">
      <c r="AD12249"/>
    </row>
    <row r="12250" spans="30:30" x14ac:dyDescent="0.25">
      <c r="AD12250"/>
    </row>
    <row r="12251" spans="30:30" x14ac:dyDescent="0.25">
      <c r="AD12251"/>
    </row>
    <row r="12252" spans="30:30" x14ac:dyDescent="0.25">
      <c r="AD12252"/>
    </row>
    <row r="12253" spans="30:30" x14ac:dyDescent="0.25">
      <c r="AD12253"/>
    </row>
    <row r="12254" spans="30:30" x14ac:dyDescent="0.25">
      <c r="AD12254"/>
    </row>
    <row r="12255" spans="30:30" x14ac:dyDescent="0.25">
      <c r="AD12255"/>
    </row>
    <row r="12256" spans="30:30" x14ac:dyDescent="0.25">
      <c r="AD12256"/>
    </row>
    <row r="12257" spans="30:30" x14ac:dyDescent="0.25">
      <c r="AD12257"/>
    </row>
    <row r="12258" spans="30:30" x14ac:dyDescent="0.25">
      <c r="AD12258"/>
    </row>
    <row r="12259" spans="30:30" x14ac:dyDescent="0.25">
      <c r="AD12259"/>
    </row>
    <row r="12260" spans="30:30" x14ac:dyDescent="0.25">
      <c r="AD12260"/>
    </row>
    <row r="12261" spans="30:30" x14ac:dyDescent="0.25">
      <c r="AD12261"/>
    </row>
    <row r="12262" spans="30:30" x14ac:dyDescent="0.25">
      <c r="AD12262"/>
    </row>
    <row r="12263" spans="30:30" x14ac:dyDescent="0.25">
      <c r="AD12263"/>
    </row>
    <row r="12264" spans="30:30" x14ac:dyDescent="0.25">
      <c r="AD12264"/>
    </row>
    <row r="12265" spans="30:30" x14ac:dyDescent="0.25">
      <c r="AD12265"/>
    </row>
    <row r="12266" spans="30:30" x14ac:dyDescent="0.25">
      <c r="AD12266"/>
    </row>
    <row r="12267" spans="30:30" x14ac:dyDescent="0.25">
      <c r="AD12267"/>
    </row>
    <row r="12268" spans="30:30" x14ac:dyDescent="0.25">
      <c r="AD12268"/>
    </row>
    <row r="12269" spans="30:30" x14ac:dyDescent="0.25">
      <c r="AD12269"/>
    </row>
    <row r="12270" spans="30:30" x14ac:dyDescent="0.25">
      <c r="AD12270"/>
    </row>
    <row r="12271" spans="30:30" x14ac:dyDescent="0.25">
      <c r="AD12271"/>
    </row>
    <row r="12272" spans="30:30" x14ac:dyDescent="0.25">
      <c r="AD12272"/>
    </row>
    <row r="12273" spans="30:30" x14ac:dyDescent="0.25">
      <c r="AD12273"/>
    </row>
    <row r="12274" spans="30:30" x14ac:dyDescent="0.25">
      <c r="AD12274"/>
    </row>
    <row r="12275" spans="30:30" x14ac:dyDescent="0.25">
      <c r="AD12275"/>
    </row>
    <row r="12276" spans="30:30" x14ac:dyDescent="0.25">
      <c r="AD12276"/>
    </row>
    <row r="12277" spans="30:30" x14ac:dyDescent="0.25">
      <c r="AD12277"/>
    </row>
    <row r="12278" spans="30:30" x14ac:dyDescent="0.25">
      <c r="AD12278"/>
    </row>
    <row r="12279" spans="30:30" x14ac:dyDescent="0.25">
      <c r="AD12279"/>
    </row>
    <row r="12280" spans="30:30" x14ac:dyDescent="0.25">
      <c r="AD12280"/>
    </row>
    <row r="12281" spans="30:30" x14ac:dyDescent="0.25">
      <c r="AD12281"/>
    </row>
    <row r="12282" spans="30:30" x14ac:dyDescent="0.25">
      <c r="AD12282"/>
    </row>
    <row r="12283" spans="30:30" x14ac:dyDescent="0.25">
      <c r="AD12283"/>
    </row>
    <row r="12284" spans="30:30" x14ac:dyDescent="0.25">
      <c r="AD12284"/>
    </row>
    <row r="12285" spans="30:30" x14ac:dyDescent="0.25">
      <c r="AD12285"/>
    </row>
    <row r="12286" spans="30:30" x14ac:dyDescent="0.25">
      <c r="AD12286"/>
    </row>
    <row r="12287" spans="30:30" x14ac:dyDescent="0.25">
      <c r="AD12287"/>
    </row>
    <row r="12288" spans="30:30" x14ac:dyDescent="0.25">
      <c r="AD12288"/>
    </row>
    <row r="12289" spans="30:30" x14ac:dyDescent="0.25">
      <c r="AD12289"/>
    </row>
    <row r="12290" spans="30:30" x14ac:dyDescent="0.25">
      <c r="AD12290"/>
    </row>
    <row r="12291" spans="30:30" x14ac:dyDescent="0.25">
      <c r="AD12291"/>
    </row>
    <row r="12292" spans="30:30" x14ac:dyDescent="0.25">
      <c r="AD12292"/>
    </row>
    <row r="12293" spans="30:30" x14ac:dyDescent="0.25">
      <c r="AD12293"/>
    </row>
    <row r="12294" spans="30:30" x14ac:dyDescent="0.25">
      <c r="AD12294"/>
    </row>
    <row r="12295" spans="30:30" x14ac:dyDescent="0.25">
      <c r="AD12295"/>
    </row>
    <row r="12296" spans="30:30" x14ac:dyDescent="0.25">
      <c r="AD12296"/>
    </row>
    <row r="12297" spans="30:30" x14ac:dyDescent="0.25">
      <c r="AD12297"/>
    </row>
    <row r="12298" spans="30:30" x14ac:dyDescent="0.25">
      <c r="AD12298"/>
    </row>
    <row r="12299" spans="30:30" x14ac:dyDescent="0.25">
      <c r="AD12299"/>
    </row>
    <row r="12300" spans="30:30" x14ac:dyDescent="0.25">
      <c r="AD12300"/>
    </row>
    <row r="12301" spans="30:30" x14ac:dyDescent="0.25">
      <c r="AD12301"/>
    </row>
    <row r="12302" spans="30:30" x14ac:dyDescent="0.25">
      <c r="AD12302"/>
    </row>
    <row r="12303" spans="30:30" x14ac:dyDescent="0.25">
      <c r="AD12303"/>
    </row>
    <row r="12304" spans="30:30" x14ac:dyDescent="0.25">
      <c r="AD12304"/>
    </row>
    <row r="12305" spans="30:30" x14ac:dyDescent="0.25">
      <c r="AD12305"/>
    </row>
    <row r="12306" spans="30:30" x14ac:dyDescent="0.25">
      <c r="AD12306"/>
    </row>
    <row r="12307" spans="30:30" x14ac:dyDescent="0.25">
      <c r="AD12307"/>
    </row>
    <row r="12308" spans="30:30" x14ac:dyDescent="0.25">
      <c r="AD12308"/>
    </row>
    <row r="12309" spans="30:30" x14ac:dyDescent="0.25">
      <c r="AD12309"/>
    </row>
    <row r="12310" spans="30:30" x14ac:dyDescent="0.25">
      <c r="AD12310"/>
    </row>
    <row r="12311" spans="30:30" x14ac:dyDescent="0.25">
      <c r="AD12311"/>
    </row>
    <row r="12312" spans="30:30" x14ac:dyDescent="0.25">
      <c r="AD12312"/>
    </row>
    <row r="12313" spans="30:30" x14ac:dyDescent="0.25">
      <c r="AD12313"/>
    </row>
    <row r="12314" spans="30:30" x14ac:dyDescent="0.25">
      <c r="AD12314"/>
    </row>
    <row r="12315" spans="30:30" x14ac:dyDescent="0.25">
      <c r="AD12315"/>
    </row>
    <row r="12316" spans="30:30" x14ac:dyDescent="0.25">
      <c r="AD12316"/>
    </row>
    <row r="12317" spans="30:30" x14ac:dyDescent="0.25">
      <c r="AD12317"/>
    </row>
    <row r="12318" spans="30:30" x14ac:dyDescent="0.25">
      <c r="AD12318"/>
    </row>
    <row r="12319" spans="30:30" x14ac:dyDescent="0.25">
      <c r="AD12319"/>
    </row>
    <row r="12320" spans="30:30" x14ac:dyDescent="0.25">
      <c r="AD12320"/>
    </row>
    <row r="12321" spans="30:30" x14ac:dyDescent="0.25">
      <c r="AD12321"/>
    </row>
    <row r="12322" spans="30:30" x14ac:dyDescent="0.25">
      <c r="AD12322"/>
    </row>
    <row r="12323" spans="30:30" x14ac:dyDescent="0.25">
      <c r="AD12323"/>
    </row>
    <row r="12324" spans="30:30" x14ac:dyDescent="0.25">
      <c r="AD12324"/>
    </row>
    <row r="12325" spans="30:30" x14ac:dyDescent="0.25">
      <c r="AD12325"/>
    </row>
    <row r="12326" spans="30:30" x14ac:dyDescent="0.25">
      <c r="AD12326"/>
    </row>
    <row r="12327" spans="30:30" x14ac:dyDescent="0.25">
      <c r="AD12327"/>
    </row>
    <row r="12328" spans="30:30" x14ac:dyDescent="0.25">
      <c r="AD12328"/>
    </row>
    <row r="12329" spans="30:30" x14ac:dyDescent="0.25">
      <c r="AD12329"/>
    </row>
    <row r="12330" spans="30:30" x14ac:dyDescent="0.25">
      <c r="AD12330"/>
    </row>
    <row r="12331" spans="30:30" x14ac:dyDescent="0.25">
      <c r="AD12331"/>
    </row>
    <row r="12332" spans="30:30" x14ac:dyDescent="0.25">
      <c r="AD12332"/>
    </row>
    <row r="12333" spans="30:30" x14ac:dyDescent="0.25">
      <c r="AD12333"/>
    </row>
    <row r="12334" spans="30:30" x14ac:dyDescent="0.25">
      <c r="AD12334"/>
    </row>
    <row r="12335" spans="30:30" x14ac:dyDescent="0.25">
      <c r="AD12335"/>
    </row>
    <row r="12336" spans="30:30" x14ac:dyDescent="0.25">
      <c r="AD12336"/>
    </row>
    <row r="12337" spans="30:30" x14ac:dyDescent="0.25">
      <c r="AD12337"/>
    </row>
    <row r="12338" spans="30:30" x14ac:dyDescent="0.25">
      <c r="AD12338"/>
    </row>
    <row r="12339" spans="30:30" x14ac:dyDescent="0.25">
      <c r="AD12339"/>
    </row>
    <row r="12340" spans="30:30" x14ac:dyDescent="0.25">
      <c r="AD12340"/>
    </row>
    <row r="12341" spans="30:30" x14ac:dyDescent="0.25">
      <c r="AD12341"/>
    </row>
    <row r="12342" spans="30:30" x14ac:dyDescent="0.25">
      <c r="AD12342"/>
    </row>
    <row r="12343" spans="30:30" x14ac:dyDescent="0.25">
      <c r="AD12343"/>
    </row>
    <row r="12344" spans="30:30" x14ac:dyDescent="0.25">
      <c r="AD12344"/>
    </row>
    <row r="12345" spans="30:30" x14ac:dyDescent="0.25">
      <c r="AD12345"/>
    </row>
    <row r="12346" spans="30:30" x14ac:dyDescent="0.25">
      <c r="AD12346"/>
    </row>
    <row r="12347" spans="30:30" x14ac:dyDescent="0.25">
      <c r="AD12347"/>
    </row>
    <row r="12348" spans="30:30" x14ac:dyDescent="0.25">
      <c r="AD12348"/>
    </row>
    <row r="12349" spans="30:30" x14ac:dyDescent="0.25">
      <c r="AD12349"/>
    </row>
    <row r="12350" spans="30:30" x14ac:dyDescent="0.25">
      <c r="AD12350"/>
    </row>
    <row r="12351" spans="30:30" x14ac:dyDescent="0.25">
      <c r="AD12351"/>
    </row>
    <row r="12352" spans="30:30" x14ac:dyDescent="0.25">
      <c r="AD12352"/>
    </row>
    <row r="12353" spans="30:30" x14ac:dyDescent="0.25">
      <c r="AD12353"/>
    </row>
    <row r="12354" spans="30:30" x14ac:dyDescent="0.25">
      <c r="AD12354"/>
    </row>
    <row r="12355" spans="30:30" x14ac:dyDescent="0.25">
      <c r="AD12355"/>
    </row>
    <row r="12356" spans="30:30" x14ac:dyDescent="0.25">
      <c r="AD12356"/>
    </row>
    <row r="12357" spans="30:30" x14ac:dyDescent="0.25">
      <c r="AD12357"/>
    </row>
    <row r="12358" spans="30:30" x14ac:dyDescent="0.25">
      <c r="AD12358"/>
    </row>
    <row r="12359" spans="30:30" x14ac:dyDescent="0.25">
      <c r="AD12359"/>
    </row>
    <row r="12360" spans="30:30" x14ac:dyDescent="0.25">
      <c r="AD12360"/>
    </row>
    <row r="12361" spans="30:30" x14ac:dyDescent="0.25">
      <c r="AD12361"/>
    </row>
    <row r="12362" spans="30:30" x14ac:dyDescent="0.25">
      <c r="AD12362"/>
    </row>
    <row r="12363" spans="30:30" x14ac:dyDescent="0.25">
      <c r="AD12363"/>
    </row>
    <row r="12364" spans="30:30" x14ac:dyDescent="0.25">
      <c r="AD12364"/>
    </row>
    <row r="12365" spans="30:30" x14ac:dyDescent="0.25">
      <c r="AD12365"/>
    </row>
    <row r="12366" spans="30:30" x14ac:dyDescent="0.25">
      <c r="AD12366"/>
    </row>
    <row r="12367" spans="30:30" x14ac:dyDescent="0.25">
      <c r="AD12367"/>
    </row>
    <row r="12368" spans="30:30" x14ac:dyDescent="0.25">
      <c r="AD12368"/>
    </row>
    <row r="12369" spans="30:30" x14ac:dyDescent="0.25">
      <c r="AD12369"/>
    </row>
    <row r="12370" spans="30:30" x14ac:dyDescent="0.25">
      <c r="AD12370"/>
    </row>
    <row r="12371" spans="30:30" x14ac:dyDescent="0.25">
      <c r="AD12371"/>
    </row>
    <row r="12372" spans="30:30" x14ac:dyDescent="0.25">
      <c r="AD12372"/>
    </row>
    <row r="12373" spans="30:30" x14ac:dyDescent="0.25">
      <c r="AD12373"/>
    </row>
    <row r="12374" spans="30:30" x14ac:dyDescent="0.25">
      <c r="AD12374"/>
    </row>
    <row r="12375" spans="30:30" x14ac:dyDescent="0.25">
      <c r="AD12375"/>
    </row>
    <row r="12376" spans="30:30" x14ac:dyDescent="0.25">
      <c r="AD12376"/>
    </row>
    <row r="12377" spans="30:30" x14ac:dyDescent="0.25">
      <c r="AD12377"/>
    </row>
    <row r="12378" spans="30:30" x14ac:dyDescent="0.25">
      <c r="AD12378"/>
    </row>
    <row r="12379" spans="30:30" x14ac:dyDescent="0.25">
      <c r="AD12379"/>
    </row>
    <row r="12380" spans="30:30" x14ac:dyDescent="0.25">
      <c r="AD12380"/>
    </row>
    <row r="12381" spans="30:30" x14ac:dyDescent="0.25">
      <c r="AD12381"/>
    </row>
    <row r="12382" spans="30:30" x14ac:dyDescent="0.25">
      <c r="AD12382"/>
    </row>
    <row r="12383" spans="30:30" x14ac:dyDescent="0.25">
      <c r="AD12383"/>
    </row>
    <row r="12384" spans="30:30" x14ac:dyDescent="0.25">
      <c r="AD12384"/>
    </row>
    <row r="12385" spans="30:30" x14ac:dyDescent="0.25">
      <c r="AD12385"/>
    </row>
    <row r="12386" spans="30:30" x14ac:dyDescent="0.25">
      <c r="AD12386"/>
    </row>
    <row r="12387" spans="30:30" x14ac:dyDescent="0.25">
      <c r="AD12387"/>
    </row>
    <row r="12388" spans="30:30" x14ac:dyDescent="0.25">
      <c r="AD12388"/>
    </row>
    <row r="12389" spans="30:30" x14ac:dyDescent="0.25">
      <c r="AD12389"/>
    </row>
    <row r="12390" spans="30:30" x14ac:dyDescent="0.25">
      <c r="AD12390"/>
    </row>
    <row r="12391" spans="30:30" x14ac:dyDescent="0.25">
      <c r="AD12391"/>
    </row>
    <row r="12392" spans="30:30" x14ac:dyDescent="0.25">
      <c r="AD12392"/>
    </row>
    <row r="12393" spans="30:30" x14ac:dyDescent="0.25">
      <c r="AD12393"/>
    </row>
    <row r="12394" spans="30:30" x14ac:dyDescent="0.25">
      <c r="AD12394"/>
    </row>
    <row r="12395" spans="30:30" x14ac:dyDescent="0.25">
      <c r="AD12395"/>
    </row>
    <row r="12396" spans="30:30" x14ac:dyDescent="0.25">
      <c r="AD12396"/>
    </row>
    <row r="12397" spans="30:30" x14ac:dyDescent="0.25">
      <c r="AD12397"/>
    </row>
    <row r="12398" spans="30:30" x14ac:dyDescent="0.25">
      <c r="AD12398"/>
    </row>
    <row r="12399" spans="30:30" x14ac:dyDescent="0.25">
      <c r="AD12399"/>
    </row>
    <row r="12400" spans="30:30" x14ac:dyDescent="0.25">
      <c r="AD12400"/>
    </row>
    <row r="12401" spans="30:30" x14ac:dyDescent="0.25">
      <c r="AD12401"/>
    </row>
    <row r="12402" spans="30:30" x14ac:dyDescent="0.25">
      <c r="AD12402"/>
    </row>
    <row r="12403" spans="30:30" x14ac:dyDescent="0.25">
      <c r="AD12403"/>
    </row>
    <row r="12404" spans="30:30" x14ac:dyDescent="0.25">
      <c r="AD12404"/>
    </row>
    <row r="12405" spans="30:30" x14ac:dyDescent="0.25">
      <c r="AD12405"/>
    </row>
    <row r="12406" spans="30:30" x14ac:dyDescent="0.25">
      <c r="AD12406"/>
    </row>
    <row r="12407" spans="30:30" x14ac:dyDescent="0.25">
      <c r="AD12407"/>
    </row>
    <row r="12408" spans="30:30" x14ac:dyDescent="0.25">
      <c r="AD12408"/>
    </row>
    <row r="12409" spans="30:30" x14ac:dyDescent="0.25">
      <c r="AD12409"/>
    </row>
    <row r="12410" spans="30:30" x14ac:dyDescent="0.25">
      <c r="AD12410"/>
    </row>
    <row r="12411" spans="30:30" x14ac:dyDescent="0.25">
      <c r="AD12411"/>
    </row>
    <row r="12412" spans="30:30" x14ac:dyDescent="0.25">
      <c r="AD12412"/>
    </row>
    <row r="12413" spans="30:30" x14ac:dyDescent="0.25">
      <c r="AD12413"/>
    </row>
    <row r="12414" spans="30:30" x14ac:dyDescent="0.25">
      <c r="AD12414"/>
    </row>
    <row r="12415" spans="30:30" x14ac:dyDescent="0.25">
      <c r="AD12415"/>
    </row>
    <row r="12416" spans="30:30" x14ac:dyDescent="0.25">
      <c r="AD12416"/>
    </row>
    <row r="12417" spans="30:30" x14ac:dyDescent="0.25">
      <c r="AD12417"/>
    </row>
    <row r="12418" spans="30:30" x14ac:dyDescent="0.25">
      <c r="AD12418"/>
    </row>
    <row r="12419" spans="30:30" x14ac:dyDescent="0.25">
      <c r="AD12419"/>
    </row>
    <row r="12420" spans="30:30" x14ac:dyDescent="0.25">
      <c r="AD12420"/>
    </row>
    <row r="12421" spans="30:30" x14ac:dyDescent="0.25">
      <c r="AD12421"/>
    </row>
    <row r="12422" spans="30:30" x14ac:dyDescent="0.25">
      <c r="AD12422"/>
    </row>
    <row r="12423" spans="30:30" x14ac:dyDescent="0.25">
      <c r="AD12423"/>
    </row>
    <row r="12424" spans="30:30" x14ac:dyDescent="0.25">
      <c r="AD12424"/>
    </row>
    <row r="12425" spans="30:30" x14ac:dyDescent="0.25">
      <c r="AD12425"/>
    </row>
    <row r="12426" spans="30:30" x14ac:dyDescent="0.25">
      <c r="AD12426"/>
    </row>
    <row r="12427" spans="30:30" x14ac:dyDescent="0.25">
      <c r="AD12427"/>
    </row>
    <row r="12428" spans="30:30" x14ac:dyDescent="0.25">
      <c r="AD12428"/>
    </row>
    <row r="12429" spans="30:30" x14ac:dyDescent="0.25">
      <c r="AD12429"/>
    </row>
    <row r="12430" spans="30:30" x14ac:dyDescent="0.25">
      <c r="AD12430"/>
    </row>
    <row r="12431" spans="30:30" x14ac:dyDescent="0.25">
      <c r="AD12431"/>
    </row>
    <row r="12432" spans="30:30" x14ac:dyDescent="0.25">
      <c r="AD12432"/>
    </row>
    <row r="12433" spans="30:30" x14ac:dyDescent="0.25">
      <c r="AD12433"/>
    </row>
    <row r="12434" spans="30:30" x14ac:dyDescent="0.25">
      <c r="AD12434"/>
    </row>
    <row r="12435" spans="30:30" x14ac:dyDescent="0.25">
      <c r="AD12435"/>
    </row>
    <row r="12436" spans="30:30" x14ac:dyDescent="0.25">
      <c r="AD12436"/>
    </row>
    <row r="12437" spans="30:30" x14ac:dyDescent="0.25">
      <c r="AD12437"/>
    </row>
    <row r="12438" spans="30:30" x14ac:dyDescent="0.25">
      <c r="AD12438"/>
    </row>
    <row r="12439" spans="30:30" x14ac:dyDescent="0.25">
      <c r="AD12439"/>
    </row>
    <row r="12440" spans="30:30" x14ac:dyDescent="0.25">
      <c r="AD12440"/>
    </row>
    <row r="12441" spans="30:30" x14ac:dyDescent="0.25">
      <c r="AD12441"/>
    </row>
    <row r="12442" spans="30:30" x14ac:dyDescent="0.25">
      <c r="AD12442"/>
    </row>
    <row r="12443" spans="30:30" x14ac:dyDescent="0.25">
      <c r="AD12443"/>
    </row>
    <row r="12444" spans="30:30" x14ac:dyDescent="0.25">
      <c r="AD12444"/>
    </row>
    <row r="12445" spans="30:30" x14ac:dyDescent="0.25">
      <c r="AD12445"/>
    </row>
    <row r="12446" spans="30:30" x14ac:dyDescent="0.25">
      <c r="AD12446"/>
    </row>
    <row r="12447" spans="30:30" x14ac:dyDescent="0.25">
      <c r="AD12447"/>
    </row>
    <row r="12448" spans="30:30" x14ac:dyDescent="0.25">
      <c r="AD12448"/>
    </row>
    <row r="12449" spans="30:30" x14ac:dyDescent="0.25">
      <c r="AD12449"/>
    </row>
    <row r="12450" spans="30:30" x14ac:dyDescent="0.25">
      <c r="AD12450"/>
    </row>
    <row r="12451" spans="30:30" x14ac:dyDescent="0.25">
      <c r="AD12451"/>
    </row>
    <row r="12452" spans="30:30" x14ac:dyDescent="0.25">
      <c r="AD12452"/>
    </row>
    <row r="12453" spans="30:30" x14ac:dyDescent="0.25">
      <c r="AD12453"/>
    </row>
    <row r="12454" spans="30:30" x14ac:dyDescent="0.25">
      <c r="AD12454"/>
    </row>
    <row r="12455" spans="30:30" x14ac:dyDescent="0.25">
      <c r="AD12455"/>
    </row>
    <row r="12456" spans="30:30" x14ac:dyDescent="0.25">
      <c r="AD12456"/>
    </row>
    <row r="12457" spans="30:30" x14ac:dyDescent="0.25">
      <c r="AD12457"/>
    </row>
    <row r="12458" spans="30:30" x14ac:dyDescent="0.25">
      <c r="AD12458"/>
    </row>
    <row r="12459" spans="30:30" x14ac:dyDescent="0.25">
      <c r="AD12459"/>
    </row>
    <row r="12460" spans="30:30" x14ac:dyDescent="0.25">
      <c r="AD12460"/>
    </row>
    <row r="12461" spans="30:30" x14ac:dyDescent="0.25">
      <c r="AD12461"/>
    </row>
    <row r="12462" spans="30:30" x14ac:dyDescent="0.25">
      <c r="AD12462"/>
    </row>
    <row r="12463" spans="30:30" x14ac:dyDescent="0.25">
      <c r="AD12463"/>
    </row>
    <row r="12464" spans="30:30" x14ac:dyDescent="0.25">
      <c r="AD12464"/>
    </row>
    <row r="12465" spans="30:30" x14ac:dyDescent="0.25">
      <c r="AD12465"/>
    </row>
    <row r="12466" spans="30:30" x14ac:dyDescent="0.25">
      <c r="AD12466"/>
    </row>
    <row r="12467" spans="30:30" x14ac:dyDescent="0.25">
      <c r="AD12467"/>
    </row>
    <row r="12468" spans="30:30" x14ac:dyDescent="0.25">
      <c r="AD12468"/>
    </row>
    <row r="12469" spans="30:30" x14ac:dyDescent="0.25">
      <c r="AD12469"/>
    </row>
    <row r="12470" spans="30:30" x14ac:dyDescent="0.25">
      <c r="AD12470"/>
    </row>
    <row r="12471" spans="30:30" x14ac:dyDescent="0.25">
      <c r="AD12471"/>
    </row>
    <row r="12472" spans="30:30" x14ac:dyDescent="0.25">
      <c r="AD12472"/>
    </row>
    <row r="12473" spans="30:30" x14ac:dyDescent="0.25">
      <c r="AD12473"/>
    </row>
    <row r="12474" spans="30:30" x14ac:dyDescent="0.25">
      <c r="AD12474"/>
    </row>
    <row r="12475" spans="30:30" x14ac:dyDescent="0.25">
      <c r="AD12475"/>
    </row>
    <row r="12476" spans="30:30" x14ac:dyDescent="0.25">
      <c r="AD12476"/>
    </row>
    <row r="12477" spans="30:30" x14ac:dyDescent="0.25">
      <c r="AD12477"/>
    </row>
    <row r="12478" spans="30:30" x14ac:dyDescent="0.25">
      <c r="AD12478"/>
    </row>
    <row r="12479" spans="30:30" x14ac:dyDescent="0.25">
      <c r="AD12479"/>
    </row>
    <row r="12480" spans="30:30" x14ac:dyDescent="0.25">
      <c r="AD12480"/>
    </row>
    <row r="12481" spans="30:30" x14ac:dyDescent="0.25">
      <c r="AD12481"/>
    </row>
    <row r="12482" spans="30:30" x14ac:dyDescent="0.25">
      <c r="AD12482"/>
    </row>
    <row r="12483" spans="30:30" x14ac:dyDescent="0.25">
      <c r="AD12483"/>
    </row>
    <row r="12484" spans="30:30" x14ac:dyDescent="0.25">
      <c r="AD12484"/>
    </row>
    <row r="12485" spans="30:30" x14ac:dyDescent="0.25">
      <c r="AD12485"/>
    </row>
    <row r="12486" spans="30:30" x14ac:dyDescent="0.25">
      <c r="AD12486"/>
    </row>
    <row r="12487" spans="30:30" x14ac:dyDescent="0.25">
      <c r="AD12487"/>
    </row>
    <row r="12488" spans="30:30" x14ac:dyDescent="0.25">
      <c r="AD12488"/>
    </row>
    <row r="12489" spans="30:30" x14ac:dyDescent="0.25">
      <c r="AD12489"/>
    </row>
    <row r="12490" spans="30:30" x14ac:dyDescent="0.25">
      <c r="AD12490"/>
    </row>
    <row r="12491" spans="30:30" x14ac:dyDescent="0.25">
      <c r="AD12491"/>
    </row>
    <row r="12492" spans="30:30" x14ac:dyDescent="0.25">
      <c r="AD12492"/>
    </row>
    <row r="12493" spans="30:30" x14ac:dyDescent="0.25">
      <c r="AD12493"/>
    </row>
    <row r="12494" spans="30:30" x14ac:dyDescent="0.25">
      <c r="AD12494"/>
    </row>
    <row r="12495" spans="30:30" x14ac:dyDescent="0.25">
      <c r="AD12495"/>
    </row>
    <row r="12496" spans="30:30" x14ac:dyDescent="0.25">
      <c r="AD12496"/>
    </row>
    <row r="12497" spans="30:30" x14ac:dyDescent="0.25">
      <c r="AD12497"/>
    </row>
    <row r="12498" spans="30:30" x14ac:dyDescent="0.25">
      <c r="AD12498"/>
    </row>
    <row r="12499" spans="30:30" x14ac:dyDescent="0.25">
      <c r="AD12499"/>
    </row>
    <row r="12500" spans="30:30" x14ac:dyDescent="0.25">
      <c r="AD12500"/>
    </row>
    <row r="12501" spans="30:30" x14ac:dyDescent="0.25">
      <c r="AD12501"/>
    </row>
    <row r="12502" spans="30:30" x14ac:dyDescent="0.25">
      <c r="AD12502"/>
    </row>
    <row r="12503" spans="30:30" x14ac:dyDescent="0.25">
      <c r="AD12503"/>
    </row>
    <row r="12504" spans="30:30" x14ac:dyDescent="0.25">
      <c r="AD12504"/>
    </row>
    <row r="12505" spans="30:30" x14ac:dyDescent="0.25">
      <c r="AD12505"/>
    </row>
    <row r="12506" spans="30:30" x14ac:dyDescent="0.25">
      <c r="AD12506"/>
    </row>
    <row r="12507" spans="30:30" x14ac:dyDescent="0.25">
      <c r="AD12507"/>
    </row>
    <row r="12508" spans="30:30" x14ac:dyDescent="0.25">
      <c r="AD12508"/>
    </row>
    <row r="12509" spans="30:30" x14ac:dyDescent="0.25">
      <c r="AD12509"/>
    </row>
    <row r="12510" spans="30:30" x14ac:dyDescent="0.25">
      <c r="AD12510"/>
    </row>
    <row r="12511" spans="30:30" x14ac:dyDescent="0.25">
      <c r="AD12511"/>
    </row>
    <row r="12512" spans="30:30" x14ac:dyDescent="0.25">
      <c r="AD12512"/>
    </row>
    <row r="12513" spans="30:30" x14ac:dyDescent="0.25">
      <c r="AD12513"/>
    </row>
    <row r="12514" spans="30:30" x14ac:dyDescent="0.25">
      <c r="AD12514"/>
    </row>
    <row r="12515" spans="30:30" x14ac:dyDescent="0.25">
      <c r="AD12515"/>
    </row>
    <row r="12516" spans="30:30" x14ac:dyDescent="0.25">
      <c r="AD12516"/>
    </row>
    <row r="12517" spans="30:30" x14ac:dyDescent="0.25">
      <c r="AD12517"/>
    </row>
    <row r="12518" spans="30:30" x14ac:dyDescent="0.25">
      <c r="AD12518"/>
    </row>
    <row r="12519" spans="30:30" x14ac:dyDescent="0.25">
      <c r="AD12519"/>
    </row>
    <row r="12520" spans="30:30" x14ac:dyDescent="0.25">
      <c r="AD12520"/>
    </row>
    <row r="12521" spans="30:30" x14ac:dyDescent="0.25">
      <c r="AD12521"/>
    </row>
    <row r="12522" spans="30:30" x14ac:dyDescent="0.25">
      <c r="AD12522"/>
    </row>
    <row r="12523" spans="30:30" x14ac:dyDescent="0.25">
      <c r="AD12523"/>
    </row>
    <row r="12524" spans="30:30" x14ac:dyDescent="0.25">
      <c r="AD12524"/>
    </row>
    <row r="12525" spans="30:30" x14ac:dyDescent="0.25">
      <c r="AD12525"/>
    </row>
    <row r="12526" spans="30:30" x14ac:dyDescent="0.25">
      <c r="AD12526"/>
    </row>
    <row r="12527" spans="30:30" x14ac:dyDescent="0.25">
      <c r="AD12527"/>
    </row>
    <row r="12528" spans="30:30" x14ac:dyDescent="0.25">
      <c r="AD12528"/>
    </row>
    <row r="12529" spans="30:30" x14ac:dyDescent="0.25">
      <c r="AD12529"/>
    </row>
    <row r="12530" spans="30:30" x14ac:dyDescent="0.25">
      <c r="AD12530"/>
    </row>
    <row r="12531" spans="30:30" x14ac:dyDescent="0.25">
      <c r="AD12531"/>
    </row>
    <row r="12532" spans="30:30" x14ac:dyDescent="0.25">
      <c r="AD12532"/>
    </row>
    <row r="12533" spans="30:30" x14ac:dyDescent="0.25">
      <c r="AD12533"/>
    </row>
    <row r="12534" spans="30:30" x14ac:dyDescent="0.25">
      <c r="AD12534"/>
    </row>
    <row r="12535" spans="30:30" x14ac:dyDescent="0.25">
      <c r="AD12535"/>
    </row>
    <row r="12536" spans="30:30" x14ac:dyDescent="0.25">
      <c r="AD12536"/>
    </row>
    <row r="12537" spans="30:30" x14ac:dyDescent="0.25">
      <c r="AD12537"/>
    </row>
    <row r="12538" spans="30:30" x14ac:dyDescent="0.25">
      <c r="AD12538"/>
    </row>
    <row r="12539" spans="30:30" x14ac:dyDescent="0.25">
      <c r="AD12539"/>
    </row>
    <row r="12540" spans="30:30" x14ac:dyDescent="0.25">
      <c r="AD12540"/>
    </row>
    <row r="12541" spans="30:30" x14ac:dyDescent="0.25">
      <c r="AD12541"/>
    </row>
    <row r="12542" spans="30:30" x14ac:dyDescent="0.25">
      <c r="AD12542"/>
    </row>
    <row r="12543" spans="30:30" x14ac:dyDescent="0.25">
      <c r="AD12543"/>
    </row>
    <row r="12544" spans="30:30" x14ac:dyDescent="0.25">
      <c r="AD12544"/>
    </row>
    <row r="12545" spans="30:30" x14ac:dyDescent="0.25">
      <c r="AD12545"/>
    </row>
    <row r="12546" spans="30:30" x14ac:dyDescent="0.25">
      <c r="AD12546"/>
    </row>
    <row r="12547" spans="30:30" x14ac:dyDescent="0.25">
      <c r="AD12547"/>
    </row>
    <row r="12548" spans="30:30" x14ac:dyDescent="0.25">
      <c r="AD12548"/>
    </row>
    <row r="12549" spans="30:30" x14ac:dyDescent="0.25">
      <c r="AD12549"/>
    </row>
    <row r="12550" spans="30:30" x14ac:dyDescent="0.25">
      <c r="AD12550"/>
    </row>
    <row r="12551" spans="30:30" x14ac:dyDescent="0.25">
      <c r="AD12551"/>
    </row>
    <row r="12552" spans="30:30" x14ac:dyDescent="0.25">
      <c r="AD12552"/>
    </row>
    <row r="12553" spans="30:30" x14ac:dyDescent="0.25">
      <c r="AD12553"/>
    </row>
    <row r="12554" spans="30:30" x14ac:dyDescent="0.25">
      <c r="AD12554"/>
    </row>
    <row r="12555" spans="30:30" x14ac:dyDescent="0.25">
      <c r="AD12555"/>
    </row>
    <row r="12556" spans="30:30" x14ac:dyDescent="0.25">
      <c r="AD12556"/>
    </row>
    <row r="12557" spans="30:30" x14ac:dyDescent="0.25">
      <c r="AD12557"/>
    </row>
    <row r="12558" spans="30:30" x14ac:dyDescent="0.25">
      <c r="AD12558"/>
    </row>
    <row r="12559" spans="30:30" x14ac:dyDescent="0.25">
      <c r="AD12559"/>
    </row>
    <row r="12560" spans="30:30" x14ac:dyDescent="0.25">
      <c r="AD12560"/>
    </row>
    <row r="12561" spans="30:30" x14ac:dyDescent="0.25">
      <c r="AD12561"/>
    </row>
    <row r="12562" spans="30:30" x14ac:dyDescent="0.25">
      <c r="AD12562"/>
    </row>
    <row r="12563" spans="30:30" x14ac:dyDescent="0.25">
      <c r="AD12563"/>
    </row>
    <row r="12564" spans="30:30" x14ac:dyDescent="0.25">
      <c r="AD12564"/>
    </row>
    <row r="12565" spans="30:30" x14ac:dyDescent="0.25">
      <c r="AD12565"/>
    </row>
    <row r="12566" spans="30:30" x14ac:dyDescent="0.25">
      <c r="AD12566"/>
    </row>
    <row r="12567" spans="30:30" x14ac:dyDescent="0.25">
      <c r="AD12567"/>
    </row>
    <row r="12568" spans="30:30" x14ac:dyDescent="0.25">
      <c r="AD12568"/>
    </row>
    <row r="12569" spans="30:30" x14ac:dyDescent="0.25">
      <c r="AD12569"/>
    </row>
    <row r="12570" spans="30:30" x14ac:dyDescent="0.25">
      <c r="AD12570"/>
    </row>
    <row r="12571" spans="30:30" x14ac:dyDescent="0.25">
      <c r="AD12571"/>
    </row>
    <row r="12572" spans="30:30" x14ac:dyDescent="0.25">
      <c r="AD12572"/>
    </row>
    <row r="12573" spans="30:30" x14ac:dyDescent="0.25">
      <c r="AD12573"/>
    </row>
    <row r="12574" spans="30:30" x14ac:dyDescent="0.25">
      <c r="AD12574"/>
    </row>
    <row r="12575" spans="30:30" x14ac:dyDescent="0.25">
      <c r="AD12575"/>
    </row>
    <row r="12576" spans="30:30" x14ac:dyDescent="0.25">
      <c r="AD12576"/>
    </row>
    <row r="12577" spans="30:30" x14ac:dyDescent="0.25">
      <c r="AD12577"/>
    </row>
    <row r="12578" spans="30:30" x14ac:dyDescent="0.25">
      <c r="AD12578"/>
    </row>
    <row r="12579" spans="30:30" x14ac:dyDescent="0.25">
      <c r="AD12579"/>
    </row>
    <row r="12580" spans="30:30" x14ac:dyDescent="0.25">
      <c r="AD12580"/>
    </row>
    <row r="12581" spans="30:30" x14ac:dyDescent="0.25">
      <c r="AD12581"/>
    </row>
    <row r="12582" spans="30:30" x14ac:dyDescent="0.25">
      <c r="AD12582"/>
    </row>
    <row r="12583" spans="30:30" x14ac:dyDescent="0.25">
      <c r="AD12583"/>
    </row>
    <row r="12584" spans="30:30" x14ac:dyDescent="0.25">
      <c r="AD12584"/>
    </row>
    <row r="12585" spans="30:30" x14ac:dyDescent="0.25">
      <c r="AD12585"/>
    </row>
    <row r="12586" spans="30:30" x14ac:dyDescent="0.25">
      <c r="AD12586"/>
    </row>
    <row r="12587" spans="30:30" x14ac:dyDescent="0.25">
      <c r="AD12587"/>
    </row>
    <row r="12588" spans="30:30" x14ac:dyDescent="0.25">
      <c r="AD12588"/>
    </row>
    <row r="12589" spans="30:30" x14ac:dyDescent="0.25">
      <c r="AD12589"/>
    </row>
    <row r="12590" spans="30:30" x14ac:dyDescent="0.25">
      <c r="AD12590"/>
    </row>
    <row r="12591" spans="30:30" x14ac:dyDescent="0.25">
      <c r="AD12591"/>
    </row>
    <row r="12592" spans="30:30" x14ac:dyDescent="0.25">
      <c r="AD12592"/>
    </row>
    <row r="12593" spans="30:30" x14ac:dyDescent="0.25">
      <c r="AD12593"/>
    </row>
    <row r="12594" spans="30:30" x14ac:dyDescent="0.25">
      <c r="AD12594"/>
    </row>
    <row r="12595" spans="30:30" x14ac:dyDescent="0.25">
      <c r="AD12595"/>
    </row>
    <row r="12596" spans="30:30" x14ac:dyDescent="0.25">
      <c r="AD12596"/>
    </row>
    <row r="12597" spans="30:30" x14ac:dyDescent="0.25">
      <c r="AD12597"/>
    </row>
    <row r="12598" spans="30:30" x14ac:dyDescent="0.25">
      <c r="AD12598"/>
    </row>
    <row r="12599" spans="30:30" x14ac:dyDescent="0.25">
      <c r="AD12599"/>
    </row>
    <row r="12600" spans="30:30" x14ac:dyDescent="0.25">
      <c r="AD12600"/>
    </row>
    <row r="12601" spans="30:30" x14ac:dyDescent="0.25">
      <c r="AD12601"/>
    </row>
    <row r="12602" spans="30:30" x14ac:dyDescent="0.25">
      <c r="AD12602"/>
    </row>
    <row r="12603" spans="30:30" x14ac:dyDescent="0.25">
      <c r="AD12603"/>
    </row>
    <row r="12604" spans="30:30" x14ac:dyDescent="0.25">
      <c r="AD12604"/>
    </row>
    <row r="12605" spans="30:30" x14ac:dyDescent="0.25">
      <c r="AD12605"/>
    </row>
    <row r="12606" spans="30:30" x14ac:dyDescent="0.25">
      <c r="AD12606"/>
    </row>
    <row r="12607" spans="30:30" x14ac:dyDescent="0.25">
      <c r="AD12607"/>
    </row>
    <row r="12608" spans="30:30" x14ac:dyDescent="0.25">
      <c r="AD12608"/>
    </row>
    <row r="12609" spans="30:30" x14ac:dyDescent="0.25">
      <c r="AD12609"/>
    </row>
    <row r="12610" spans="30:30" x14ac:dyDescent="0.25">
      <c r="AD12610"/>
    </row>
    <row r="12611" spans="30:30" x14ac:dyDescent="0.25">
      <c r="AD12611"/>
    </row>
    <row r="12612" spans="30:30" x14ac:dyDescent="0.25">
      <c r="AD12612"/>
    </row>
    <row r="12613" spans="30:30" x14ac:dyDescent="0.25">
      <c r="AD12613"/>
    </row>
    <row r="12614" spans="30:30" x14ac:dyDescent="0.25">
      <c r="AD12614"/>
    </row>
    <row r="12615" spans="30:30" x14ac:dyDescent="0.25">
      <c r="AD12615"/>
    </row>
    <row r="12616" spans="30:30" x14ac:dyDescent="0.25">
      <c r="AD12616"/>
    </row>
    <row r="12617" spans="30:30" x14ac:dyDescent="0.25">
      <c r="AD12617"/>
    </row>
    <row r="12618" spans="30:30" x14ac:dyDescent="0.25">
      <c r="AD12618"/>
    </row>
    <row r="12619" spans="30:30" x14ac:dyDescent="0.25">
      <c r="AD12619"/>
    </row>
    <row r="12620" spans="30:30" x14ac:dyDescent="0.25">
      <c r="AD12620"/>
    </row>
    <row r="12621" spans="30:30" x14ac:dyDescent="0.25">
      <c r="AD12621"/>
    </row>
    <row r="12622" spans="30:30" x14ac:dyDescent="0.25">
      <c r="AD12622"/>
    </row>
    <row r="12623" spans="30:30" x14ac:dyDescent="0.25">
      <c r="AD12623"/>
    </row>
    <row r="12624" spans="30:30" x14ac:dyDescent="0.25">
      <c r="AD12624"/>
    </row>
    <row r="12625" spans="30:30" x14ac:dyDescent="0.25">
      <c r="AD12625"/>
    </row>
    <row r="12626" spans="30:30" x14ac:dyDescent="0.25">
      <c r="AD12626"/>
    </row>
    <row r="12627" spans="30:30" x14ac:dyDescent="0.25">
      <c r="AD12627"/>
    </row>
    <row r="12628" spans="30:30" x14ac:dyDescent="0.25">
      <c r="AD12628"/>
    </row>
    <row r="12629" spans="30:30" x14ac:dyDescent="0.25">
      <c r="AD12629"/>
    </row>
    <row r="12630" spans="30:30" x14ac:dyDescent="0.25">
      <c r="AD12630"/>
    </row>
    <row r="12631" spans="30:30" x14ac:dyDescent="0.25">
      <c r="AD12631"/>
    </row>
    <row r="12632" spans="30:30" x14ac:dyDescent="0.25">
      <c r="AD12632"/>
    </row>
    <row r="12633" spans="30:30" x14ac:dyDescent="0.25">
      <c r="AD12633"/>
    </row>
    <row r="12634" spans="30:30" x14ac:dyDescent="0.25">
      <c r="AD12634"/>
    </row>
    <row r="12635" spans="30:30" x14ac:dyDescent="0.25">
      <c r="AD12635"/>
    </row>
    <row r="12636" spans="30:30" x14ac:dyDescent="0.25">
      <c r="AD12636"/>
    </row>
    <row r="12637" spans="30:30" x14ac:dyDescent="0.25">
      <c r="AD12637"/>
    </row>
    <row r="12638" spans="30:30" x14ac:dyDescent="0.25">
      <c r="AD12638"/>
    </row>
    <row r="12639" spans="30:30" x14ac:dyDescent="0.25">
      <c r="AD12639"/>
    </row>
    <row r="12640" spans="30:30" x14ac:dyDescent="0.25">
      <c r="AD12640"/>
    </row>
    <row r="12641" spans="30:30" x14ac:dyDescent="0.25">
      <c r="AD12641"/>
    </row>
    <row r="12642" spans="30:30" x14ac:dyDescent="0.25">
      <c r="AD12642"/>
    </row>
    <row r="12643" spans="30:30" x14ac:dyDescent="0.25">
      <c r="AD12643"/>
    </row>
    <row r="12644" spans="30:30" x14ac:dyDescent="0.25">
      <c r="AD12644"/>
    </row>
    <row r="12645" spans="30:30" x14ac:dyDescent="0.25">
      <c r="AD12645"/>
    </row>
    <row r="12646" spans="30:30" x14ac:dyDescent="0.25">
      <c r="AD12646"/>
    </row>
    <row r="12647" spans="30:30" x14ac:dyDescent="0.25">
      <c r="AD12647"/>
    </row>
    <row r="12648" spans="30:30" x14ac:dyDescent="0.25">
      <c r="AD12648"/>
    </row>
    <row r="12649" spans="30:30" x14ac:dyDescent="0.25">
      <c r="AD12649"/>
    </row>
    <row r="12650" spans="30:30" x14ac:dyDescent="0.25">
      <c r="AD12650"/>
    </row>
    <row r="12651" spans="30:30" x14ac:dyDescent="0.25">
      <c r="AD12651"/>
    </row>
    <row r="12652" spans="30:30" x14ac:dyDescent="0.25">
      <c r="AD12652"/>
    </row>
    <row r="12653" spans="30:30" x14ac:dyDescent="0.25">
      <c r="AD12653"/>
    </row>
    <row r="12654" spans="30:30" x14ac:dyDescent="0.25">
      <c r="AD12654"/>
    </row>
    <row r="12655" spans="30:30" x14ac:dyDescent="0.25">
      <c r="AD12655"/>
    </row>
    <row r="12656" spans="30:30" x14ac:dyDescent="0.25">
      <c r="AD12656"/>
    </row>
    <row r="12657" spans="30:30" x14ac:dyDescent="0.25">
      <c r="AD12657"/>
    </row>
    <row r="12658" spans="30:30" x14ac:dyDescent="0.25">
      <c r="AD12658"/>
    </row>
    <row r="12659" spans="30:30" x14ac:dyDescent="0.25">
      <c r="AD12659"/>
    </row>
    <row r="12660" spans="30:30" x14ac:dyDescent="0.25">
      <c r="AD12660"/>
    </row>
    <row r="12661" spans="30:30" x14ac:dyDescent="0.25">
      <c r="AD12661"/>
    </row>
    <row r="12662" spans="30:30" x14ac:dyDescent="0.25">
      <c r="AD12662"/>
    </row>
    <row r="12663" spans="30:30" x14ac:dyDescent="0.25">
      <c r="AD12663"/>
    </row>
    <row r="12664" spans="30:30" x14ac:dyDescent="0.25">
      <c r="AD12664"/>
    </row>
    <row r="12665" spans="30:30" x14ac:dyDescent="0.25">
      <c r="AD12665"/>
    </row>
    <row r="12666" spans="30:30" x14ac:dyDescent="0.25">
      <c r="AD12666"/>
    </row>
    <row r="12667" spans="30:30" x14ac:dyDescent="0.25">
      <c r="AD12667"/>
    </row>
    <row r="12668" spans="30:30" x14ac:dyDescent="0.25">
      <c r="AD12668"/>
    </row>
    <row r="12669" spans="30:30" x14ac:dyDescent="0.25">
      <c r="AD12669"/>
    </row>
    <row r="12670" spans="30:30" x14ac:dyDescent="0.25">
      <c r="AD12670"/>
    </row>
    <row r="12671" spans="30:30" x14ac:dyDescent="0.25">
      <c r="AD12671"/>
    </row>
    <row r="12672" spans="30:30" x14ac:dyDescent="0.25">
      <c r="AD12672"/>
    </row>
    <row r="12673" spans="30:30" x14ac:dyDescent="0.25">
      <c r="AD12673"/>
    </row>
    <row r="12674" spans="30:30" x14ac:dyDescent="0.25">
      <c r="AD12674"/>
    </row>
    <row r="12675" spans="30:30" x14ac:dyDescent="0.25">
      <c r="AD12675"/>
    </row>
    <row r="12676" spans="30:30" x14ac:dyDescent="0.25">
      <c r="AD12676"/>
    </row>
    <row r="12677" spans="30:30" x14ac:dyDescent="0.25">
      <c r="AD12677"/>
    </row>
    <row r="12678" spans="30:30" x14ac:dyDescent="0.25">
      <c r="AD12678"/>
    </row>
    <row r="12679" spans="30:30" x14ac:dyDescent="0.25">
      <c r="AD12679"/>
    </row>
    <row r="12680" spans="30:30" x14ac:dyDescent="0.25">
      <c r="AD12680"/>
    </row>
    <row r="12681" spans="30:30" x14ac:dyDescent="0.25">
      <c r="AD12681"/>
    </row>
    <row r="12682" spans="30:30" x14ac:dyDescent="0.25">
      <c r="AD12682"/>
    </row>
    <row r="12683" spans="30:30" x14ac:dyDescent="0.25">
      <c r="AD12683"/>
    </row>
    <row r="12684" spans="30:30" x14ac:dyDescent="0.25">
      <c r="AD12684"/>
    </row>
    <row r="12685" spans="30:30" x14ac:dyDescent="0.25">
      <c r="AD12685"/>
    </row>
    <row r="12686" spans="30:30" x14ac:dyDescent="0.25">
      <c r="AD12686"/>
    </row>
    <row r="12687" spans="30:30" x14ac:dyDescent="0.25">
      <c r="AD12687"/>
    </row>
    <row r="12688" spans="30:30" x14ac:dyDescent="0.25">
      <c r="AD12688"/>
    </row>
    <row r="12689" spans="30:30" x14ac:dyDescent="0.25">
      <c r="AD12689"/>
    </row>
    <row r="12690" spans="30:30" x14ac:dyDescent="0.25">
      <c r="AD12690"/>
    </row>
    <row r="12691" spans="30:30" x14ac:dyDescent="0.25">
      <c r="AD12691"/>
    </row>
    <row r="12692" spans="30:30" x14ac:dyDescent="0.25">
      <c r="AD12692"/>
    </row>
    <row r="12693" spans="30:30" x14ac:dyDescent="0.25">
      <c r="AD12693"/>
    </row>
    <row r="12694" spans="30:30" x14ac:dyDescent="0.25">
      <c r="AD12694"/>
    </row>
    <row r="12695" spans="30:30" x14ac:dyDescent="0.25">
      <c r="AD12695"/>
    </row>
    <row r="12696" spans="30:30" x14ac:dyDescent="0.25">
      <c r="AD12696"/>
    </row>
    <row r="12697" spans="30:30" x14ac:dyDescent="0.25">
      <c r="AD12697"/>
    </row>
    <row r="12698" spans="30:30" x14ac:dyDescent="0.25">
      <c r="AD12698"/>
    </row>
    <row r="12699" spans="30:30" x14ac:dyDescent="0.25">
      <c r="AD12699"/>
    </row>
    <row r="12700" spans="30:30" x14ac:dyDescent="0.25">
      <c r="AD12700"/>
    </row>
    <row r="12701" spans="30:30" x14ac:dyDescent="0.25">
      <c r="AD12701"/>
    </row>
    <row r="12702" spans="30:30" x14ac:dyDescent="0.25">
      <c r="AD12702"/>
    </row>
    <row r="12703" spans="30:30" x14ac:dyDescent="0.25">
      <c r="AD12703"/>
    </row>
    <row r="12704" spans="30:30" x14ac:dyDescent="0.25">
      <c r="AD12704"/>
    </row>
    <row r="12705" spans="30:30" x14ac:dyDescent="0.25">
      <c r="AD12705"/>
    </row>
    <row r="12706" spans="30:30" x14ac:dyDescent="0.25">
      <c r="AD12706"/>
    </row>
    <row r="12707" spans="30:30" x14ac:dyDescent="0.25">
      <c r="AD12707"/>
    </row>
    <row r="12708" spans="30:30" x14ac:dyDescent="0.25">
      <c r="AD12708"/>
    </row>
    <row r="12709" spans="30:30" x14ac:dyDescent="0.25">
      <c r="AD12709"/>
    </row>
    <row r="12710" spans="30:30" x14ac:dyDescent="0.25">
      <c r="AD12710"/>
    </row>
    <row r="12711" spans="30:30" x14ac:dyDescent="0.25">
      <c r="AD12711"/>
    </row>
    <row r="12712" spans="30:30" x14ac:dyDescent="0.25">
      <c r="AD12712"/>
    </row>
    <row r="12713" spans="30:30" x14ac:dyDescent="0.25">
      <c r="AD12713"/>
    </row>
    <row r="12714" spans="30:30" x14ac:dyDescent="0.25">
      <c r="AD12714"/>
    </row>
    <row r="12715" spans="30:30" x14ac:dyDescent="0.25">
      <c r="AD12715"/>
    </row>
    <row r="12716" spans="30:30" x14ac:dyDescent="0.25">
      <c r="AD12716"/>
    </row>
    <row r="12717" spans="30:30" x14ac:dyDescent="0.25">
      <c r="AD12717"/>
    </row>
    <row r="12718" spans="30:30" x14ac:dyDescent="0.25">
      <c r="AD12718"/>
    </row>
    <row r="12719" spans="30:30" x14ac:dyDescent="0.25">
      <c r="AD12719"/>
    </row>
    <row r="12720" spans="30:30" x14ac:dyDescent="0.25">
      <c r="AD12720"/>
    </row>
    <row r="12721" spans="30:30" x14ac:dyDescent="0.25">
      <c r="AD12721"/>
    </row>
    <row r="12722" spans="30:30" x14ac:dyDescent="0.25">
      <c r="AD12722"/>
    </row>
    <row r="12723" spans="30:30" x14ac:dyDescent="0.25">
      <c r="AD12723"/>
    </row>
    <row r="12724" spans="30:30" x14ac:dyDescent="0.25">
      <c r="AD12724"/>
    </row>
    <row r="12725" spans="30:30" x14ac:dyDescent="0.25">
      <c r="AD12725"/>
    </row>
    <row r="12726" spans="30:30" x14ac:dyDescent="0.25">
      <c r="AD12726"/>
    </row>
    <row r="12727" spans="30:30" x14ac:dyDescent="0.25">
      <c r="AD12727"/>
    </row>
    <row r="12728" spans="30:30" x14ac:dyDescent="0.25">
      <c r="AD12728"/>
    </row>
    <row r="12729" spans="30:30" x14ac:dyDescent="0.25">
      <c r="AD12729"/>
    </row>
    <row r="12730" spans="30:30" x14ac:dyDescent="0.25">
      <c r="AD12730"/>
    </row>
    <row r="12731" spans="30:30" x14ac:dyDescent="0.25">
      <c r="AD12731"/>
    </row>
    <row r="12732" spans="30:30" x14ac:dyDescent="0.25">
      <c r="AD12732"/>
    </row>
    <row r="12733" spans="30:30" x14ac:dyDescent="0.25">
      <c r="AD12733"/>
    </row>
    <row r="12734" spans="30:30" x14ac:dyDescent="0.25">
      <c r="AD12734"/>
    </row>
    <row r="12735" spans="30:30" x14ac:dyDescent="0.25">
      <c r="AD12735"/>
    </row>
    <row r="12736" spans="30:30" x14ac:dyDescent="0.25">
      <c r="AD12736"/>
    </row>
    <row r="12737" spans="30:30" x14ac:dyDescent="0.25">
      <c r="AD12737"/>
    </row>
    <row r="12738" spans="30:30" x14ac:dyDescent="0.25">
      <c r="AD12738"/>
    </row>
    <row r="12739" spans="30:30" x14ac:dyDescent="0.25">
      <c r="AD12739"/>
    </row>
    <row r="12740" spans="30:30" x14ac:dyDescent="0.25">
      <c r="AD12740"/>
    </row>
    <row r="12741" spans="30:30" x14ac:dyDescent="0.25">
      <c r="AD12741"/>
    </row>
    <row r="12742" spans="30:30" x14ac:dyDescent="0.25">
      <c r="AD12742"/>
    </row>
    <row r="12743" spans="30:30" x14ac:dyDescent="0.25">
      <c r="AD12743"/>
    </row>
    <row r="12744" spans="30:30" x14ac:dyDescent="0.25">
      <c r="AD12744"/>
    </row>
    <row r="12745" spans="30:30" x14ac:dyDescent="0.25">
      <c r="AD12745"/>
    </row>
    <row r="12746" spans="30:30" x14ac:dyDescent="0.25">
      <c r="AD12746"/>
    </row>
    <row r="12747" spans="30:30" x14ac:dyDescent="0.25">
      <c r="AD12747"/>
    </row>
    <row r="12748" spans="30:30" x14ac:dyDescent="0.25">
      <c r="AD12748"/>
    </row>
    <row r="12749" spans="30:30" x14ac:dyDescent="0.25">
      <c r="AD12749"/>
    </row>
    <row r="12750" spans="30:30" x14ac:dyDescent="0.25">
      <c r="AD12750"/>
    </row>
    <row r="12751" spans="30:30" x14ac:dyDescent="0.25">
      <c r="AD12751"/>
    </row>
    <row r="12752" spans="30:30" x14ac:dyDescent="0.25">
      <c r="AD12752"/>
    </row>
    <row r="12753" spans="30:30" x14ac:dyDescent="0.25">
      <c r="AD12753"/>
    </row>
    <row r="12754" spans="30:30" x14ac:dyDescent="0.25">
      <c r="AD12754"/>
    </row>
    <row r="12755" spans="30:30" x14ac:dyDescent="0.25">
      <c r="AD12755"/>
    </row>
    <row r="12756" spans="30:30" x14ac:dyDescent="0.25">
      <c r="AD12756"/>
    </row>
    <row r="12757" spans="30:30" x14ac:dyDescent="0.25">
      <c r="AD12757"/>
    </row>
    <row r="12758" spans="30:30" x14ac:dyDescent="0.25">
      <c r="AD12758"/>
    </row>
    <row r="12759" spans="30:30" x14ac:dyDescent="0.25">
      <c r="AD12759"/>
    </row>
    <row r="12760" spans="30:30" x14ac:dyDescent="0.25">
      <c r="AD12760"/>
    </row>
    <row r="12761" spans="30:30" x14ac:dyDescent="0.25">
      <c r="AD12761"/>
    </row>
    <row r="12762" spans="30:30" x14ac:dyDescent="0.25">
      <c r="AD12762"/>
    </row>
    <row r="12763" spans="30:30" x14ac:dyDescent="0.25">
      <c r="AD12763"/>
    </row>
    <row r="12764" spans="30:30" x14ac:dyDescent="0.25">
      <c r="AD12764"/>
    </row>
    <row r="12765" spans="30:30" x14ac:dyDescent="0.25">
      <c r="AD12765"/>
    </row>
    <row r="12766" spans="30:30" x14ac:dyDescent="0.25">
      <c r="AD12766"/>
    </row>
    <row r="12767" spans="30:30" x14ac:dyDescent="0.25">
      <c r="AD12767"/>
    </row>
    <row r="12768" spans="30:30" x14ac:dyDescent="0.25">
      <c r="AD12768"/>
    </row>
    <row r="12769" spans="30:30" x14ac:dyDescent="0.25">
      <c r="AD12769"/>
    </row>
    <row r="12770" spans="30:30" x14ac:dyDescent="0.25">
      <c r="AD12770"/>
    </row>
    <row r="12771" spans="30:30" x14ac:dyDescent="0.25">
      <c r="AD12771"/>
    </row>
    <row r="12772" spans="30:30" x14ac:dyDescent="0.25">
      <c r="AD12772"/>
    </row>
    <row r="12773" spans="30:30" x14ac:dyDescent="0.25">
      <c r="AD12773"/>
    </row>
    <row r="12774" spans="30:30" x14ac:dyDescent="0.25">
      <c r="AD12774"/>
    </row>
    <row r="12775" spans="30:30" x14ac:dyDescent="0.25">
      <c r="AD12775"/>
    </row>
    <row r="12776" spans="30:30" x14ac:dyDescent="0.25">
      <c r="AD12776"/>
    </row>
    <row r="12777" spans="30:30" x14ac:dyDescent="0.25">
      <c r="AD12777"/>
    </row>
    <row r="12778" spans="30:30" x14ac:dyDescent="0.25">
      <c r="AD12778"/>
    </row>
    <row r="12779" spans="30:30" x14ac:dyDescent="0.25">
      <c r="AD12779"/>
    </row>
    <row r="12780" spans="30:30" x14ac:dyDescent="0.25">
      <c r="AD12780"/>
    </row>
    <row r="12781" spans="30:30" x14ac:dyDescent="0.25">
      <c r="AD12781"/>
    </row>
    <row r="12782" spans="30:30" x14ac:dyDescent="0.25">
      <c r="AD12782"/>
    </row>
    <row r="12783" spans="30:30" x14ac:dyDescent="0.25">
      <c r="AD12783"/>
    </row>
    <row r="12784" spans="30:30" x14ac:dyDescent="0.25">
      <c r="AD12784"/>
    </row>
    <row r="12785" spans="30:30" x14ac:dyDescent="0.25">
      <c r="AD12785"/>
    </row>
    <row r="12786" spans="30:30" x14ac:dyDescent="0.25">
      <c r="AD12786"/>
    </row>
    <row r="12787" spans="30:30" x14ac:dyDescent="0.25">
      <c r="AD12787"/>
    </row>
    <row r="12788" spans="30:30" x14ac:dyDescent="0.25">
      <c r="AD12788"/>
    </row>
    <row r="12789" spans="30:30" x14ac:dyDescent="0.25">
      <c r="AD12789"/>
    </row>
    <row r="12790" spans="30:30" x14ac:dyDescent="0.25">
      <c r="AD12790"/>
    </row>
    <row r="12791" spans="30:30" x14ac:dyDescent="0.25">
      <c r="AD12791"/>
    </row>
    <row r="12792" spans="30:30" x14ac:dyDescent="0.25">
      <c r="AD12792"/>
    </row>
    <row r="12793" spans="30:30" x14ac:dyDescent="0.25">
      <c r="AD12793"/>
    </row>
    <row r="12794" spans="30:30" x14ac:dyDescent="0.25">
      <c r="AD12794"/>
    </row>
    <row r="12795" spans="30:30" x14ac:dyDescent="0.25">
      <c r="AD12795"/>
    </row>
    <row r="12796" spans="30:30" x14ac:dyDescent="0.25">
      <c r="AD12796"/>
    </row>
    <row r="12797" spans="30:30" x14ac:dyDescent="0.25">
      <c r="AD12797"/>
    </row>
    <row r="12798" spans="30:30" x14ac:dyDescent="0.25">
      <c r="AD12798"/>
    </row>
    <row r="12799" spans="30:30" x14ac:dyDescent="0.25">
      <c r="AD12799"/>
    </row>
    <row r="12800" spans="30:30" x14ac:dyDescent="0.25">
      <c r="AD12800"/>
    </row>
    <row r="12801" spans="30:30" x14ac:dyDescent="0.25">
      <c r="AD12801"/>
    </row>
    <row r="12802" spans="30:30" x14ac:dyDescent="0.25">
      <c r="AD12802"/>
    </row>
    <row r="12803" spans="30:30" x14ac:dyDescent="0.25">
      <c r="AD12803"/>
    </row>
    <row r="12804" spans="30:30" x14ac:dyDescent="0.25">
      <c r="AD12804"/>
    </row>
    <row r="12805" spans="30:30" x14ac:dyDescent="0.25">
      <c r="AD12805"/>
    </row>
    <row r="12806" spans="30:30" x14ac:dyDescent="0.25">
      <c r="AD12806"/>
    </row>
    <row r="12807" spans="30:30" x14ac:dyDescent="0.25">
      <c r="AD12807"/>
    </row>
    <row r="12808" spans="30:30" x14ac:dyDescent="0.25">
      <c r="AD12808"/>
    </row>
    <row r="12809" spans="30:30" x14ac:dyDescent="0.25">
      <c r="AD12809"/>
    </row>
    <row r="12810" spans="30:30" x14ac:dyDescent="0.25">
      <c r="AD12810"/>
    </row>
    <row r="12811" spans="30:30" x14ac:dyDescent="0.25">
      <c r="AD12811"/>
    </row>
    <row r="12812" spans="30:30" x14ac:dyDescent="0.25">
      <c r="AD12812"/>
    </row>
    <row r="12813" spans="30:30" x14ac:dyDescent="0.25">
      <c r="AD12813"/>
    </row>
    <row r="12814" spans="30:30" x14ac:dyDescent="0.25">
      <c r="AD12814"/>
    </row>
    <row r="12815" spans="30:30" x14ac:dyDescent="0.25">
      <c r="AD12815"/>
    </row>
    <row r="12816" spans="30:30" x14ac:dyDescent="0.25">
      <c r="AD12816"/>
    </row>
    <row r="12817" spans="30:30" x14ac:dyDescent="0.25">
      <c r="AD12817"/>
    </row>
    <row r="12818" spans="30:30" x14ac:dyDescent="0.25">
      <c r="AD12818"/>
    </row>
    <row r="12819" spans="30:30" x14ac:dyDescent="0.25">
      <c r="AD12819"/>
    </row>
    <row r="12820" spans="30:30" x14ac:dyDescent="0.25">
      <c r="AD12820"/>
    </row>
    <row r="12821" spans="30:30" x14ac:dyDescent="0.25">
      <c r="AD12821"/>
    </row>
    <row r="12822" spans="30:30" x14ac:dyDescent="0.25">
      <c r="AD12822"/>
    </row>
    <row r="12823" spans="30:30" x14ac:dyDescent="0.25">
      <c r="AD12823"/>
    </row>
    <row r="12824" spans="30:30" x14ac:dyDescent="0.25">
      <c r="AD12824"/>
    </row>
    <row r="12825" spans="30:30" x14ac:dyDescent="0.25">
      <c r="AD12825"/>
    </row>
    <row r="12826" spans="30:30" x14ac:dyDescent="0.25">
      <c r="AD12826"/>
    </row>
    <row r="12827" spans="30:30" x14ac:dyDescent="0.25">
      <c r="AD12827"/>
    </row>
    <row r="12828" spans="30:30" x14ac:dyDescent="0.25">
      <c r="AD12828"/>
    </row>
    <row r="12829" spans="30:30" x14ac:dyDescent="0.25">
      <c r="AD12829"/>
    </row>
    <row r="12830" spans="30:30" x14ac:dyDescent="0.25">
      <c r="AD12830"/>
    </row>
    <row r="12831" spans="30:30" x14ac:dyDescent="0.25">
      <c r="AD12831"/>
    </row>
    <row r="12832" spans="30:30" x14ac:dyDescent="0.25">
      <c r="AD12832"/>
    </row>
    <row r="12833" spans="30:30" x14ac:dyDescent="0.25">
      <c r="AD12833"/>
    </row>
    <row r="12834" spans="30:30" x14ac:dyDescent="0.25">
      <c r="AD12834"/>
    </row>
    <row r="12835" spans="30:30" x14ac:dyDescent="0.25">
      <c r="AD12835"/>
    </row>
    <row r="12836" spans="30:30" x14ac:dyDescent="0.25">
      <c r="AD12836"/>
    </row>
    <row r="12837" spans="30:30" x14ac:dyDescent="0.25">
      <c r="AD12837"/>
    </row>
    <row r="12838" spans="30:30" x14ac:dyDescent="0.25">
      <c r="AD12838"/>
    </row>
    <row r="12839" spans="30:30" x14ac:dyDescent="0.25">
      <c r="AD12839"/>
    </row>
    <row r="12840" spans="30:30" x14ac:dyDescent="0.25">
      <c r="AD12840"/>
    </row>
    <row r="12841" spans="30:30" x14ac:dyDescent="0.25">
      <c r="AD12841"/>
    </row>
    <row r="12842" spans="30:30" x14ac:dyDescent="0.25">
      <c r="AD12842"/>
    </row>
    <row r="12843" spans="30:30" x14ac:dyDescent="0.25">
      <c r="AD12843"/>
    </row>
    <row r="12844" spans="30:30" x14ac:dyDescent="0.25">
      <c r="AD12844"/>
    </row>
    <row r="12845" spans="30:30" x14ac:dyDescent="0.25">
      <c r="AD12845"/>
    </row>
    <row r="12846" spans="30:30" x14ac:dyDescent="0.25">
      <c r="AD12846"/>
    </row>
    <row r="12847" spans="30:30" x14ac:dyDescent="0.25">
      <c r="AD12847"/>
    </row>
    <row r="12848" spans="30:30" x14ac:dyDescent="0.25">
      <c r="AD12848"/>
    </row>
    <row r="12849" spans="30:30" x14ac:dyDescent="0.25">
      <c r="AD12849"/>
    </row>
    <row r="12850" spans="30:30" x14ac:dyDescent="0.25">
      <c r="AD12850"/>
    </row>
    <row r="12851" spans="30:30" x14ac:dyDescent="0.25">
      <c r="AD12851"/>
    </row>
    <row r="12852" spans="30:30" x14ac:dyDescent="0.25">
      <c r="AD12852"/>
    </row>
    <row r="12853" spans="30:30" x14ac:dyDescent="0.25">
      <c r="AD12853"/>
    </row>
    <row r="12854" spans="30:30" x14ac:dyDescent="0.25">
      <c r="AD12854"/>
    </row>
    <row r="12855" spans="30:30" x14ac:dyDescent="0.25">
      <c r="AD12855"/>
    </row>
    <row r="12856" spans="30:30" x14ac:dyDescent="0.25">
      <c r="AD12856"/>
    </row>
    <row r="12857" spans="30:30" x14ac:dyDescent="0.25">
      <c r="AD12857"/>
    </row>
    <row r="12858" spans="30:30" x14ac:dyDescent="0.25">
      <c r="AD12858"/>
    </row>
    <row r="12859" spans="30:30" x14ac:dyDescent="0.25">
      <c r="AD12859"/>
    </row>
    <row r="12860" spans="30:30" x14ac:dyDescent="0.25">
      <c r="AD12860"/>
    </row>
    <row r="12861" spans="30:30" x14ac:dyDescent="0.25">
      <c r="AD12861"/>
    </row>
    <row r="12862" spans="30:30" x14ac:dyDescent="0.25">
      <c r="AD12862"/>
    </row>
    <row r="12863" spans="30:30" x14ac:dyDescent="0.25">
      <c r="AD12863"/>
    </row>
    <row r="12864" spans="30:30" x14ac:dyDescent="0.25">
      <c r="AD12864"/>
    </row>
    <row r="12865" spans="30:30" x14ac:dyDescent="0.25">
      <c r="AD12865"/>
    </row>
    <row r="12866" spans="30:30" x14ac:dyDescent="0.25">
      <c r="AD12866"/>
    </row>
    <row r="12867" spans="30:30" x14ac:dyDescent="0.25">
      <c r="AD12867"/>
    </row>
    <row r="12868" spans="30:30" x14ac:dyDescent="0.25">
      <c r="AD12868"/>
    </row>
    <row r="12869" spans="30:30" x14ac:dyDescent="0.25">
      <c r="AD12869"/>
    </row>
    <row r="12870" spans="30:30" x14ac:dyDescent="0.25">
      <c r="AD12870"/>
    </row>
    <row r="12871" spans="30:30" x14ac:dyDescent="0.25">
      <c r="AD12871"/>
    </row>
    <row r="12872" spans="30:30" x14ac:dyDescent="0.25">
      <c r="AD12872"/>
    </row>
    <row r="12873" spans="30:30" x14ac:dyDescent="0.25">
      <c r="AD12873"/>
    </row>
    <row r="12874" spans="30:30" x14ac:dyDescent="0.25">
      <c r="AD12874"/>
    </row>
    <row r="12875" spans="30:30" x14ac:dyDescent="0.25">
      <c r="AD12875"/>
    </row>
    <row r="12876" spans="30:30" x14ac:dyDescent="0.25">
      <c r="AD12876"/>
    </row>
    <row r="12877" spans="30:30" x14ac:dyDescent="0.25">
      <c r="AD12877"/>
    </row>
    <row r="12878" spans="30:30" x14ac:dyDescent="0.25">
      <c r="AD12878"/>
    </row>
    <row r="12879" spans="30:30" x14ac:dyDescent="0.25">
      <c r="AD12879"/>
    </row>
    <row r="12880" spans="30:30" x14ac:dyDescent="0.25">
      <c r="AD12880"/>
    </row>
    <row r="12881" spans="30:30" x14ac:dyDescent="0.25">
      <c r="AD12881"/>
    </row>
    <row r="12882" spans="30:30" x14ac:dyDescent="0.25">
      <c r="AD12882"/>
    </row>
    <row r="12883" spans="30:30" x14ac:dyDescent="0.25">
      <c r="AD12883"/>
    </row>
    <row r="12884" spans="30:30" x14ac:dyDescent="0.25">
      <c r="AD12884"/>
    </row>
    <row r="12885" spans="30:30" x14ac:dyDescent="0.25">
      <c r="AD12885"/>
    </row>
    <row r="12886" spans="30:30" x14ac:dyDescent="0.25">
      <c r="AD12886"/>
    </row>
    <row r="12887" spans="30:30" x14ac:dyDescent="0.25">
      <c r="AD12887"/>
    </row>
    <row r="12888" spans="30:30" x14ac:dyDescent="0.25">
      <c r="AD12888"/>
    </row>
    <row r="12889" spans="30:30" x14ac:dyDescent="0.25">
      <c r="AD12889"/>
    </row>
    <row r="12890" spans="30:30" x14ac:dyDescent="0.25">
      <c r="AD12890"/>
    </row>
    <row r="12891" spans="30:30" x14ac:dyDescent="0.25">
      <c r="AD12891"/>
    </row>
    <row r="12892" spans="30:30" x14ac:dyDescent="0.25">
      <c r="AD12892"/>
    </row>
    <row r="12893" spans="30:30" x14ac:dyDescent="0.25">
      <c r="AD12893"/>
    </row>
    <row r="12894" spans="30:30" x14ac:dyDescent="0.25">
      <c r="AD12894"/>
    </row>
    <row r="12895" spans="30:30" x14ac:dyDescent="0.25">
      <c r="AD12895"/>
    </row>
    <row r="12896" spans="30:30" x14ac:dyDescent="0.25">
      <c r="AD12896"/>
    </row>
    <row r="12897" spans="30:30" x14ac:dyDescent="0.25">
      <c r="AD12897"/>
    </row>
    <row r="12898" spans="30:30" x14ac:dyDescent="0.25">
      <c r="AD12898"/>
    </row>
    <row r="12899" spans="30:30" x14ac:dyDescent="0.25">
      <c r="AD12899"/>
    </row>
    <row r="12900" spans="30:30" x14ac:dyDescent="0.25">
      <c r="AD12900"/>
    </row>
    <row r="12901" spans="30:30" x14ac:dyDescent="0.25">
      <c r="AD12901"/>
    </row>
    <row r="12902" spans="30:30" x14ac:dyDescent="0.25">
      <c r="AD12902"/>
    </row>
    <row r="12903" spans="30:30" x14ac:dyDescent="0.25">
      <c r="AD12903"/>
    </row>
    <row r="12904" spans="30:30" x14ac:dyDescent="0.25">
      <c r="AD12904"/>
    </row>
    <row r="12905" spans="30:30" x14ac:dyDescent="0.25">
      <c r="AD12905"/>
    </row>
    <row r="12906" spans="30:30" x14ac:dyDescent="0.25">
      <c r="AD12906"/>
    </row>
    <row r="12907" spans="30:30" x14ac:dyDescent="0.25">
      <c r="AD12907"/>
    </row>
    <row r="12908" spans="30:30" x14ac:dyDescent="0.25">
      <c r="AD12908"/>
    </row>
    <row r="12909" spans="30:30" x14ac:dyDescent="0.25">
      <c r="AD12909"/>
    </row>
    <row r="12910" spans="30:30" x14ac:dyDescent="0.25">
      <c r="AD12910"/>
    </row>
    <row r="12911" spans="30:30" x14ac:dyDescent="0.25">
      <c r="AD12911"/>
    </row>
    <row r="12912" spans="30:30" x14ac:dyDescent="0.25">
      <c r="AD12912"/>
    </row>
    <row r="12913" spans="30:30" x14ac:dyDescent="0.25">
      <c r="AD12913"/>
    </row>
    <row r="12914" spans="30:30" x14ac:dyDescent="0.25">
      <c r="AD12914"/>
    </row>
    <row r="12915" spans="30:30" x14ac:dyDescent="0.25">
      <c r="AD12915"/>
    </row>
    <row r="12916" spans="30:30" x14ac:dyDescent="0.25">
      <c r="AD12916"/>
    </row>
    <row r="12917" spans="30:30" x14ac:dyDescent="0.25">
      <c r="AD12917"/>
    </row>
    <row r="12918" spans="30:30" x14ac:dyDescent="0.25">
      <c r="AD12918"/>
    </row>
    <row r="12919" spans="30:30" x14ac:dyDescent="0.25">
      <c r="AD12919"/>
    </row>
    <row r="12920" spans="30:30" x14ac:dyDescent="0.25">
      <c r="AD12920"/>
    </row>
    <row r="12921" spans="30:30" x14ac:dyDescent="0.25">
      <c r="AD12921"/>
    </row>
    <row r="12922" spans="30:30" x14ac:dyDescent="0.25">
      <c r="AD12922"/>
    </row>
    <row r="12923" spans="30:30" x14ac:dyDescent="0.25">
      <c r="AD12923"/>
    </row>
    <row r="12924" spans="30:30" x14ac:dyDescent="0.25">
      <c r="AD12924"/>
    </row>
    <row r="12925" spans="30:30" x14ac:dyDescent="0.25">
      <c r="AD12925"/>
    </row>
    <row r="12926" spans="30:30" x14ac:dyDescent="0.25">
      <c r="AD12926"/>
    </row>
    <row r="12927" spans="30:30" x14ac:dyDescent="0.25">
      <c r="AD12927"/>
    </row>
    <row r="12928" spans="30:30" x14ac:dyDescent="0.25">
      <c r="AD12928"/>
    </row>
    <row r="12929" spans="30:30" x14ac:dyDescent="0.25">
      <c r="AD12929"/>
    </row>
    <row r="12930" spans="30:30" x14ac:dyDescent="0.25">
      <c r="AD12930"/>
    </row>
    <row r="12931" spans="30:30" x14ac:dyDescent="0.25">
      <c r="AD12931"/>
    </row>
    <row r="12932" spans="30:30" x14ac:dyDescent="0.25">
      <c r="AD12932"/>
    </row>
    <row r="12933" spans="30:30" x14ac:dyDescent="0.25">
      <c r="AD12933"/>
    </row>
    <row r="12934" spans="30:30" x14ac:dyDescent="0.25">
      <c r="AD12934"/>
    </row>
    <row r="12935" spans="30:30" x14ac:dyDescent="0.25">
      <c r="AD12935"/>
    </row>
    <row r="12936" spans="30:30" x14ac:dyDescent="0.25">
      <c r="AD12936"/>
    </row>
    <row r="12937" spans="30:30" x14ac:dyDescent="0.25">
      <c r="AD12937"/>
    </row>
    <row r="12938" spans="30:30" x14ac:dyDescent="0.25">
      <c r="AD12938"/>
    </row>
    <row r="12939" spans="30:30" x14ac:dyDescent="0.25">
      <c r="AD12939"/>
    </row>
    <row r="12940" spans="30:30" x14ac:dyDescent="0.25">
      <c r="AD12940"/>
    </row>
    <row r="12941" spans="30:30" x14ac:dyDescent="0.25">
      <c r="AD12941"/>
    </row>
    <row r="12942" spans="30:30" x14ac:dyDescent="0.25">
      <c r="AD12942"/>
    </row>
    <row r="12943" spans="30:30" x14ac:dyDescent="0.25">
      <c r="AD12943"/>
    </row>
    <row r="12944" spans="30:30" x14ac:dyDescent="0.25">
      <c r="AD12944"/>
    </row>
    <row r="12945" spans="30:30" x14ac:dyDescent="0.25">
      <c r="AD12945"/>
    </row>
    <row r="12946" spans="30:30" x14ac:dyDescent="0.25">
      <c r="AD12946"/>
    </row>
    <row r="12947" spans="30:30" x14ac:dyDescent="0.25">
      <c r="AD12947"/>
    </row>
    <row r="12948" spans="30:30" x14ac:dyDescent="0.25">
      <c r="AD12948"/>
    </row>
    <row r="12949" spans="30:30" x14ac:dyDescent="0.25">
      <c r="AD12949"/>
    </row>
    <row r="12950" spans="30:30" x14ac:dyDescent="0.25">
      <c r="AD12950"/>
    </row>
    <row r="12951" spans="30:30" x14ac:dyDescent="0.25">
      <c r="AD12951"/>
    </row>
    <row r="12952" spans="30:30" x14ac:dyDescent="0.25">
      <c r="AD12952"/>
    </row>
    <row r="12953" spans="30:30" x14ac:dyDescent="0.25">
      <c r="AD12953"/>
    </row>
    <row r="12954" spans="30:30" x14ac:dyDescent="0.25">
      <c r="AD12954"/>
    </row>
    <row r="12955" spans="30:30" x14ac:dyDescent="0.25">
      <c r="AD12955"/>
    </row>
    <row r="12956" spans="30:30" x14ac:dyDescent="0.25">
      <c r="AD12956"/>
    </row>
    <row r="12957" spans="30:30" x14ac:dyDescent="0.25">
      <c r="AD12957"/>
    </row>
    <row r="12958" spans="30:30" x14ac:dyDescent="0.25">
      <c r="AD12958"/>
    </row>
    <row r="12959" spans="30:30" x14ac:dyDescent="0.25">
      <c r="AD12959"/>
    </row>
    <row r="12960" spans="30:30" x14ac:dyDescent="0.25">
      <c r="AD12960"/>
    </row>
    <row r="12961" spans="30:30" x14ac:dyDescent="0.25">
      <c r="AD12961"/>
    </row>
    <row r="12962" spans="30:30" x14ac:dyDescent="0.25">
      <c r="AD12962"/>
    </row>
    <row r="12963" spans="30:30" x14ac:dyDescent="0.25">
      <c r="AD12963"/>
    </row>
    <row r="12964" spans="30:30" x14ac:dyDescent="0.25">
      <c r="AD12964"/>
    </row>
    <row r="12965" spans="30:30" x14ac:dyDescent="0.25">
      <c r="AD12965"/>
    </row>
    <row r="12966" spans="30:30" x14ac:dyDescent="0.25">
      <c r="AD12966"/>
    </row>
    <row r="12967" spans="30:30" x14ac:dyDescent="0.25">
      <c r="AD12967"/>
    </row>
    <row r="12968" spans="30:30" x14ac:dyDescent="0.25">
      <c r="AD12968"/>
    </row>
    <row r="12969" spans="30:30" x14ac:dyDescent="0.25">
      <c r="AD12969"/>
    </row>
    <row r="12970" spans="30:30" x14ac:dyDescent="0.25">
      <c r="AD12970"/>
    </row>
    <row r="12971" spans="30:30" x14ac:dyDescent="0.25">
      <c r="AD12971"/>
    </row>
    <row r="12972" spans="30:30" x14ac:dyDescent="0.25">
      <c r="AD12972"/>
    </row>
    <row r="12973" spans="30:30" x14ac:dyDescent="0.25">
      <c r="AD12973"/>
    </row>
    <row r="12974" spans="30:30" x14ac:dyDescent="0.25">
      <c r="AD12974"/>
    </row>
    <row r="12975" spans="30:30" x14ac:dyDescent="0.25">
      <c r="AD12975"/>
    </row>
    <row r="12976" spans="30:30" x14ac:dyDescent="0.25">
      <c r="AD12976"/>
    </row>
    <row r="12977" spans="30:30" x14ac:dyDescent="0.25">
      <c r="AD12977"/>
    </row>
    <row r="12978" spans="30:30" x14ac:dyDescent="0.25">
      <c r="AD12978"/>
    </row>
    <row r="12979" spans="30:30" x14ac:dyDescent="0.25">
      <c r="AD12979"/>
    </row>
    <row r="12980" spans="30:30" x14ac:dyDescent="0.25">
      <c r="AD12980"/>
    </row>
    <row r="12981" spans="30:30" x14ac:dyDescent="0.25">
      <c r="AD12981"/>
    </row>
    <row r="12982" spans="30:30" x14ac:dyDescent="0.25">
      <c r="AD12982"/>
    </row>
    <row r="12983" spans="30:30" x14ac:dyDescent="0.25">
      <c r="AD12983"/>
    </row>
    <row r="12984" spans="30:30" x14ac:dyDescent="0.25">
      <c r="AD12984"/>
    </row>
    <row r="12985" spans="30:30" x14ac:dyDescent="0.25">
      <c r="AD12985"/>
    </row>
    <row r="12986" spans="30:30" x14ac:dyDescent="0.25">
      <c r="AD12986"/>
    </row>
    <row r="12987" spans="30:30" x14ac:dyDescent="0.25">
      <c r="AD12987"/>
    </row>
    <row r="12988" spans="30:30" x14ac:dyDescent="0.25">
      <c r="AD12988"/>
    </row>
    <row r="12989" spans="30:30" x14ac:dyDescent="0.25">
      <c r="AD12989"/>
    </row>
    <row r="12990" spans="30:30" x14ac:dyDescent="0.25">
      <c r="AD12990"/>
    </row>
    <row r="12991" spans="30:30" x14ac:dyDescent="0.25">
      <c r="AD12991"/>
    </row>
    <row r="12992" spans="30:30" x14ac:dyDescent="0.25">
      <c r="AD12992"/>
    </row>
    <row r="12993" spans="30:30" x14ac:dyDescent="0.25">
      <c r="AD12993"/>
    </row>
    <row r="12994" spans="30:30" x14ac:dyDescent="0.25">
      <c r="AD12994"/>
    </row>
    <row r="12995" spans="30:30" x14ac:dyDescent="0.25">
      <c r="AD12995"/>
    </row>
    <row r="12996" spans="30:30" x14ac:dyDescent="0.25">
      <c r="AD12996"/>
    </row>
    <row r="12997" spans="30:30" x14ac:dyDescent="0.25">
      <c r="AD12997"/>
    </row>
    <row r="12998" spans="30:30" x14ac:dyDescent="0.25">
      <c r="AD12998"/>
    </row>
    <row r="12999" spans="30:30" x14ac:dyDescent="0.25">
      <c r="AD12999"/>
    </row>
    <row r="13000" spans="30:30" x14ac:dyDescent="0.25">
      <c r="AD13000"/>
    </row>
    <row r="13001" spans="30:30" x14ac:dyDescent="0.25">
      <c r="AD13001"/>
    </row>
    <row r="13002" spans="30:30" x14ac:dyDescent="0.25">
      <c r="AD13002"/>
    </row>
    <row r="13003" spans="30:30" x14ac:dyDescent="0.25">
      <c r="AD13003"/>
    </row>
    <row r="13004" spans="30:30" x14ac:dyDescent="0.25">
      <c r="AD13004"/>
    </row>
    <row r="13005" spans="30:30" x14ac:dyDescent="0.25">
      <c r="AD13005"/>
    </row>
    <row r="13006" spans="30:30" x14ac:dyDescent="0.25">
      <c r="AD13006"/>
    </row>
    <row r="13007" spans="30:30" x14ac:dyDescent="0.25">
      <c r="AD13007"/>
    </row>
    <row r="13008" spans="30:30" x14ac:dyDescent="0.25">
      <c r="AD13008"/>
    </row>
    <row r="13009" spans="30:30" x14ac:dyDescent="0.25">
      <c r="AD13009"/>
    </row>
    <row r="13010" spans="30:30" x14ac:dyDescent="0.25">
      <c r="AD13010"/>
    </row>
    <row r="13011" spans="30:30" x14ac:dyDescent="0.25">
      <c r="AD13011"/>
    </row>
    <row r="13012" spans="30:30" x14ac:dyDescent="0.25">
      <c r="AD13012"/>
    </row>
    <row r="13013" spans="30:30" x14ac:dyDescent="0.25">
      <c r="AD13013"/>
    </row>
    <row r="13014" spans="30:30" x14ac:dyDescent="0.25">
      <c r="AD13014"/>
    </row>
    <row r="13015" spans="30:30" x14ac:dyDescent="0.25">
      <c r="AD13015"/>
    </row>
    <row r="13016" spans="30:30" x14ac:dyDescent="0.25">
      <c r="AD13016"/>
    </row>
    <row r="13017" spans="30:30" x14ac:dyDescent="0.25">
      <c r="AD13017"/>
    </row>
    <row r="13018" spans="30:30" x14ac:dyDescent="0.25">
      <c r="AD13018"/>
    </row>
    <row r="13019" spans="30:30" x14ac:dyDescent="0.25">
      <c r="AD13019"/>
    </row>
    <row r="13020" spans="30:30" x14ac:dyDescent="0.25">
      <c r="AD13020"/>
    </row>
    <row r="13021" spans="30:30" x14ac:dyDescent="0.25">
      <c r="AD13021"/>
    </row>
    <row r="13022" spans="30:30" x14ac:dyDescent="0.25">
      <c r="AD13022"/>
    </row>
    <row r="13023" spans="30:30" x14ac:dyDescent="0.25">
      <c r="AD13023"/>
    </row>
    <row r="13024" spans="30:30" x14ac:dyDescent="0.25">
      <c r="AD13024"/>
    </row>
    <row r="13025" spans="30:30" x14ac:dyDescent="0.25">
      <c r="AD13025"/>
    </row>
    <row r="13026" spans="30:30" x14ac:dyDescent="0.25">
      <c r="AD13026"/>
    </row>
    <row r="13027" spans="30:30" x14ac:dyDescent="0.25">
      <c r="AD13027"/>
    </row>
    <row r="13028" spans="30:30" x14ac:dyDescent="0.25">
      <c r="AD13028"/>
    </row>
    <row r="13029" spans="30:30" x14ac:dyDescent="0.25">
      <c r="AD13029"/>
    </row>
    <row r="13030" spans="30:30" x14ac:dyDescent="0.25">
      <c r="AD13030"/>
    </row>
    <row r="13031" spans="30:30" x14ac:dyDescent="0.25">
      <c r="AD13031"/>
    </row>
    <row r="13032" spans="30:30" x14ac:dyDescent="0.25">
      <c r="AD13032"/>
    </row>
    <row r="13033" spans="30:30" x14ac:dyDescent="0.25">
      <c r="AD13033"/>
    </row>
    <row r="13034" spans="30:30" x14ac:dyDescent="0.25">
      <c r="AD13034"/>
    </row>
    <row r="13035" spans="30:30" x14ac:dyDescent="0.25">
      <c r="AD13035"/>
    </row>
    <row r="13036" spans="30:30" x14ac:dyDescent="0.25">
      <c r="AD13036"/>
    </row>
    <row r="13037" spans="30:30" x14ac:dyDescent="0.25">
      <c r="AD13037"/>
    </row>
    <row r="13038" spans="30:30" x14ac:dyDescent="0.25">
      <c r="AD13038"/>
    </row>
    <row r="13039" spans="30:30" x14ac:dyDescent="0.25">
      <c r="AD13039"/>
    </row>
    <row r="13040" spans="30:30" x14ac:dyDescent="0.25">
      <c r="AD13040"/>
    </row>
    <row r="13041" spans="30:30" x14ac:dyDescent="0.25">
      <c r="AD13041"/>
    </row>
    <row r="13042" spans="30:30" x14ac:dyDescent="0.25">
      <c r="AD13042"/>
    </row>
    <row r="13043" spans="30:30" x14ac:dyDescent="0.25">
      <c r="AD13043"/>
    </row>
    <row r="13044" spans="30:30" x14ac:dyDescent="0.25">
      <c r="AD13044"/>
    </row>
    <row r="13045" spans="30:30" x14ac:dyDescent="0.25">
      <c r="AD13045"/>
    </row>
    <row r="13046" spans="30:30" x14ac:dyDescent="0.25">
      <c r="AD13046"/>
    </row>
    <row r="13047" spans="30:30" x14ac:dyDescent="0.25">
      <c r="AD13047"/>
    </row>
    <row r="13048" spans="30:30" x14ac:dyDescent="0.25">
      <c r="AD13048"/>
    </row>
    <row r="13049" spans="30:30" x14ac:dyDescent="0.25">
      <c r="AD13049"/>
    </row>
    <row r="13050" spans="30:30" x14ac:dyDescent="0.25">
      <c r="AD13050"/>
    </row>
    <row r="13051" spans="30:30" x14ac:dyDescent="0.25">
      <c r="AD13051"/>
    </row>
    <row r="13052" spans="30:30" x14ac:dyDescent="0.25">
      <c r="AD13052"/>
    </row>
    <row r="13053" spans="30:30" x14ac:dyDescent="0.25">
      <c r="AD13053"/>
    </row>
    <row r="13054" spans="30:30" x14ac:dyDescent="0.25">
      <c r="AD13054"/>
    </row>
    <row r="13055" spans="30:30" x14ac:dyDescent="0.25">
      <c r="AD13055"/>
    </row>
    <row r="13056" spans="30:30" x14ac:dyDescent="0.25">
      <c r="AD13056"/>
    </row>
    <row r="13057" spans="30:30" x14ac:dyDescent="0.25">
      <c r="AD13057"/>
    </row>
    <row r="13058" spans="30:30" x14ac:dyDescent="0.25">
      <c r="AD13058"/>
    </row>
    <row r="13059" spans="30:30" x14ac:dyDescent="0.25">
      <c r="AD13059"/>
    </row>
    <row r="13060" spans="30:30" x14ac:dyDescent="0.25">
      <c r="AD13060"/>
    </row>
    <row r="13061" spans="30:30" x14ac:dyDescent="0.25">
      <c r="AD13061"/>
    </row>
    <row r="13062" spans="30:30" x14ac:dyDescent="0.25">
      <c r="AD13062"/>
    </row>
    <row r="13063" spans="30:30" x14ac:dyDescent="0.25">
      <c r="AD13063"/>
    </row>
    <row r="13064" spans="30:30" x14ac:dyDescent="0.25">
      <c r="AD13064"/>
    </row>
    <row r="13065" spans="30:30" x14ac:dyDescent="0.25">
      <c r="AD13065"/>
    </row>
    <row r="13066" spans="30:30" x14ac:dyDescent="0.25">
      <c r="AD13066"/>
    </row>
    <row r="13067" spans="30:30" x14ac:dyDescent="0.25">
      <c r="AD13067"/>
    </row>
    <row r="13068" spans="30:30" x14ac:dyDescent="0.25">
      <c r="AD13068"/>
    </row>
    <row r="13069" spans="30:30" x14ac:dyDescent="0.25">
      <c r="AD13069"/>
    </row>
    <row r="13070" spans="30:30" x14ac:dyDescent="0.25">
      <c r="AD13070"/>
    </row>
    <row r="13071" spans="30:30" x14ac:dyDescent="0.25">
      <c r="AD13071"/>
    </row>
    <row r="13072" spans="30:30" x14ac:dyDescent="0.25">
      <c r="AD13072"/>
    </row>
    <row r="13073" spans="30:30" x14ac:dyDescent="0.25">
      <c r="AD13073"/>
    </row>
    <row r="13074" spans="30:30" x14ac:dyDescent="0.25">
      <c r="AD13074"/>
    </row>
    <row r="13075" spans="30:30" x14ac:dyDescent="0.25">
      <c r="AD13075"/>
    </row>
    <row r="13076" spans="30:30" x14ac:dyDescent="0.25">
      <c r="AD13076"/>
    </row>
    <row r="13077" spans="30:30" x14ac:dyDescent="0.25">
      <c r="AD13077"/>
    </row>
    <row r="13078" spans="30:30" x14ac:dyDescent="0.25">
      <c r="AD13078"/>
    </row>
    <row r="13079" spans="30:30" x14ac:dyDescent="0.25">
      <c r="AD13079"/>
    </row>
    <row r="13080" spans="30:30" x14ac:dyDescent="0.25">
      <c r="AD13080"/>
    </row>
    <row r="13081" spans="30:30" x14ac:dyDescent="0.25">
      <c r="AD13081"/>
    </row>
    <row r="13082" spans="30:30" x14ac:dyDescent="0.25">
      <c r="AD13082"/>
    </row>
    <row r="13083" spans="30:30" x14ac:dyDescent="0.25">
      <c r="AD13083"/>
    </row>
    <row r="13084" spans="30:30" x14ac:dyDescent="0.25">
      <c r="AD13084"/>
    </row>
    <row r="13085" spans="30:30" x14ac:dyDescent="0.25">
      <c r="AD13085"/>
    </row>
    <row r="13086" spans="30:30" x14ac:dyDescent="0.25">
      <c r="AD13086"/>
    </row>
    <row r="13087" spans="30:30" x14ac:dyDescent="0.25">
      <c r="AD13087"/>
    </row>
    <row r="13088" spans="30:30" x14ac:dyDescent="0.25">
      <c r="AD13088"/>
    </row>
    <row r="13089" spans="30:30" x14ac:dyDescent="0.25">
      <c r="AD13089"/>
    </row>
    <row r="13090" spans="30:30" x14ac:dyDescent="0.25">
      <c r="AD13090"/>
    </row>
    <row r="13091" spans="30:30" x14ac:dyDescent="0.25">
      <c r="AD13091"/>
    </row>
    <row r="13092" spans="30:30" x14ac:dyDescent="0.25">
      <c r="AD13092"/>
    </row>
    <row r="13093" spans="30:30" x14ac:dyDescent="0.25">
      <c r="AD13093"/>
    </row>
    <row r="13094" spans="30:30" x14ac:dyDescent="0.25">
      <c r="AD13094"/>
    </row>
    <row r="13095" spans="30:30" x14ac:dyDescent="0.25">
      <c r="AD13095"/>
    </row>
    <row r="13096" spans="30:30" x14ac:dyDescent="0.25">
      <c r="AD13096"/>
    </row>
    <row r="13097" spans="30:30" x14ac:dyDescent="0.25">
      <c r="AD13097"/>
    </row>
    <row r="13098" spans="30:30" x14ac:dyDescent="0.25">
      <c r="AD13098"/>
    </row>
    <row r="13099" spans="30:30" x14ac:dyDescent="0.25">
      <c r="AD13099"/>
    </row>
    <row r="13100" spans="30:30" x14ac:dyDescent="0.25">
      <c r="AD13100"/>
    </row>
    <row r="13101" spans="30:30" x14ac:dyDescent="0.25">
      <c r="AD13101"/>
    </row>
    <row r="13102" spans="30:30" x14ac:dyDescent="0.25">
      <c r="AD13102"/>
    </row>
    <row r="13103" spans="30:30" x14ac:dyDescent="0.25">
      <c r="AD13103"/>
    </row>
    <row r="13104" spans="30:30" x14ac:dyDescent="0.25">
      <c r="AD13104"/>
    </row>
    <row r="13105" spans="30:30" x14ac:dyDescent="0.25">
      <c r="AD13105"/>
    </row>
    <row r="13106" spans="30:30" x14ac:dyDescent="0.25">
      <c r="AD13106"/>
    </row>
    <row r="13107" spans="30:30" x14ac:dyDescent="0.25">
      <c r="AD13107"/>
    </row>
    <row r="13108" spans="30:30" x14ac:dyDescent="0.25">
      <c r="AD13108"/>
    </row>
    <row r="13109" spans="30:30" x14ac:dyDescent="0.25">
      <c r="AD13109"/>
    </row>
    <row r="13110" spans="30:30" x14ac:dyDescent="0.25">
      <c r="AD13110"/>
    </row>
    <row r="13111" spans="30:30" x14ac:dyDescent="0.25">
      <c r="AD13111"/>
    </row>
    <row r="13112" spans="30:30" x14ac:dyDescent="0.25">
      <c r="AD13112"/>
    </row>
    <row r="13113" spans="30:30" x14ac:dyDescent="0.25">
      <c r="AD13113"/>
    </row>
    <row r="13114" spans="30:30" x14ac:dyDescent="0.25">
      <c r="AD13114"/>
    </row>
    <row r="13115" spans="30:30" x14ac:dyDescent="0.25">
      <c r="AD13115"/>
    </row>
    <row r="13116" spans="30:30" x14ac:dyDescent="0.25">
      <c r="AD13116"/>
    </row>
    <row r="13117" spans="30:30" x14ac:dyDescent="0.25">
      <c r="AD13117"/>
    </row>
    <row r="13118" spans="30:30" x14ac:dyDescent="0.25">
      <c r="AD13118"/>
    </row>
    <row r="13119" spans="30:30" x14ac:dyDescent="0.25">
      <c r="AD13119"/>
    </row>
    <row r="13120" spans="30:30" x14ac:dyDescent="0.25">
      <c r="AD13120"/>
    </row>
    <row r="13121" spans="30:30" x14ac:dyDescent="0.25">
      <c r="AD13121"/>
    </row>
    <row r="13122" spans="30:30" x14ac:dyDescent="0.25">
      <c r="AD13122"/>
    </row>
    <row r="13123" spans="30:30" x14ac:dyDescent="0.25">
      <c r="AD13123"/>
    </row>
    <row r="13124" spans="30:30" x14ac:dyDescent="0.25">
      <c r="AD13124"/>
    </row>
    <row r="13125" spans="30:30" x14ac:dyDescent="0.25">
      <c r="AD13125"/>
    </row>
    <row r="13126" spans="30:30" x14ac:dyDescent="0.25">
      <c r="AD13126"/>
    </row>
    <row r="13127" spans="30:30" x14ac:dyDescent="0.25">
      <c r="AD13127"/>
    </row>
    <row r="13128" spans="30:30" x14ac:dyDescent="0.25">
      <c r="AD13128"/>
    </row>
    <row r="13129" spans="30:30" x14ac:dyDescent="0.25">
      <c r="AD13129"/>
    </row>
    <row r="13130" spans="30:30" x14ac:dyDescent="0.25">
      <c r="AD13130"/>
    </row>
    <row r="13131" spans="30:30" x14ac:dyDescent="0.25">
      <c r="AD13131"/>
    </row>
    <row r="13132" spans="30:30" x14ac:dyDescent="0.25">
      <c r="AD13132"/>
    </row>
    <row r="13133" spans="30:30" x14ac:dyDescent="0.25">
      <c r="AD13133"/>
    </row>
    <row r="13134" spans="30:30" x14ac:dyDescent="0.25">
      <c r="AD13134"/>
    </row>
    <row r="13135" spans="30:30" x14ac:dyDescent="0.25">
      <c r="AD13135"/>
    </row>
    <row r="13136" spans="30:30" x14ac:dyDescent="0.25">
      <c r="AD13136"/>
    </row>
    <row r="13137" spans="30:30" x14ac:dyDescent="0.25">
      <c r="AD13137"/>
    </row>
    <row r="13138" spans="30:30" x14ac:dyDescent="0.25">
      <c r="AD13138"/>
    </row>
    <row r="13139" spans="30:30" x14ac:dyDescent="0.25">
      <c r="AD13139"/>
    </row>
    <row r="13140" spans="30:30" x14ac:dyDescent="0.25">
      <c r="AD13140"/>
    </row>
    <row r="13141" spans="30:30" x14ac:dyDescent="0.25">
      <c r="AD13141"/>
    </row>
    <row r="13142" spans="30:30" x14ac:dyDescent="0.25">
      <c r="AD13142"/>
    </row>
    <row r="13143" spans="30:30" x14ac:dyDescent="0.25">
      <c r="AD13143"/>
    </row>
    <row r="13144" spans="30:30" x14ac:dyDescent="0.25">
      <c r="AD13144"/>
    </row>
    <row r="13145" spans="30:30" x14ac:dyDescent="0.25">
      <c r="AD13145"/>
    </row>
    <row r="13146" spans="30:30" x14ac:dyDescent="0.25">
      <c r="AD13146"/>
    </row>
    <row r="13147" spans="30:30" x14ac:dyDescent="0.25">
      <c r="AD13147"/>
    </row>
    <row r="13148" spans="30:30" x14ac:dyDescent="0.25">
      <c r="AD13148"/>
    </row>
    <row r="13149" spans="30:30" x14ac:dyDescent="0.25">
      <c r="AD13149"/>
    </row>
    <row r="13150" spans="30:30" x14ac:dyDescent="0.25">
      <c r="AD13150"/>
    </row>
    <row r="13151" spans="30:30" x14ac:dyDescent="0.25">
      <c r="AD13151"/>
    </row>
    <row r="13152" spans="30:30" x14ac:dyDescent="0.25">
      <c r="AD13152"/>
    </row>
    <row r="13153" spans="30:30" x14ac:dyDescent="0.25">
      <c r="AD13153"/>
    </row>
    <row r="13154" spans="30:30" x14ac:dyDescent="0.25">
      <c r="AD13154"/>
    </row>
    <row r="13155" spans="30:30" x14ac:dyDescent="0.25">
      <c r="AD13155"/>
    </row>
    <row r="13156" spans="30:30" x14ac:dyDescent="0.25">
      <c r="AD13156"/>
    </row>
    <row r="13157" spans="30:30" x14ac:dyDescent="0.25">
      <c r="AD13157"/>
    </row>
    <row r="13158" spans="30:30" x14ac:dyDescent="0.25">
      <c r="AD13158"/>
    </row>
    <row r="13159" spans="30:30" x14ac:dyDescent="0.25">
      <c r="AD13159"/>
    </row>
    <row r="13160" spans="30:30" x14ac:dyDescent="0.25">
      <c r="AD13160"/>
    </row>
    <row r="13161" spans="30:30" x14ac:dyDescent="0.25">
      <c r="AD13161"/>
    </row>
    <row r="13162" spans="30:30" x14ac:dyDescent="0.25">
      <c r="AD13162"/>
    </row>
    <row r="13163" spans="30:30" x14ac:dyDescent="0.25">
      <c r="AD13163"/>
    </row>
    <row r="13164" spans="30:30" x14ac:dyDescent="0.25">
      <c r="AD13164"/>
    </row>
    <row r="13165" spans="30:30" x14ac:dyDescent="0.25">
      <c r="AD13165"/>
    </row>
    <row r="13166" spans="30:30" x14ac:dyDescent="0.25">
      <c r="AD13166"/>
    </row>
    <row r="13167" spans="30:30" x14ac:dyDescent="0.25">
      <c r="AD13167"/>
    </row>
    <row r="13168" spans="30:30" x14ac:dyDescent="0.25">
      <c r="AD13168"/>
    </row>
    <row r="13169" spans="30:30" x14ac:dyDescent="0.25">
      <c r="AD13169"/>
    </row>
    <row r="13170" spans="30:30" x14ac:dyDescent="0.25">
      <c r="AD13170"/>
    </row>
    <row r="13171" spans="30:30" x14ac:dyDescent="0.25">
      <c r="AD13171"/>
    </row>
    <row r="13172" spans="30:30" x14ac:dyDescent="0.25">
      <c r="AD13172"/>
    </row>
    <row r="13173" spans="30:30" x14ac:dyDescent="0.25">
      <c r="AD13173"/>
    </row>
    <row r="13174" spans="30:30" x14ac:dyDescent="0.25">
      <c r="AD13174"/>
    </row>
    <row r="13175" spans="30:30" x14ac:dyDescent="0.25">
      <c r="AD13175"/>
    </row>
    <row r="13176" spans="30:30" x14ac:dyDescent="0.25">
      <c r="AD13176"/>
    </row>
    <row r="13177" spans="30:30" x14ac:dyDescent="0.25">
      <c r="AD13177"/>
    </row>
    <row r="13178" spans="30:30" x14ac:dyDescent="0.25">
      <c r="AD13178"/>
    </row>
    <row r="13179" spans="30:30" x14ac:dyDescent="0.25">
      <c r="AD13179"/>
    </row>
    <row r="13180" spans="30:30" x14ac:dyDescent="0.25">
      <c r="AD13180"/>
    </row>
    <row r="13181" spans="30:30" x14ac:dyDescent="0.25">
      <c r="AD13181"/>
    </row>
    <row r="13182" spans="30:30" x14ac:dyDescent="0.25">
      <c r="AD13182"/>
    </row>
    <row r="13183" spans="30:30" x14ac:dyDescent="0.25">
      <c r="AD13183"/>
    </row>
    <row r="13184" spans="30:30" x14ac:dyDescent="0.25">
      <c r="AD13184"/>
    </row>
    <row r="13185" spans="30:30" x14ac:dyDescent="0.25">
      <c r="AD13185"/>
    </row>
    <row r="13186" spans="30:30" x14ac:dyDescent="0.25">
      <c r="AD13186"/>
    </row>
    <row r="13187" spans="30:30" x14ac:dyDescent="0.25">
      <c r="AD13187"/>
    </row>
    <row r="13188" spans="30:30" x14ac:dyDescent="0.25">
      <c r="AD13188"/>
    </row>
    <row r="13189" spans="30:30" x14ac:dyDescent="0.25">
      <c r="AD13189"/>
    </row>
    <row r="13190" spans="30:30" x14ac:dyDescent="0.25">
      <c r="AD13190"/>
    </row>
    <row r="13191" spans="30:30" x14ac:dyDescent="0.25">
      <c r="AD13191"/>
    </row>
    <row r="13192" spans="30:30" x14ac:dyDescent="0.25">
      <c r="AD13192"/>
    </row>
    <row r="13193" spans="30:30" x14ac:dyDescent="0.25">
      <c r="AD13193"/>
    </row>
    <row r="13194" spans="30:30" x14ac:dyDescent="0.25">
      <c r="AD13194"/>
    </row>
    <row r="13195" spans="30:30" x14ac:dyDescent="0.25">
      <c r="AD13195"/>
    </row>
    <row r="13196" spans="30:30" x14ac:dyDescent="0.25">
      <c r="AD13196"/>
    </row>
    <row r="13197" spans="30:30" x14ac:dyDescent="0.25">
      <c r="AD13197"/>
    </row>
    <row r="13198" spans="30:30" x14ac:dyDescent="0.25">
      <c r="AD13198"/>
    </row>
    <row r="13199" spans="30:30" x14ac:dyDescent="0.25">
      <c r="AD13199"/>
    </row>
    <row r="13200" spans="30:30" x14ac:dyDescent="0.25">
      <c r="AD13200"/>
    </row>
    <row r="13201" spans="30:30" x14ac:dyDescent="0.25">
      <c r="AD13201"/>
    </row>
    <row r="13202" spans="30:30" x14ac:dyDescent="0.25">
      <c r="AD13202"/>
    </row>
    <row r="13203" spans="30:30" x14ac:dyDescent="0.25">
      <c r="AD13203"/>
    </row>
    <row r="13204" spans="30:30" x14ac:dyDescent="0.25">
      <c r="AD13204"/>
    </row>
    <row r="13205" spans="30:30" x14ac:dyDescent="0.25">
      <c r="AD13205"/>
    </row>
    <row r="13206" spans="30:30" x14ac:dyDescent="0.25">
      <c r="AD13206"/>
    </row>
    <row r="13207" spans="30:30" x14ac:dyDescent="0.25">
      <c r="AD13207"/>
    </row>
    <row r="13208" spans="30:30" x14ac:dyDescent="0.25">
      <c r="AD13208"/>
    </row>
    <row r="13209" spans="30:30" x14ac:dyDescent="0.25">
      <c r="AD13209"/>
    </row>
    <row r="13210" spans="30:30" x14ac:dyDescent="0.25">
      <c r="AD13210"/>
    </row>
    <row r="13211" spans="30:30" x14ac:dyDescent="0.25">
      <c r="AD13211"/>
    </row>
    <row r="13212" spans="30:30" x14ac:dyDescent="0.25">
      <c r="AD13212"/>
    </row>
    <row r="13213" spans="30:30" x14ac:dyDescent="0.25">
      <c r="AD13213"/>
    </row>
    <row r="13214" spans="30:30" x14ac:dyDescent="0.25">
      <c r="AD13214"/>
    </row>
    <row r="13215" spans="30:30" x14ac:dyDescent="0.25">
      <c r="AD13215"/>
    </row>
    <row r="13216" spans="30:30" x14ac:dyDescent="0.25">
      <c r="AD13216"/>
    </row>
    <row r="13217" spans="30:30" x14ac:dyDescent="0.25">
      <c r="AD13217"/>
    </row>
    <row r="13218" spans="30:30" x14ac:dyDescent="0.25">
      <c r="AD13218"/>
    </row>
    <row r="13219" spans="30:30" x14ac:dyDescent="0.25">
      <c r="AD13219"/>
    </row>
    <row r="13220" spans="30:30" x14ac:dyDescent="0.25">
      <c r="AD13220"/>
    </row>
    <row r="13221" spans="30:30" x14ac:dyDescent="0.25">
      <c r="AD13221"/>
    </row>
    <row r="13222" spans="30:30" x14ac:dyDescent="0.25">
      <c r="AD13222"/>
    </row>
    <row r="13223" spans="30:30" x14ac:dyDescent="0.25">
      <c r="AD13223"/>
    </row>
    <row r="13224" spans="30:30" x14ac:dyDescent="0.25">
      <c r="AD13224"/>
    </row>
    <row r="13225" spans="30:30" x14ac:dyDescent="0.25">
      <c r="AD13225"/>
    </row>
    <row r="13226" spans="30:30" x14ac:dyDescent="0.25">
      <c r="AD13226"/>
    </row>
    <row r="13227" spans="30:30" x14ac:dyDescent="0.25">
      <c r="AD13227"/>
    </row>
    <row r="13228" spans="30:30" x14ac:dyDescent="0.25">
      <c r="AD13228"/>
    </row>
    <row r="13229" spans="30:30" x14ac:dyDescent="0.25">
      <c r="AD13229"/>
    </row>
    <row r="13230" spans="30:30" x14ac:dyDescent="0.25">
      <c r="AD13230"/>
    </row>
    <row r="13231" spans="30:30" x14ac:dyDescent="0.25">
      <c r="AD13231"/>
    </row>
    <row r="13232" spans="30:30" x14ac:dyDescent="0.25">
      <c r="AD13232"/>
    </row>
    <row r="13233" spans="30:30" x14ac:dyDescent="0.25">
      <c r="AD13233"/>
    </row>
    <row r="13234" spans="30:30" x14ac:dyDescent="0.25">
      <c r="AD13234"/>
    </row>
    <row r="13235" spans="30:30" x14ac:dyDescent="0.25">
      <c r="AD13235"/>
    </row>
    <row r="13236" spans="30:30" x14ac:dyDescent="0.25">
      <c r="AD13236"/>
    </row>
    <row r="13237" spans="30:30" x14ac:dyDescent="0.25">
      <c r="AD13237"/>
    </row>
    <row r="13238" spans="30:30" x14ac:dyDescent="0.25">
      <c r="AD13238"/>
    </row>
    <row r="13239" spans="30:30" x14ac:dyDescent="0.25">
      <c r="AD13239"/>
    </row>
    <row r="13240" spans="30:30" x14ac:dyDescent="0.25">
      <c r="AD13240"/>
    </row>
    <row r="13241" spans="30:30" x14ac:dyDescent="0.25">
      <c r="AD13241"/>
    </row>
    <row r="13242" spans="30:30" x14ac:dyDescent="0.25">
      <c r="AD13242"/>
    </row>
    <row r="13243" spans="30:30" x14ac:dyDescent="0.25">
      <c r="AD13243"/>
    </row>
    <row r="13244" spans="30:30" x14ac:dyDescent="0.25">
      <c r="AD13244"/>
    </row>
    <row r="13245" spans="30:30" x14ac:dyDescent="0.25">
      <c r="AD13245"/>
    </row>
    <row r="13246" spans="30:30" x14ac:dyDescent="0.25">
      <c r="AD13246"/>
    </row>
    <row r="13247" spans="30:30" x14ac:dyDescent="0.25">
      <c r="AD13247"/>
    </row>
    <row r="13248" spans="30:30" x14ac:dyDescent="0.25">
      <c r="AD13248"/>
    </row>
    <row r="13249" spans="30:30" x14ac:dyDescent="0.25">
      <c r="AD13249"/>
    </row>
    <row r="13250" spans="30:30" x14ac:dyDescent="0.25">
      <c r="AD13250"/>
    </row>
    <row r="13251" spans="30:30" x14ac:dyDescent="0.25">
      <c r="AD13251"/>
    </row>
    <row r="13252" spans="30:30" x14ac:dyDescent="0.25">
      <c r="AD13252"/>
    </row>
    <row r="13253" spans="30:30" x14ac:dyDescent="0.25">
      <c r="AD13253"/>
    </row>
    <row r="13254" spans="30:30" x14ac:dyDescent="0.25">
      <c r="AD13254"/>
    </row>
    <row r="13255" spans="30:30" x14ac:dyDescent="0.25">
      <c r="AD13255"/>
    </row>
    <row r="13256" spans="30:30" x14ac:dyDescent="0.25">
      <c r="AD13256"/>
    </row>
    <row r="13257" spans="30:30" x14ac:dyDescent="0.25">
      <c r="AD13257"/>
    </row>
    <row r="13258" spans="30:30" x14ac:dyDescent="0.25">
      <c r="AD13258"/>
    </row>
    <row r="13259" spans="30:30" x14ac:dyDescent="0.25">
      <c r="AD13259"/>
    </row>
    <row r="13260" spans="30:30" x14ac:dyDescent="0.25">
      <c r="AD13260"/>
    </row>
    <row r="13261" spans="30:30" x14ac:dyDescent="0.25">
      <c r="AD13261"/>
    </row>
    <row r="13262" spans="30:30" x14ac:dyDescent="0.25">
      <c r="AD13262"/>
    </row>
    <row r="13263" spans="30:30" x14ac:dyDescent="0.25">
      <c r="AD13263"/>
    </row>
    <row r="13264" spans="30:30" x14ac:dyDescent="0.25">
      <c r="AD13264"/>
    </row>
    <row r="13265" spans="30:30" x14ac:dyDescent="0.25">
      <c r="AD13265"/>
    </row>
    <row r="13266" spans="30:30" x14ac:dyDescent="0.25">
      <c r="AD13266"/>
    </row>
    <row r="13267" spans="30:30" x14ac:dyDescent="0.25">
      <c r="AD13267"/>
    </row>
    <row r="13268" spans="30:30" x14ac:dyDescent="0.25">
      <c r="AD13268"/>
    </row>
    <row r="13269" spans="30:30" x14ac:dyDescent="0.25">
      <c r="AD13269"/>
    </row>
    <row r="13270" spans="30:30" x14ac:dyDescent="0.25">
      <c r="AD13270"/>
    </row>
    <row r="13271" spans="30:30" x14ac:dyDescent="0.25">
      <c r="AD13271"/>
    </row>
    <row r="13272" spans="30:30" x14ac:dyDescent="0.25">
      <c r="AD13272"/>
    </row>
    <row r="13273" spans="30:30" x14ac:dyDescent="0.25">
      <c r="AD13273"/>
    </row>
    <row r="13274" spans="30:30" x14ac:dyDescent="0.25">
      <c r="AD13274"/>
    </row>
    <row r="13275" spans="30:30" x14ac:dyDescent="0.25">
      <c r="AD13275"/>
    </row>
    <row r="13276" spans="30:30" x14ac:dyDescent="0.25">
      <c r="AD13276"/>
    </row>
    <row r="13277" spans="30:30" x14ac:dyDescent="0.25">
      <c r="AD13277"/>
    </row>
    <row r="13278" spans="30:30" x14ac:dyDescent="0.25">
      <c r="AD13278"/>
    </row>
    <row r="13279" spans="30:30" x14ac:dyDescent="0.25">
      <c r="AD13279"/>
    </row>
    <row r="13280" spans="30:30" x14ac:dyDescent="0.25">
      <c r="AD13280"/>
    </row>
    <row r="13281" spans="30:30" x14ac:dyDescent="0.25">
      <c r="AD13281"/>
    </row>
    <row r="13282" spans="30:30" x14ac:dyDescent="0.25">
      <c r="AD13282"/>
    </row>
    <row r="13283" spans="30:30" x14ac:dyDescent="0.25">
      <c r="AD13283"/>
    </row>
    <row r="13284" spans="30:30" x14ac:dyDescent="0.25">
      <c r="AD13284"/>
    </row>
    <row r="13285" spans="30:30" x14ac:dyDescent="0.25">
      <c r="AD13285"/>
    </row>
    <row r="13286" spans="30:30" x14ac:dyDescent="0.25">
      <c r="AD13286"/>
    </row>
    <row r="13287" spans="30:30" x14ac:dyDescent="0.25">
      <c r="AD13287"/>
    </row>
    <row r="13288" spans="30:30" x14ac:dyDescent="0.25">
      <c r="AD13288"/>
    </row>
    <row r="13289" spans="30:30" x14ac:dyDescent="0.25">
      <c r="AD13289"/>
    </row>
    <row r="13290" spans="30:30" x14ac:dyDescent="0.25">
      <c r="AD13290"/>
    </row>
    <row r="13291" spans="30:30" x14ac:dyDescent="0.25">
      <c r="AD13291"/>
    </row>
    <row r="13292" spans="30:30" x14ac:dyDescent="0.25">
      <c r="AD13292"/>
    </row>
    <row r="13293" spans="30:30" x14ac:dyDescent="0.25">
      <c r="AD13293"/>
    </row>
    <row r="13294" spans="30:30" x14ac:dyDescent="0.25">
      <c r="AD13294"/>
    </row>
    <row r="13295" spans="30:30" x14ac:dyDescent="0.25">
      <c r="AD13295"/>
    </row>
    <row r="13296" spans="30:30" x14ac:dyDescent="0.25">
      <c r="AD13296"/>
    </row>
    <row r="13297" spans="30:30" x14ac:dyDescent="0.25">
      <c r="AD13297"/>
    </row>
    <row r="13298" spans="30:30" x14ac:dyDescent="0.25">
      <c r="AD13298"/>
    </row>
    <row r="13299" spans="30:30" x14ac:dyDescent="0.25">
      <c r="AD13299"/>
    </row>
    <row r="13300" spans="30:30" x14ac:dyDescent="0.25">
      <c r="AD13300"/>
    </row>
    <row r="13301" spans="30:30" x14ac:dyDescent="0.25">
      <c r="AD13301"/>
    </row>
    <row r="13302" spans="30:30" x14ac:dyDescent="0.25">
      <c r="AD13302"/>
    </row>
    <row r="13303" spans="30:30" x14ac:dyDescent="0.25">
      <c r="AD13303"/>
    </row>
    <row r="13304" spans="30:30" x14ac:dyDescent="0.25">
      <c r="AD13304"/>
    </row>
    <row r="13305" spans="30:30" x14ac:dyDescent="0.25">
      <c r="AD13305"/>
    </row>
    <row r="13306" spans="30:30" x14ac:dyDescent="0.25">
      <c r="AD13306"/>
    </row>
    <row r="13307" spans="30:30" x14ac:dyDescent="0.25">
      <c r="AD13307"/>
    </row>
    <row r="13308" spans="30:30" x14ac:dyDescent="0.25">
      <c r="AD13308"/>
    </row>
    <row r="13309" spans="30:30" x14ac:dyDescent="0.25">
      <c r="AD13309"/>
    </row>
    <row r="13310" spans="30:30" x14ac:dyDescent="0.25">
      <c r="AD13310"/>
    </row>
    <row r="13311" spans="30:30" x14ac:dyDescent="0.25">
      <c r="AD13311"/>
    </row>
    <row r="13312" spans="30:30" x14ac:dyDescent="0.25">
      <c r="AD13312"/>
    </row>
    <row r="13313" spans="30:30" x14ac:dyDescent="0.25">
      <c r="AD13313"/>
    </row>
    <row r="13314" spans="30:30" x14ac:dyDescent="0.25">
      <c r="AD13314"/>
    </row>
    <row r="13315" spans="30:30" x14ac:dyDescent="0.25">
      <c r="AD13315"/>
    </row>
    <row r="13316" spans="30:30" x14ac:dyDescent="0.25">
      <c r="AD13316"/>
    </row>
    <row r="13317" spans="30:30" x14ac:dyDescent="0.25">
      <c r="AD13317"/>
    </row>
    <row r="13318" spans="30:30" x14ac:dyDescent="0.25">
      <c r="AD13318"/>
    </row>
    <row r="13319" spans="30:30" x14ac:dyDescent="0.25">
      <c r="AD13319"/>
    </row>
    <row r="13320" spans="30:30" x14ac:dyDescent="0.25">
      <c r="AD13320"/>
    </row>
    <row r="13321" spans="30:30" x14ac:dyDescent="0.25">
      <c r="AD13321"/>
    </row>
    <row r="13322" spans="30:30" x14ac:dyDescent="0.25">
      <c r="AD13322"/>
    </row>
    <row r="13323" spans="30:30" x14ac:dyDescent="0.25">
      <c r="AD13323"/>
    </row>
    <row r="13324" spans="30:30" x14ac:dyDescent="0.25">
      <c r="AD13324"/>
    </row>
    <row r="13325" spans="30:30" x14ac:dyDescent="0.25">
      <c r="AD13325"/>
    </row>
    <row r="13326" spans="30:30" x14ac:dyDescent="0.25">
      <c r="AD13326"/>
    </row>
    <row r="13327" spans="30:30" x14ac:dyDescent="0.25">
      <c r="AD13327"/>
    </row>
    <row r="13328" spans="30:30" x14ac:dyDescent="0.25">
      <c r="AD13328"/>
    </row>
    <row r="13329" spans="30:30" x14ac:dyDescent="0.25">
      <c r="AD13329"/>
    </row>
    <row r="13330" spans="30:30" x14ac:dyDescent="0.25">
      <c r="AD13330"/>
    </row>
    <row r="13331" spans="30:30" x14ac:dyDescent="0.25">
      <c r="AD13331"/>
    </row>
    <row r="13332" spans="30:30" x14ac:dyDescent="0.25">
      <c r="AD13332"/>
    </row>
    <row r="13333" spans="30:30" x14ac:dyDescent="0.25">
      <c r="AD13333"/>
    </row>
    <row r="13334" spans="30:30" x14ac:dyDescent="0.25">
      <c r="AD13334"/>
    </row>
    <row r="13335" spans="30:30" x14ac:dyDescent="0.25">
      <c r="AD13335"/>
    </row>
    <row r="13336" spans="30:30" x14ac:dyDescent="0.25">
      <c r="AD13336"/>
    </row>
    <row r="13337" spans="30:30" x14ac:dyDescent="0.25">
      <c r="AD13337"/>
    </row>
    <row r="13338" spans="30:30" x14ac:dyDescent="0.25">
      <c r="AD13338"/>
    </row>
    <row r="13339" spans="30:30" x14ac:dyDescent="0.25">
      <c r="AD13339"/>
    </row>
    <row r="13340" spans="30:30" x14ac:dyDescent="0.25">
      <c r="AD13340"/>
    </row>
    <row r="13341" spans="30:30" x14ac:dyDescent="0.25">
      <c r="AD13341"/>
    </row>
    <row r="13342" spans="30:30" x14ac:dyDescent="0.25">
      <c r="AD13342"/>
    </row>
    <row r="13343" spans="30:30" x14ac:dyDescent="0.25">
      <c r="AD13343"/>
    </row>
    <row r="13344" spans="30:30" x14ac:dyDescent="0.25">
      <c r="AD13344"/>
    </row>
    <row r="13345" spans="30:30" x14ac:dyDescent="0.25">
      <c r="AD13345"/>
    </row>
    <row r="13346" spans="30:30" x14ac:dyDescent="0.25">
      <c r="AD13346"/>
    </row>
    <row r="13347" spans="30:30" x14ac:dyDescent="0.25">
      <c r="AD13347"/>
    </row>
    <row r="13348" spans="30:30" x14ac:dyDescent="0.25">
      <c r="AD13348"/>
    </row>
    <row r="13349" spans="30:30" x14ac:dyDescent="0.25">
      <c r="AD13349"/>
    </row>
    <row r="13350" spans="30:30" x14ac:dyDescent="0.25">
      <c r="AD13350"/>
    </row>
    <row r="13351" spans="30:30" x14ac:dyDescent="0.25">
      <c r="AD13351"/>
    </row>
    <row r="13352" spans="30:30" x14ac:dyDescent="0.25">
      <c r="AD13352"/>
    </row>
    <row r="13353" spans="30:30" x14ac:dyDescent="0.25">
      <c r="AD13353"/>
    </row>
    <row r="13354" spans="30:30" x14ac:dyDescent="0.25">
      <c r="AD13354"/>
    </row>
    <row r="13355" spans="30:30" x14ac:dyDescent="0.25">
      <c r="AD13355"/>
    </row>
    <row r="13356" spans="30:30" x14ac:dyDescent="0.25">
      <c r="AD13356"/>
    </row>
    <row r="13357" spans="30:30" x14ac:dyDescent="0.25">
      <c r="AD13357"/>
    </row>
    <row r="13358" spans="30:30" x14ac:dyDescent="0.25">
      <c r="AD13358"/>
    </row>
    <row r="13359" spans="30:30" x14ac:dyDescent="0.25">
      <c r="AD13359"/>
    </row>
    <row r="13360" spans="30:30" x14ac:dyDescent="0.25">
      <c r="AD13360"/>
    </row>
    <row r="13361" spans="30:30" x14ac:dyDescent="0.25">
      <c r="AD13361"/>
    </row>
    <row r="13362" spans="30:30" x14ac:dyDescent="0.25">
      <c r="AD13362"/>
    </row>
    <row r="13363" spans="30:30" x14ac:dyDescent="0.25">
      <c r="AD13363"/>
    </row>
    <row r="13364" spans="30:30" x14ac:dyDescent="0.25">
      <c r="AD13364"/>
    </row>
    <row r="13365" spans="30:30" x14ac:dyDescent="0.25">
      <c r="AD13365"/>
    </row>
    <row r="13366" spans="30:30" x14ac:dyDescent="0.25">
      <c r="AD13366"/>
    </row>
    <row r="13367" spans="30:30" x14ac:dyDescent="0.25">
      <c r="AD13367"/>
    </row>
    <row r="13368" spans="30:30" x14ac:dyDescent="0.25">
      <c r="AD13368"/>
    </row>
    <row r="13369" spans="30:30" x14ac:dyDescent="0.25">
      <c r="AD13369"/>
    </row>
    <row r="13370" spans="30:30" x14ac:dyDescent="0.25">
      <c r="AD13370"/>
    </row>
    <row r="13371" spans="30:30" x14ac:dyDescent="0.25">
      <c r="AD13371"/>
    </row>
    <row r="13372" spans="30:30" x14ac:dyDescent="0.25">
      <c r="AD13372"/>
    </row>
    <row r="13373" spans="30:30" x14ac:dyDescent="0.25">
      <c r="AD13373"/>
    </row>
    <row r="13374" spans="30:30" x14ac:dyDescent="0.25">
      <c r="AD13374"/>
    </row>
    <row r="13375" spans="30:30" x14ac:dyDescent="0.25">
      <c r="AD13375"/>
    </row>
    <row r="13376" spans="30:30" x14ac:dyDescent="0.25">
      <c r="AD13376"/>
    </row>
    <row r="13377" spans="30:30" x14ac:dyDescent="0.25">
      <c r="AD13377"/>
    </row>
    <row r="13378" spans="30:30" x14ac:dyDescent="0.25">
      <c r="AD13378"/>
    </row>
    <row r="13379" spans="30:30" x14ac:dyDescent="0.25">
      <c r="AD13379"/>
    </row>
    <row r="13380" spans="30:30" x14ac:dyDescent="0.25">
      <c r="AD13380"/>
    </row>
    <row r="13381" spans="30:30" x14ac:dyDescent="0.25">
      <c r="AD13381"/>
    </row>
    <row r="13382" spans="30:30" x14ac:dyDescent="0.25">
      <c r="AD13382"/>
    </row>
    <row r="13383" spans="30:30" x14ac:dyDescent="0.25">
      <c r="AD13383"/>
    </row>
    <row r="13384" spans="30:30" x14ac:dyDescent="0.25">
      <c r="AD13384"/>
    </row>
    <row r="13385" spans="30:30" x14ac:dyDescent="0.25">
      <c r="AD13385"/>
    </row>
    <row r="13386" spans="30:30" x14ac:dyDescent="0.25">
      <c r="AD13386"/>
    </row>
    <row r="13387" spans="30:30" x14ac:dyDescent="0.25">
      <c r="AD13387"/>
    </row>
    <row r="13388" spans="30:30" x14ac:dyDescent="0.25">
      <c r="AD13388"/>
    </row>
    <row r="13389" spans="30:30" x14ac:dyDescent="0.25">
      <c r="AD13389"/>
    </row>
    <row r="13390" spans="30:30" x14ac:dyDescent="0.25">
      <c r="AD13390"/>
    </row>
    <row r="13391" spans="30:30" x14ac:dyDescent="0.25">
      <c r="AD13391"/>
    </row>
    <row r="13392" spans="30:30" x14ac:dyDescent="0.25">
      <c r="AD13392"/>
    </row>
    <row r="13393" spans="30:30" x14ac:dyDescent="0.25">
      <c r="AD13393"/>
    </row>
    <row r="13394" spans="30:30" x14ac:dyDescent="0.25">
      <c r="AD13394"/>
    </row>
    <row r="13395" spans="30:30" x14ac:dyDescent="0.25">
      <c r="AD13395"/>
    </row>
    <row r="13396" spans="30:30" x14ac:dyDescent="0.25">
      <c r="AD13396"/>
    </row>
    <row r="13397" spans="30:30" x14ac:dyDescent="0.25">
      <c r="AD13397"/>
    </row>
    <row r="13398" spans="30:30" x14ac:dyDescent="0.25">
      <c r="AD13398"/>
    </row>
    <row r="13399" spans="30:30" x14ac:dyDescent="0.25">
      <c r="AD13399"/>
    </row>
    <row r="13400" spans="30:30" x14ac:dyDescent="0.25">
      <c r="AD13400"/>
    </row>
    <row r="13401" spans="30:30" x14ac:dyDescent="0.25">
      <c r="AD13401"/>
    </row>
    <row r="13402" spans="30:30" x14ac:dyDescent="0.25">
      <c r="AD13402"/>
    </row>
    <row r="13403" spans="30:30" x14ac:dyDescent="0.25">
      <c r="AD13403"/>
    </row>
    <row r="13404" spans="30:30" x14ac:dyDescent="0.25">
      <c r="AD13404"/>
    </row>
    <row r="13405" spans="30:30" x14ac:dyDescent="0.25">
      <c r="AD13405"/>
    </row>
    <row r="13406" spans="30:30" x14ac:dyDescent="0.25">
      <c r="AD13406"/>
    </row>
    <row r="13407" spans="30:30" x14ac:dyDescent="0.25">
      <c r="AD13407"/>
    </row>
    <row r="13408" spans="30:30" x14ac:dyDescent="0.25">
      <c r="AD13408"/>
    </row>
    <row r="13409" spans="30:30" x14ac:dyDescent="0.25">
      <c r="AD13409"/>
    </row>
    <row r="13410" spans="30:30" x14ac:dyDescent="0.25">
      <c r="AD13410"/>
    </row>
    <row r="13411" spans="30:30" x14ac:dyDescent="0.25">
      <c r="AD13411"/>
    </row>
    <row r="13412" spans="30:30" x14ac:dyDescent="0.25">
      <c r="AD13412"/>
    </row>
    <row r="13413" spans="30:30" x14ac:dyDescent="0.25">
      <c r="AD13413"/>
    </row>
    <row r="13414" spans="30:30" x14ac:dyDescent="0.25">
      <c r="AD13414"/>
    </row>
    <row r="13415" spans="30:30" x14ac:dyDescent="0.25">
      <c r="AD13415"/>
    </row>
    <row r="13416" spans="30:30" x14ac:dyDescent="0.25">
      <c r="AD13416"/>
    </row>
    <row r="13417" spans="30:30" x14ac:dyDescent="0.25">
      <c r="AD13417"/>
    </row>
    <row r="13418" spans="30:30" x14ac:dyDescent="0.25">
      <c r="AD13418"/>
    </row>
    <row r="13419" spans="30:30" x14ac:dyDescent="0.25">
      <c r="AD13419"/>
    </row>
    <row r="13420" spans="30:30" x14ac:dyDescent="0.25">
      <c r="AD13420"/>
    </row>
    <row r="13421" spans="30:30" x14ac:dyDescent="0.25">
      <c r="AD13421"/>
    </row>
    <row r="13422" spans="30:30" x14ac:dyDescent="0.25">
      <c r="AD13422"/>
    </row>
    <row r="13423" spans="30:30" x14ac:dyDescent="0.25">
      <c r="AD13423"/>
    </row>
    <row r="13424" spans="30:30" x14ac:dyDescent="0.25">
      <c r="AD13424"/>
    </row>
    <row r="13425" spans="30:30" x14ac:dyDescent="0.25">
      <c r="AD13425"/>
    </row>
    <row r="13426" spans="30:30" x14ac:dyDescent="0.25">
      <c r="AD13426"/>
    </row>
    <row r="13427" spans="30:30" x14ac:dyDescent="0.25">
      <c r="AD13427"/>
    </row>
    <row r="13428" spans="30:30" x14ac:dyDescent="0.25">
      <c r="AD13428"/>
    </row>
    <row r="13429" spans="30:30" x14ac:dyDescent="0.25">
      <c r="AD13429"/>
    </row>
    <row r="13430" spans="30:30" x14ac:dyDescent="0.25">
      <c r="AD13430"/>
    </row>
    <row r="13431" spans="30:30" x14ac:dyDescent="0.25">
      <c r="AD13431"/>
    </row>
    <row r="13432" spans="30:30" x14ac:dyDescent="0.25">
      <c r="AD13432"/>
    </row>
    <row r="13433" spans="30:30" x14ac:dyDescent="0.25">
      <c r="AD13433"/>
    </row>
    <row r="13434" spans="30:30" x14ac:dyDescent="0.25">
      <c r="AD13434"/>
    </row>
    <row r="13435" spans="30:30" x14ac:dyDescent="0.25">
      <c r="AD13435"/>
    </row>
    <row r="13436" spans="30:30" x14ac:dyDescent="0.25">
      <c r="AD13436"/>
    </row>
    <row r="13437" spans="30:30" x14ac:dyDescent="0.25">
      <c r="AD13437"/>
    </row>
    <row r="13438" spans="30:30" x14ac:dyDescent="0.25">
      <c r="AD13438"/>
    </row>
    <row r="13439" spans="30:30" x14ac:dyDescent="0.25">
      <c r="AD13439"/>
    </row>
    <row r="13440" spans="30:30" x14ac:dyDescent="0.25">
      <c r="AD13440"/>
    </row>
    <row r="13441" spans="30:30" x14ac:dyDescent="0.25">
      <c r="AD13441"/>
    </row>
    <row r="13442" spans="30:30" x14ac:dyDescent="0.25">
      <c r="AD13442"/>
    </row>
    <row r="13443" spans="30:30" x14ac:dyDescent="0.25">
      <c r="AD13443"/>
    </row>
    <row r="13444" spans="30:30" x14ac:dyDescent="0.25">
      <c r="AD13444"/>
    </row>
    <row r="13445" spans="30:30" x14ac:dyDescent="0.25">
      <c r="AD13445"/>
    </row>
    <row r="13446" spans="30:30" x14ac:dyDescent="0.25">
      <c r="AD13446"/>
    </row>
    <row r="13447" spans="30:30" x14ac:dyDescent="0.25">
      <c r="AD13447"/>
    </row>
    <row r="13448" spans="30:30" x14ac:dyDescent="0.25">
      <c r="AD13448"/>
    </row>
    <row r="13449" spans="30:30" x14ac:dyDescent="0.25">
      <c r="AD13449"/>
    </row>
    <row r="13450" spans="30:30" x14ac:dyDescent="0.25">
      <c r="AD13450"/>
    </row>
    <row r="13451" spans="30:30" x14ac:dyDescent="0.25">
      <c r="AD13451"/>
    </row>
    <row r="13452" spans="30:30" x14ac:dyDescent="0.25">
      <c r="AD13452"/>
    </row>
    <row r="13453" spans="30:30" x14ac:dyDescent="0.25">
      <c r="AD13453"/>
    </row>
    <row r="13454" spans="30:30" x14ac:dyDescent="0.25">
      <c r="AD13454"/>
    </row>
    <row r="13455" spans="30:30" x14ac:dyDescent="0.25">
      <c r="AD13455"/>
    </row>
    <row r="13456" spans="30:30" x14ac:dyDescent="0.25">
      <c r="AD13456"/>
    </row>
    <row r="13457" spans="30:30" x14ac:dyDescent="0.25">
      <c r="AD13457"/>
    </row>
    <row r="13458" spans="30:30" x14ac:dyDescent="0.25">
      <c r="AD13458"/>
    </row>
    <row r="13459" spans="30:30" x14ac:dyDescent="0.25">
      <c r="AD13459"/>
    </row>
    <row r="13460" spans="30:30" x14ac:dyDescent="0.25">
      <c r="AD13460"/>
    </row>
    <row r="13461" spans="30:30" x14ac:dyDescent="0.25">
      <c r="AD13461"/>
    </row>
    <row r="13462" spans="30:30" x14ac:dyDescent="0.25">
      <c r="AD13462"/>
    </row>
    <row r="13463" spans="30:30" x14ac:dyDescent="0.25">
      <c r="AD13463"/>
    </row>
    <row r="13464" spans="30:30" x14ac:dyDescent="0.25">
      <c r="AD13464"/>
    </row>
    <row r="13465" spans="30:30" x14ac:dyDescent="0.25">
      <c r="AD13465"/>
    </row>
    <row r="13466" spans="30:30" x14ac:dyDescent="0.25">
      <c r="AD13466"/>
    </row>
    <row r="13467" spans="30:30" x14ac:dyDescent="0.25">
      <c r="AD13467"/>
    </row>
    <row r="13468" spans="30:30" x14ac:dyDescent="0.25">
      <c r="AD13468"/>
    </row>
    <row r="13469" spans="30:30" x14ac:dyDescent="0.25">
      <c r="AD13469"/>
    </row>
    <row r="13470" spans="30:30" x14ac:dyDescent="0.25">
      <c r="AD13470"/>
    </row>
    <row r="13471" spans="30:30" x14ac:dyDescent="0.25">
      <c r="AD13471"/>
    </row>
    <row r="13472" spans="30:30" x14ac:dyDescent="0.25">
      <c r="AD13472"/>
    </row>
    <row r="13473" spans="30:30" x14ac:dyDescent="0.25">
      <c r="AD13473"/>
    </row>
    <row r="13474" spans="30:30" x14ac:dyDescent="0.25">
      <c r="AD13474"/>
    </row>
    <row r="13475" spans="30:30" x14ac:dyDescent="0.25">
      <c r="AD13475"/>
    </row>
    <row r="13476" spans="30:30" x14ac:dyDescent="0.25">
      <c r="AD13476"/>
    </row>
    <row r="13477" spans="30:30" x14ac:dyDescent="0.25">
      <c r="AD13477"/>
    </row>
    <row r="13478" spans="30:30" x14ac:dyDescent="0.25">
      <c r="AD13478"/>
    </row>
    <row r="13479" spans="30:30" x14ac:dyDescent="0.25">
      <c r="AD13479"/>
    </row>
    <row r="13480" spans="30:30" x14ac:dyDescent="0.25">
      <c r="AD13480"/>
    </row>
    <row r="13481" spans="30:30" x14ac:dyDescent="0.25">
      <c r="AD13481"/>
    </row>
    <row r="13482" spans="30:30" x14ac:dyDescent="0.25">
      <c r="AD13482"/>
    </row>
    <row r="13483" spans="30:30" x14ac:dyDescent="0.25">
      <c r="AD13483"/>
    </row>
    <row r="13484" spans="30:30" x14ac:dyDescent="0.25">
      <c r="AD13484"/>
    </row>
    <row r="13485" spans="30:30" x14ac:dyDescent="0.25">
      <c r="AD13485"/>
    </row>
    <row r="13486" spans="30:30" x14ac:dyDescent="0.25">
      <c r="AD13486"/>
    </row>
    <row r="13487" spans="30:30" x14ac:dyDescent="0.25">
      <c r="AD13487"/>
    </row>
    <row r="13488" spans="30:30" x14ac:dyDescent="0.25">
      <c r="AD13488"/>
    </row>
    <row r="13489" spans="30:30" x14ac:dyDescent="0.25">
      <c r="AD13489"/>
    </row>
    <row r="13490" spans="30:30" x14ac:dyDescent="0.25">
      <c r="AD13490"/>
    </row>
    <row r="13491" spans="30:30" x14ac:dyDescent="0.25">
      <c r="AD13491"/>
    </row>
    <row r="13492" spans="30:30" x14ac:dyDescent="0.25">
      <c r="AD13492"/>
    </row>
    <row r="13493" spans="30:30" x14ac:dyDescent="0.25">
      <c r="AD13493"/>
    </row>
    <row r="13494" spans="30:30" x14ac:dyDescent="0.25">
      <c r="AD13494"/>
    </row>
    <row r="13495" spans="30:30" x14ac:dyDescent="0.25">
      <c r="AD13495"/>
    </row>
    <row r="13496" spans="30:30" x14ac:dyDescent="0.25">
      <c r="AD13496"/>
    </row>
    <row r="13497" spans="30:30" x14ac:dyDescent="0.25">
      <c r="AD13497"/>
    </row>
    <row r="13498" spans="30:30" x14ac:dyDescent="0.25">
      <c r="AD13498"/>
    </row>
    <row r="13499" spans="30:30" x14ac:dyDescent="0.25">
      <c r="AD13499"/>
    </row>
    <row r="13500" spans="30:30" x14ac:dyDescent="0.25">
      <c r="AD13500"/>
    </row>
    <row r="13501" spans="30:30" x14ac:dyDescent="0.25">
      <c r="AD13501"/>
    </row>
    <row r="13502" spans="30:30" x14ac:dyDescent="0.25">
      <c r="AD13502"/>
    </row>
    <row r="13503" spans="30:30" x14ac:dyDescent="0.25">
      <c r="AD13503"/>
    </row>
    <row r="13504" spans="30:30" x14ac:dyDescent="0.25">
      <c r="AD13504"/>
    </row>
    <row r="13505" spans="30:30" x14ac:dyDescent="0.25">
      <c r="AD13505"/>
    </row>
    <row r="13506" spans="30:30" x14ac:dyDescent="0.25">
      <c r="AD13506"/>
    </row>
    <row r="13507" spans="30:30" x14ac:dyDescent="0.25">
      <c r="AD13507"/>
    </row>
    <row r="13508" spans="30:30" x14ac:dyDescent="0.25">
      <c r="AD13508"/>
    </row>
    <row r="13509" spans="30:30" x14ac:dyDescent="0.25">
      <c r="AD13509"/>
    </row>
    <row r="13510" spans="30:30" x14ac:dyDescent="0.25">
      <c r="AD13510"/>
    </row>
    <row r="13511" spans="30:30" x14ac:dyDescent="0.25">
      <c r="AD13511"/>
    </row>
    <row r="13512" spans="30:30" x14ac:dyDescent="0.25">
      <c r="AD13512"/>
    </row>
    <row r="13513" spans="30:30" x14ac:dyDescent="0.25">
      <c r="AD13513"/>
    </row>
    <row r="13514" spans="30:30" x14ac:dyDescent="0.25">
      <c r="AD13514"/>
    </row>
    <row r="13515" spans="30:30" x14ac:dyDescent="0.25">
      <c r="AD13515"/>
    </row>
    <row r="13516" spans="30:30" x14ac:dyDescent="0.25">
      <c r="AD13516"/>
    </row>
    <row r="13517" spans="30:30" x14ac:dyDescent="0.25">
      <c r="AD13517"/>
    </row>
    <row r="13518" spans="30:30" x14ac:dyDescent="0.25">
      <c r="AD13518"/>
    </row>
    <row r="13519" spans="30:30" x14ac:dyDescent="0.25">
      <c r="AD13519"/>
    </row>
    <row r="13520" spans="30:30" x14ac:dyDescent="0.25">
      <c r="AD13520"/>
    </row>
    <row r="13521" spans="30:30" x14ac:dyDescent="0.25">
      <c r="AD13521"/>
    </row>
    <row r="13522" spans="30:30" x14ac:dyDescent="0.25">
      <c r="AD13522"/>
    </row>
    <row r="13523" spans="30:30" x14ac:dyDescent="0.25">
      <c r="AD13523"/>
    </row>
    <row r="13524" spans="30:30" x14ac:dyDescent="0.25">
      <c r="AD13524"/>
    </row>
    <row r="13525" spans="30:30" x14ac:dyDescent="0.25">
      <c r="AD13525"/>
    </row>
    <row r="13526" spans="30:30" x14ac:dyDescent="0.25">
      <c r="AD13526"/>
    </row>
    <row r="13527" spans="30:30" x14ac:dyDescent="0.25">
      <c r="AD13527"/>
    </row>
    <row r="13528" spans="30:30" x14ac:dyDescent="0.25">
      <c r="AD13528"/>
    </row>
    <row r="13529" spans="30:30" x14ac:dyDescent="0.25">
      <c r="AD13529"/>
    </row>
    <row r="13530" spans="30:30" x14ac:dyDescent="0.25">
      <c r="AD13530"/>
    </row>
    <row r="13531" spans="30:30" x14ac:dyDescent="0.25">
      <c r="AD13531"/>
    </row>
    <row r="13532" spans="30:30" x14ac:dyDescent="0.25">
      <c r="AD13532"/>
    </row>
    <row r="13533" spans="30:30" x14ac:dyDescent="0.25">
      <c r="AD13533"/>
    </row>
    <row r="13534" spans="30:30" x14ac:dyDescent="0.25">
      <c r="AD13534"/>
    </row>
    <row r="13535" spans="30:30" x14ac:dyDescent="0.25">
      <c r="AD13535"/>
    </row>
    <row r="13536" spans="30:30" x14ac:dyDescent="0.25">
      <c r="AD13536"/>
    </row>
    <row r="13537" spans="30:30" x14ac:dyDescent="0.25">
      <c r="AD13537"/>
    </row>
    <row r="13538" spans="30:30" x14ac:dyDescent="0.25">
      <c r="AD13538"/>
    </row>
    <row r="13539" spans="30:30" x14ac:dyDescent="0.25">
      <c r="AD13539"/>
    </row>
    <row r="13540" spans="30:30" x14ac:dyDescent="0.25">
      <c r="AD13540"/>
    </row>
    <row r="13541" spans="30:30" x14ac:dyDescent="0.25">
      <c r="AD13541"/>
    </row>
    <row r="13542" spans="30:30" x14ac:dyDescent="0.25">
      <c r="AD13542"/>
    </row>
    <row r="13543" spans="30:30" x14ac:dyDescent="0.25">
      <c r="AD13543"/>
    </row>
    <row r="13544" spans="30:30" x14ac:dyDescent="0.25">
      <c r="AD13544"/>
    </row>
    <row r="13545" spans="30:30" x14ac:dyDescent="0.25">
      <c r="AD13545"/>
    </row>
    <row r="13546" spans="30:30" x14ac:dyDescent="0.25">
      <c r="AD13546"/>
    </row>
    <row r="13547" spans="30:30" x14ac:dyDescent="0.25">
      <c r="AD13547"/>
    </row>
    <row r="13548" spans="30:30" x14ac:dyDescent="0.25">
      <c r="AD13548"/>
    </row>
    <row r="13549" spans="30:30" x14ac:dyDescent="0.25">
      <c r="AD13549"/>
    </row>
    <row r="13550" spans="30:30" x14ac:dyDescent="0.25">
      <c r="AD13550"/>
    </row>
    <row r="13551" spans="30:30" x14ac:dyDescent="0.25">
      <c r="AD13551"/>
    </row>
    <row r="13552" spans="30:30" x14ac:dyDescent="0.25">
      <c r="AD13552"/>
    </row>
    <row r="13553" spans="30:30" x14ac:dyDescent="0.25">
      <c r="AD13553"/>
    </row>
    <row r="13554" spans="30:30" x14ac:dyDescent="0.25">
      <c r="AD13554"/>
    </row>
    <row r="13555" spans="30:30" x14ac:dyDescent="0.25">
      <c r="AD13555"/>
    </row>
    <row r="13556" spans="30:30" x14ac:dyDescent="0.25">
      <c r="AD13556"/>
    </row>
    <row r="13557" spans="30:30" x14ac:dyDescent="0.25">
      <c r="AD13557"/>
    </row>
    <row r="13558" spans="30:30" x14ac:dyDescent="0.25">
      <c r="AD13558"/>
    </row>
    <row r="13559" spans="30:30" x14ac:dyDescent="0.25">
      <c r="AD13559"/>
    </row>
    <row r="13560" spans="30:30" x14ac:dyDescent="0.25">
      <c r="AD13560"/>
    </row>
    <row r="13561" spans="30:30" x14ac:dyDescent="0.25">
      <c r="AD13561"/>
    </row>
    <row r="13562" spans="30:30" x14ac:dyDescent="0.25">
      <c r="AD13562"/>
    </row>
    <row r="13563" spans="30:30" x14ac:dyDescent="0.25">
      <c r="AD13563"/>
    </row>
    <row r="13564" spans="30:30" x14ac:dyDescent="0.25">
      <c r="AD13564"/>
    </row>
    <row r="13565" spans="30:30" x14ac:dyDescent="0.25">
      <c r="AD13565"/>
    </row>
    <row r="13566" spans="30:30" x14ac:dyDescent="0.25">
      <c r="AD13566"/>
    </row>
    <row r="13567" spans="30:30" x14ac:dyDescent="0.25">
      <c r="AD13567"/>
    </row>
    <row r="13568" spans="30:30" x14ac:dyDescent="0.25">
      <c r="AD13568"/>
    </row>
    <row r="13569" spans="30:30" x14ac:dyDescent="0.25">
      <c r="AD13569"/>
    </row>
    <row r="13570" spans="30:30" x14ac:dyDescent="0.25">
      <c r="AD13570"/>
    </row>
    <row r="13571" spans="30:30" x14ac:dyDescent="0.25">
      <c r="AD13571"/>
    </row>
    <row r="13572" spans="30:30" x14ac:dyDescent="0.25">
      <c r="AD13572"/>
    </row>
    <row r="13573" spans="30:30" x14ac:dyDescent="0.25">
      <c r="AD13573"/>
    </row>
    <row r="13574" spans="30:30" x14ac:dyDescent="0.25">
      <c r="AD13574"/>
    </row>
    <row r="13575" spans="30:30" x14ac:dyDescent="0.25">
      <c r="AD13575"/>
    </row>
    <row r="13576" spans="30:30" x14ac:dyDescent="0.25">
      <c r="AD13576"/>
    </row>
    <row r="13577" spans="30:30" x14ac:dyDescent="0.25">
      <c r="AD13577"/>
    </row>
    <row r="13578" spans="30:30" x14ac:dyDescent="0.25">
      <c r="AD13578"/>
    </row>
    <row r="13579" spans="30:30" x14ac:dyDescent="0.25">
      <c r="AD13579"/>
    </row>
    <row r="13580" spans="30:30" x14ac:dyDescent="0.25">
      <c r="AD13580"/>
    </row>
    <row r="13581" spans="30:30" x14ac:dyDescent="0.25">
      <c r="AD13581"/>
    </row>
    <row r="13582" spans="30:30" x14ac:dyDescent="0.25">
      <c r="AD13582"/>
    </row>
    <row r="13583" spans="30:30" x14ac:dyDescent="0.25">
      <c r="AD13583"/>
    </row>
    <row r="13584" spans="30:30" x14ac:dyDescent="0.25">
      <c r="AD13584"/>
    </row>
    <row r="13585" spans="30:30" x14ac:dyDescent="0.25">
      <c r="AD13585"/>
    </row>
    <row r="13586" spans="30:30" x14ac:dyDescent="0.25">
      <c r="AD13586"/>
    </row>
    <row r="13587" spans="30:30" x14ac:dyDescent="0.25">
      <c r="AD13587"/>
    </row>
    <row r="13588" spans="30:30" x14ac:dyDescent="0.25">
      <c r="AD13588"/>
    </row>
    <row r="13589" spans="30:30" x14ac:dyDescent="0.25">
      <c r="AD13589"/>
    </row>
    <row r="13590" spans="30:30" x14ac:dyDescent="0.25">
      <c r="AD13590"/>
    </row>
    <row r="13591" spans="30:30" x14ac:dyDescent="0.25">
      <c r="AD13591"/>
    </row>
    <row r="13592" spans="30:30" x14ac:dyDescent="0.25">
      <c r="AD13592"/>
    </row>
    <row r="13593" spans="30:30" x14ac:dyDescent="0.25">
      <c r="AD13593"/>
    </row>
    <row r="13594" spans="30:30" x14ac:dyDescent="0.25">
      <c r="AD13594"/>
    </row>
    <row r="13595" spans="30:30" x14ac:dyDescent="0.25">
      <c r="AD13595"/>
    </row>
    <row r="13596" spans="30:30" x14ac:dyDescent="0.25">
      <c r="AD13596"/>
    </row>
    <row r="13597" spans="30:30" x14ac:dyDescent="0.25">
      <c r="AD13597"/>
    </row>
    <row r="13598" spans="30:30" x14ac:dyDescent="0.25">
      <c r="AD13598"/>
    </row>
    <row r="13599" spans="30:30" x14ac:dyDescent="0.25">
      <c r="AD13599"/>
    </row>
    <row r="13600" spans="30:30" x14ac:dyDescent="0.25">
      <c r="AD13600"/>
    </row>
    <row r="13601" spans="30:30" x14ac:dyDescent="0.25">
      <c r="AD13601"/>
    </row>
    <row r="13602" spans="30:30" x14ac:dyDescent="0.25">
      <c r="AD13602"/>
    </row>
    <row r="13603" spans="30:30" x14ac:dyDescent="0.25">
      <c r="AD13603"/>
    </row>
    <row r="13604" spans="30:30" x14ac:dyDescent="0.25">
      <c r="AD13604"/>
    </row>
    <row r="13605" spans="30:30" x14ac:dyDescent="0.25">
      <c r="AD13605"/>
    </row>
    <row r="13606" spans="30:30" x14ac:dyDescent="0.25">
      <c r="AD13606"/>
    </row>
    <row r="13607" spans="30:30" x14ac:dyDescent="0.25">
      <c r="AD13607"/>
    </row>
    <row r="13608" spans="30:30" x14ac:dyDescent="0.25">
      <c r="AD13608"/>
    </row>
    <row r="13609" spans="30:30" x14ac:dyDescent="0.25">
      <c r="AD13609"/>
    </row>
    <row r="13610" spans="30:30" x14ac:dyDescent="0.25">
      <c r="AD13610"/>
    </row>
    <row r="13611" spans="30:30" x14ac:dyDescent="0.25">
      <c r="AD13611"/>
    </row>
    <row r="13612" spans="30:30" x14ac:dyDescent="0.25">
      <c r="AD13612"/>
    </row>
    <row r="13613" spans="30:30" x14ac:dyDescent="0.25">
      <c r="AD13613"/>
    </row>
    <row r="13614" spans="30:30" x14ac:dyDescent="0.25">
      <c r="AD13614"/>
    </row>
    <row r="13615" spans="30:30" x14ac:dyDescent="0.25">
      <c r="AD13615"/>
    </row>
    <row r="13616" spans="30:30" x14ac:dyDescent="0.25">
      <c r="AD13616"/>
    </row>
    <row r="13617" spans="30:30" x14ac:dyDescent="0.25">
      <c r="AD13617"/>
    </row>
    <row r="13618" spans="30:30" x14ac:dyDescent="0.25">
      <c r="AD13618"/>
    </row>
    <row r="13619" spans="30:30" x14ac:dyDescent="0.25">
      <c r="AD13619"/>
    </row>
    <row r="13620" spans="30:30" x14ac:dyDescent="0.25">
      <c r="AD13620"/>
    </row>
    <row r="13621" spans="30:30" x14ac:dyDescent="0.25">
      <c r="AD13621"/>
    </row>
    <row r="13622" spans="30:30" x14ac:dyDescent="0.25">
      <c r="AD13622"/>
    </row>
    <row r="13623" spans="30:30" x14ac:dyDescent="0.25">
      <c r="AD13623"/>
    </row>
    <row r="13624" spans="30:30" x14ac:dyDescent="0.25">
      <c r="AD13624"/>
    </row>
    <row r="13625" spans="30:30" x14ac:dyDescent="0.25">
      <c r="AD13625"/>
    </row>
    <row r="13626" spans="30:30" x14ac:dyDescent="0.25">
      <c r="AD13626"/>
    </row>
    <row r="13627" spans="30:30" x14ac:dyDescent="0.25">
      <c r="AD13627"/>
    </row>
    <row r="13628" spans="30:30" x14ac:dyDescent="0.25">
      <c r="AD13628"/>
    </row>
    <row r="13629" spans="30:30" x14ac:dyDescent="0.25">
      <c r="AD13629"/>
    </row>
    <row r="13630" spans="30:30" x14ac:dyDescent="0.25">
      <c r="AD13630"/>
    </row>
    <row r="13631" spans="30:30" x14ac:dyDescent="0.25">
      <c r="AD13631"/>
    </row>
    <row r="13632" spans="30:30" x14ac:dyDescent="0.25">
      <c r="AD13632"/>
    </row>
    <row r="13633" spans="30:30" x14ac:dyDescent="0.25">
      <c r="AD13633"/>
    </row>
    <row r="13634" spans="30:30" x14ac:dyDescent="0.25">
      <c r="AD13634"/>
    </row>
    <row r="13635" spans="30:30" x14ac:dyDescent="0.25">
      <c r="AD13635"/>
    </row>
    <row r="13636" spans="30:30" x14ac:dyDescent="0.25">
      <c r="AD13636"/>
    </row>
    <row r="13637" spans="30:30" x14ac:dyDescent="0.25">
      <c r="AD13637"/>
    </row>
    <row r="13638" spans="30:30" x14ac:dyDescent="0.25">
      <c r="AD13638"/>
    </row>
    <row r="13639" spans="30:30" x14ac:dyDescent="0.25">
      <c r="AD13639"/>
    </row>
    <row r="13640" spans="30:30" x14ac:dyDescent="0.25">
      <c r="AD13640"/>
    </row>
    <row r="13641" spans="30:30" x14ac:dyDescent="0.25">
      <c r="AD13641"/>
    </row>
    <row r="13642" spans="30:30" x14ac:dyDescent="0.25">
      <c r="AD13642"/>
    </row>
    <row r="13643" spans="30:30" x14ac:dyDescent="0.25">
      <c r="AD13643"/>
    </row>
    <row r="13644" spans="30:30" x14ac:dyDescent="0.25">
      <c r="AD13644"/>
    </row>
    <row r="13645" spans="30:30" x14ac:dyDescent="0.25">
      <c r="AD13645"/>
    </row>
    <row r="13646" spans="30:30" x14ac:dyDescent="0.25">
      <c r="AD13646"/>
    </row>
    <row r="13647" spans="30:30" x14ac:dyDescent="0.25">
      <c r="AD13647"/>
    </row>
    <row r="13648" spans="30:30" x14ac:dyDescent="0.25">
      <c r="AD13648"/>
    </row>
    <row r="13649" spans="30:30" x14ac:dyDescent="0.25">
      <c r="AD13649"/>
    </row>
    <row r="13650" spans="30:30" x14ac:dyDescent="0.25">
      <c r="AD13650"/>
    </row>
    <row r="13651" spans="30:30" x14ac:dyDescent="0.25">
      <c r="AD13651"/>
    </row>
    <row r="13652" spans="30:30" x14ac:dyDescent="0.25">
      <c r="AD13652"/>
    </row>
    <row r="13653" spans="30:30" x14ac:dyDescent="0.25">
      <c r="AD13653"/>
    </row>
    <row r="13654" spans="30:30" x14ac:dyDescent="0.25">
      <c r="AD13654"/>
    </row>
    <row r="13655" spans="30:30" x14ac:dyDescent="0.25">
      <c r="AD13655"/>
    </row>
    <row r="13656" spans="30:30" x14ac:dyDescent="0.25">
      <c r="AD13656"/>
    </row>
    <row r="13657" spans="30:30" x14ac:dyDescent="0.25">
      <c r="AD13657"/>
    </row>
    <row r="13658" spans="30:30" x14ac:dyDescent="0.25">
      <c r="AD13658"/>
    </row>
    <row r="13659" spans="30:30" x14ac:dyDescent="0.25">
      <c r="AD13659"/>
    </row>
    <row r="13660" spans="30:30" x14ac:dyDescent="0.25">
      <c r="AD13660"/>
    </row>
    <row r="13661" spans="30:30" x14ac:dyDescent="0.25">
      <c r="AD13661"/>
    </row>
    <row r="13662" spans="30:30" x14ac:dyDescent="0.25">
      <c r="AD13662"/>
    </row>
    <row r="13663" spans="30:30" x14ac:dyDescent="0.25">
      <c r="AD13663"/>
    </row>
    <row r="13664" spans="30:30" x14ac:dyDescent="0.25">
      <c r="AD13664"/>
    </row>
    <row r="13665" spans="30:30" x14ac:dyDescent="0.25">
      <c r="AD13665"/>
    </row>
    <row r="13666" spans="30:30" x14ac:dyDescent="0.25">
      <c r="AD13666"/>
    </row>
    <row r="13667" spans="30:30" x14ac:dyDescent="0.25">
      <c r="AD13667"/>
    </row>
    <row r="13668" spans="30:30" x14ac:dyDescent="0.25">
      <c r="AD13668"/>
    </row>
    <row r="13669" spans="30:30" x14ac:dyDescent="0.25">
      <c r="AD13669"/>
    </row>
    <row r="13670" spans="30:30" x14ac:dyDescent="0.25">
      <c r="AD13670"/>
    </row>
    <row r="13671" spans="30:30" x14ac:dyDescent="0.25">
      <c r="AD13671"/>
    </row>
    <row r="13672" spans="30:30" x14ac:dyDescent="0.25">
      <c r="AD13672"/>
    </row>
    <row r="13673" spans="30:30" x14ac:dyDescent="0.25">
      <c r="AD13673"/>
    </row>
    <row r="13674" spans="30:30" x14ac:dyDescent="0.25">
      <c r="AD13674"/>
    </row>
    <row r="13675" spans="30:30" x14ac:dyDescent="0.25">
      <c r="AD13675"/>
    </row>
    <row r="13676" spans="30:30" x14ac:dyDescent="0.25">
      <c r="AD13676"/>
    </row>
    <row r="13677" spans="30:30" x14ac:dyDescent="0.25">
      <c r="AD13677"/>
    </row>
    <row r="13678" spans="30:30" x14ac:dyDescent="0.25">
      <c r="AD13678"/>
    </row>
    <row r="13679" spans="30:30" x14ac:dyDescent="0.25">
      <c r="AD13679"/>
    </row>
    <row r="13680" spans="30:30" x14ac:dyDescent="0.25">
      <c r="AD13680"/>
    </row>
    <row r="13681" spans="30:30" x14ac:dyDescent="0.25">
      <c r="AD13681"/>
    </row>
    <row r="13682" spans="30:30" x14ac:dyDescent="0.25">
      <c r="AD13682"/>
    </row>
    <row r="13683" spans="30:30" x14ac:dyDescent="0.25">
      <c r="AD13683"/>
    </row>
    <row r="13684" spans="30:30" x14ac:dyDescent="0.25">
      <c r="AD13684"/>
    </row>
    <row r="13685" spans="30:30" x14ac:dyDescent="0.25">
      <c r="AD13685"/>
    </row>
    <row r="13686" spans="30:30" x14ac:dyDescent="0.25">
      <c r="AD13686"/>
    </row>
    <row r="13687" spans="30:30" x14ac:dyDescent="0.25">
      <c r="AD13687"/>
    </row>
    <row r="13688" spans="30:30" x14ac:dyDescent="0.25">
      <c r="AD13688"/>
    </row>
    <row r="13689" spans="30:30" x14ac:dyDescent="0.25">
      <c r="AD13689"/>
    </row>
    <row r="13690" spans="30:30" x14ac:dyDescent="0.25">
      <c r="AD13690"/>
    </row>
    <row r="13691" spans="30:30" x14ac:dyDescent="0.25">
      <c r="AD13691"/>
    </row>
    <row r="13692" spans="30:30" x14ac:dyDescent="0.25">
      <c r="AD13692"/>
    </row>
    <row r="13693" spans="30:30" x14ac:dyDescent="0.25">
      <c r="AD13693"/>
    </row>
    <row r="13694" spans="30:30" x14ac:dyDescent="0.25">
      <c r="AD13694"/>
    </row>
    <row r="13695" spans="30:30" x14ac:dyDescent="0.25">
      <c r="AD13695"/>
    </row>
    <row r="13696" spans="30:30" x14ac:dyDescent="0.25">
      <c r="AD13696"/>
    </row>
    <row r="13697" spans="30:30" x14ac:dyDescent="0.25">
      <c r="AD13697"/>
    </row>
    <row r="13698" spans="30:30" x14ac:dyDescent="0.25">
      <c r="AD13698"/>
    </row>
    <row r="13699" spans="30:30" x14ac:dyDescent="0.25">
      <c r="AD13699"/>
    </row>
    <row r="13700" spans="30:30" x14ac:dyDescent="0.25">
      <c r="AD13700"/>
    </row>
    <row r="13701" spans="30:30" x14ac:dyDescent="0.25">
      <c r="AD13701"/>
    </row>
    <row r="13702" spans="30:30" x14ac:dyDescent="0.25">
      <c r="AD13702"/>
    </row>
    <row r="13703" spans="30:30" x14ac:dyDescent="0.25">
      <c r="AD13703"/>
    </row>
    <row r="13704" spans="30:30" x14ac:dyDescent="0.25">
      <c r="AD13704"/>
    </row>
    <row r="13705" spans="30:30" x14ac:dyDescent="0.25">
      <c r="AD13705"/>
    </row>
    <row r="13706" spans="30:30" x14ac:dyDescent="0.25">
      <c r="AD13706"/>
    </row>
    <row r="13707" spans="30:30" x14ac:dyDescent="0.25">
      <c r="AD13707"/>
    </row>
    <row r="13708" spans="30:30" x14ac:dyDescent="0.25">
      <c r="AD13708"/>
    </row>
    <row r="13709" spans="30:30" x14ac:dyDescent="0.25">
      <c r="AD13709"/>
    </row>
    <row r="13710" spans="30:30" x14ac:dyDescent="0.25">
      <c r="AD13710"/>
    </row>
    <row r="13711" spans="30:30" x14ac:dyDescent="0.25">
      <c r="AD13711"/>
    </row>
    <row r="13712" spans="30:30" x14ac:dyDescent="0.25">
      <c r="AD13712"/>
    </row>
    <row r="13713" spans="30:30" x14ac:dyDescent="0.25">
      <c r="AD13713"/>
    </row>
    <row r="13714" spans="30:30" x14ac:dyDescent="0.25">
      <c r="AD13714"/>
    </row>
    <row r="13715" spans="30:30" x14ac:dyDescent="0.25">
      <c r="AD13715"/>
    </row>
    <row r="13716" spans="30:30" x14ac:dyDescent="0.25">
      <c r="AD13716"/>
    </row>
    <row r="13717" spans="30:30" x14ac:dyDescent="0.25">
      <c r="AD13717"/>
    </row>
    <row r="13718" spans="30:30" x14ac:dyDescent="0.25">
      <c r="AD13718"/>
    </row>
    <row r="13719" spans="30:30" x14ac:dyDescent="0.25">
      <c r="AD13719"/>
    </row>
    <row r="13720" spans="30:30" x14ac:dyDescent="0.25">
      <c r="AD13720"/>
    </row>
    <row r="13721" spans="30:30" x14ac:dyDescent="0.25">
      <c r="AD13721"/>
    </row>
    <row r="13722" spans="30:30" x14ac:dyDescent="0.25">
      <c r="AD13722"/>
    </row>
    <row r="13723" spans="30:30" x14ac:dyDescent="0.25">
      <c r="AD13723"/>
    </row>
    <row r="13724" spans="30:30" x14ac:dyDescent="0.25">
      <c r="AD13724"/>
    </row>
    <row r="13725" spans="30:30" x14ac:dyDescent="0.25">
      <c r="AD13725"/>
    </row>
    <row r="13726" spans="30:30" x14ac:dyDescent="0.25">
      <c r="AD13726"/>
    </row>
    <row r="13727" spans="30:30" x14ac:dyDescent="0.25">
      <c r="AD13727"/>
    </row>
    <row r="13728" spans="30:30" x14ac:dyDescent="0.25">
      <c r="AD13728"/>
    </row>
    <row r="13729" spans="30:30" x14ac:dyDescent="0.25">
      <c r="AD13729"/>
    </row>
    <row r="13730" spans="30:30" x14ac:dyDescent="0.25">
      <c r="AD13730"/>
    </row>
    <row r="13731" spans="30:30" x14ac:dyDescent="0.25">
      <c r="AD13731"/>
    </row>
    <row r="13732" spans="30:30" x14ac:dyDescent="0.25">
      <c r="AD13732"/>
    </row>
    <row r="13733" spans="30:30" x14ac:dyDescent="0.25">
      <c r="AD13733"/>
    </row>
    <row r="13734" spans="30:30" x14ac:dyDescent="0.25">
      <c r="AD13734"/>
    </row>
    <row r="13735" spans="30:30" x14ac:dyDescent="0.25">
      <c r="AD13735"/>
    </row>
    <row r="13736" spans="30:30" x14ac:dyDescent="0.25">
      <c r="AD13736"/>
    </row>
    <row r="13737" spans="30:30" x14ac:dyDescent="0.25">
      <c r="AD13737"/>
    </row>
    <row r="13738" spans="30:30" x14ac:dyDescent="0.25">
      <c r="AD13738"/>
    </row>
    <row r="13739" spans="30:30" x14ac:dyDescent="0.25">
      <c r="AD13739"/>
    </row>
    <row r="13740" spans="30:30" x14ac:dyDescent="0.25">
      <c r="AD13740"/>
    </row>
    <row r="13741" spans="30:30" x14ac:dyDescent="0.25">
      <c r="AD13741"/>
    </row>
    <row r="13742" spans="30:30" x14ac:dyDescent="0.25">
      <c r="AD13742"/>
    </row>
    <row r="13743" spans="30:30" x14ac:dyDescent="0.25">
      <c r="AD13743"/>
    </row>
    <row r="13744" spans="30:30" x14ac:dyDescent="0.25">
      <c r="AD13744"/>
    </row>
    <row r="13745" spans="30:30" x14ac:dyDescent="0.25">
      <c r="AD13745"/>
    </row>
    <row r="13746" spans="30:30" x14ac:dyDescent="0.25">
      <c r="AD13746"/>
    </row>
    <row r="13747" spans="30:30" x14ac:dyDescent="0.25">
      <c r="AD13747"/>
    </row>
    <row r="13748" spans="30:30" x14ac:dyDescent="0.25">
      <c r="AD13748"/>
    </row>
    <row r="13749" spans="30:30" x14ac:dyDescent="0.25">
      <c r="AD13749"/>
    </row>
    <row r="13750" spans="30:30" x14ac:dyDescent="0.25">
      <c r="AD13750"/>
    </row>
    <row r="13751" spans="30:30" x14ac:dyDescent="0.25">
      <c r="AD13751"/>
    </row>
    <row r="13752" spans="30:30" x14ac:dyDescent="0.25">
      <c r="AD13752"/>
    </row>
    <row r="13753" spans="30:30" x14ac:dyDescent="0.25">
      <c r="AD13753"/>
    </row>
    <row r="13754" spans="30:30" x14ac:dyDescent="0.25">
      <c r="AD13754"/>
    </row>
    <row r="13755" spans="30:30" x14ac:dyDescent="0.25">
      <c r="AD13755"/>
    </row>
    <row r="13756" spans="30:30" x14ac:dyDescent="0.25">
      <c r="AD13756"/>
    </row>
    <row r="13757" spans="30:30" x14ac:dyDescent="0.25">
      <c r="AD13757"/>
    </row>
    <row r="13758" spans="30:30" x14ac:dyDescent="0.25">
      <c r="AD13758"/>
    </row>
    <row r="13759" spans="30:30" x14ac:dyDescent="0.25">
      <c r="AD13759"/>
    </row>
    <row r="13760" spans="30:30" x14ac:dyDescent="0.25">
      <c r="AD13760"/>
    </row>
    <row r="13761" spans="30:30" x14ac:dyDescent="0.25">
      <c r="AD13761"/>
    </row>
    <row r="13762" spans="30:30" x14ac:dyDescent="0.25">
      <c r="AD13762"/>
    </row>
    <row r="13763" spans="30:30" x14ac:dyDescent="0.25">
      <c r="AD13763"/>
    </row>
    <row r="13764" spans="30:30" x14ac:dyDescent="0.25">
      <c r="AD13764"/>
    </row>
    <row r="13765" spans="30:30" x14ac:dyDescent="0.25">
      <c r="AD13765"/>
    </row>
    <row r="13766" spans="30:30" x14ac:dyDescent="0.25">
      <c r="AD13766"/>
    </row>
    <row r="13767" spans="30:30" x14ac:dyDescent="0.25">
      <c r="AD13767"/>
    </row>
    <row r="13768" spans="30:30" x14ac:dyDescent="0.25">
      <c r="AD13768"/>
    </row>
    <row r="13769" spans="30:30" x14ac:dyDescent="0.25">
      <c r="AD13769"/>
    </row>
    <row r="13770" spans="30:30" x14ac:dyDescent="0.25">
      <c r="AD13770"/>
    </row>
    <row r="13771" spans="30:30" x14ac:dyDescent="0.25">
      <c r="AD13771"/>
    </row>
    <row r="13772" spans="30:30" x14ac:dyDescent="0.25">
      <c r="AD13772"/>
    </row>
    <row r="13773" spans="30:30" x14ac:dyDescent="0.25">
      <c r="AD13773"/>
    </row>
    <row r="13774" spans="30:30" x14ac:dyDescent="0.25">
      <c r="AD13774"/>
    </row>
    <row r="13775" spans="30:30" x14ac:dyDescent="0.25">
      <c r="AD13775"/>
    </row>
    <row r="13776" spans="30:30" x14ac:dyDescent="0.25">
      <c r="AD13776"/>
    </row>
    <row r="13777" spans="30:30" x14ac:dyDescent="0.25">
      <c r="AD13777"/>
    </row>
    <row r="13778" spans="30:30" x14ac:dyDescent="0.25">
      <c r="AD13778"/>
    </row>
    <row r="13779" spans="30:30" x14ac:dyDescent="0.25">
      <c r="AD13779"/>
    </row>
    <row r="13780" spans="30:30" x14ac:dyDescent="0.25">
      <c r="AD13780"/>
    </row>
    <row r="13781" spans="30:30" x14ac:dyDescent="0.25">
      <c r="AD13781"/>
    </row>
    <row r="13782" spans="30:30" x14ac:dyDescent="0.25">
      <c r="AD13782"/>
    </row>
    <row r="13783" spans="30:30" x14ac:dyDescent="0.25">
      <c r="AD13783"/>
    </row>
    <row r="13784" spans="30:30" x14ac:dyDescent="0.25">
      <c r="AD13784"/>
    </row>
    <row r="13785" spans="30:30" x14ac:dyDescent="0.25">
      <c r="AD13785"/>
    </row>
    <row r="13786" spans="30:30" x14ac:dyDescent="0.25">
      <c r="AD13786"/>
    </row>
    <row r="13787" spans="30:30" x14ac:dyDescent="0.25">
      <c r="AD13787"/>
    </row>
    <row r="13788" spans="30:30" x14ac:dyDescent="0.25">
      <c r="AD13788"/>
    </row>
    <row r="13789" spans="30:30" x14ac:dyDescent="0.25">
      <c r="AD13789"/>
    </row>
    <row r="13790" spans="30:30" x14ac:dyDescent="0.25">
      <c r="AD13790"/>
    </row>
    <row r="13791" spans="30:30" x14ac:dyDescent="0.25">
      <c r="AD13791"/>
    </row>
    <row r="13792" spans="30:30" x14ac:dyDescent="0.25">
      <c r="AD13792"/>
    </row>
    <row r="13793" spans="30:30" x14ac:dyDescent="0.25">
      <c r="AD13793"/>
    </row>
    <row r="13794" spans="30:30" x14ac:dyDescent="0.25">
      <c r="AD13794"/>
    </row>
    <row r="13795" spans="30:30" x14ac:dyDescent="0.25">
      <c r="AD13795"/>
    </row>
    <row r="13796" spans="30:30" x14ac:dyDescent="0.25">
      <c r="AD13796"/>
    </row>
    <row r="13797" spans="30:30" x14ac:dyDescent="0.25">
      <c r="AD13797"/>
    </row>
    <row r="13798" spans="30:30" x14ac:dyDescent="0.25">
      <c r="AD13798"/>
    </row>
    <row r="13799" spans="30:30" x14ac:dyDescent="0.25">
      <c r="AD13799"/>
    </row>
    <row r="13800" spans="30:30" x14ac:dyDescent="0.25">
      <c r="AD13800"/>
    </row>
    <row r="13801" spans="30:30" x14ac:dyDescent="0.25">
      <c r="AD13801"/>
    </row>
    <row r="13802" spans="30:30" x14ac:dyDescent="0.25">
      <c r="AD13802"/>
    </row>
    <row r="13803" spans="30:30" x14ac:dyDescent="0.25">
      <c r="AD13803"/>
    </row>
    <row r="13804" spans="30:30" x14ac:dyDescent="0.25">
      <c r="AD13804"/>
    </row>
    <row r="13805" spans="30:30" x14ac:dyDescent="0.25">
      <c r="AD13805"/>
    </row>
    <row r="13806" spans="30:30" x14ac:dyDescent="0.25">
      <c r="AD13806"/>
    </row>
    <row r="13807" spans="30:30" x14ac:dyDescent="0.25">
      <c r="AD13807"/>
    </row>
    <row r="13808" spans="30:30" x14ac:dyDescent="0.25">
      <c r="AD13808"/>
    </row>
    <row r="13809" spans="30:30" x14ac:dyDescent="0.25">
      <c r="AD13809"/>
    </row>
    <row r="13810" spans="30:30" x14ac:dyDescent="0.25">
      <c r="AD13810"/>
    </row>
    <row r="13811" spans="30:30" x14ac:dyDescent="0.25">
      <c r="AD13811"/>
    </row>
    <row r="13812" spans="30:30" x14ac:dyDescent="0.25">
      <c r="AD13812"/>
    </row>
    <row r="13813" spans="30:30" x14ac:dyDescent="0.25">
      <c r="AD13813"/>
    </row>
    <row r="13814" spans="30:30" x14ac:dyDescent="0.25">
      <c r="AD13814"/>
    </row>
    <row r="13815" spans="30:30" x14ac:dyDescent="0.25">
      <c r="AD13815"/>
    </row>
    <row r="13816" spans="30:30" x14ac:dyDescent="0.25">
      <c r="AD13816"/>
    </row>
    <row r="13817" spans="30:30" x14ac:dyDescent="0.25">
      <c r="AD13817"/>
    </row>
    <row r="13818" spans="30:30" x14ac:dyDescent="0.25">
      <c r="AD13818"/>
    </row>
    <row r="13819" spans="30:30" x14ac:dyDescent="0.25">
      <c r="AD13819"/>
    </row>
    <row r="13820" spans="30:30" x14ac:dyDescent="0.25">
      <c r="AD13820"/>
    </row>
    <row r="13821" spans="30:30" x14ac:dyDescent="0.25">
      <c r="AD13821"/>
    </row>
    <row r="13822" spans="30:30" x14ac:dyDescent="0.25">
      <c r="AD13822"/>
    </row>
    <row r="13823" spans="30:30" x14ac:dyDescent="0.25">
      <c r="AD13823"/>
    </row>
    <row r="13824" spans="30:30" x14ac:dyDescent="0.25">
      <c r="AD13824"/>
    </row>
    <row r="13825" spans="30:30" x14ac:dyDescent="0.25">
      <c r="AD13825"/>
    </row>
    <row r="13826" spans="30:30" x14ac:dyDescent="0.25">
      <c r="AD13826"/>
    </row>
    <row r="13827" spans="30:30" x14ac:dyDescent="0.25">
      <c r="AD13827"/>
    </row>
    <row r="13828" spans="30:30" x14ac:dyDescent="0.25">
      <c r="AD13828"/>
    </row>
    <row r="13829" spans="30:30" x14ac:dyDescent="0.25">
      <c r="AD13829"/>
    </row>
    <row r="13830" spans="30:30" x14ac:dyDescent="0.25">
      <c r="AD13830"/>
    </row>
    <row r="13831" spans="30:30" x14ac:dyDescent="0.25">
      <c r="AD13831"/>
    </row>
    <row r="13832" spans="30:30" x14ac:dyDescent="0.25">
      <c r="AD13832"/>
    </row>
    <row r="13833" spans="30:30" x14ac:dyDescent="0.25">
      <c r="AD13833"/>
    </row>
    <row r="13834" spans="30:30" x14ac:dyDescent="0.25">
      <c r="AD13834"/>
    </row>
    <row r="13835" spans="30:30" x14ac:dyDescent="0.25">
      <c r="AD13835"/>
    </row>
    <row r="13836" spans="30:30" x14ac:dyDescent="0.25">
      <c r="AD13836"/>
    </row>
    <row r="13837" spans="30:30" x14ac:dyDescent="0.25">
      <c r="AD13837"/>
    </row>
    <row r="13838" spans="30:30" x14ac:dyDescent="0.25">
      <c r="AD13838"/>
    </row>
    <row r="13839" spans="30:30" x14ac:dyDescent="0.25">
      <c r="AD13839"/>
    </row>
    <row r="13840" spans="30:30" x14ac:dyDescent="0.25">
      <c r="AD13840"/>
    </row>
    <row r="13841" spans="30:30" x14ac:dyDescent="0.25">
      <c r="AD13841"/>
    </row>
    <row r="13842" spans="30:30" x14ac:dyDescent="0.25">
      <c r="AD13842"/>
    </row>
    <row r="13843" spans="30:30" x14ac:dyDescent="0.25">
      <c r="AD13843"/>
    </row>
    <row r="13844" spans="30:30" x14ac:dyDescent="0.25">
      <c r="AD13844"/>
    </row>
    <row r="13845" spans="30:30" x14ac:dyDescent="0.25">
      <c r="AD13845"/>
    </row>
    <row r="13846" spans="30:30" x14ac:dyDescent="0.25">
      <c r="AD13846"/>
    </row>
    <row r="13847" spans="30:30" x14ac:dyDescent="0.25">
      <c r="AD13847"/>
    </row>
    <row r="13848" spans="30:30" x14ac:dyDescent="0.25">
      <c r="AD13848"/>
    </row>
    <row r="13849" spans="30:30" x14ac:dyDescent="0.25">
      <c r="AD13849"/>
    </row>
    <row r="13850" spans="30:30" x14ac:dyDescent="0.25">
      <c r="AD13850"/>
    </row>
    <row r="13851" spans="30:30" x14ac:dyDescent="0.25">
      <c r="AD13851"/>
    </row>
    <row r="13852" spans="30:30" x14ac:dyDescent="0.25">
      <c r="AD13852"/>
    </row>
    <row r="13853" spans="30:30" x14ac:dyDescent="0.25">
      <c r="AD13853"/>
    </row>
    <row r="13854" spans="30:30" x14ac:dyDescent="0.25">
      <c r="AD13854"/>
    </row>
    <row r="13855" spans="30:30" x14ac:dyDescent="0.25">
      <c r="AD13855"/>
    </row>
    <row r="13856" spans="30:30" x14ac:dyDescent="0.25">
      <c r="AD13856"/>
    </row>
    <row r="13857" spans="30:30" x14ac:dyDescent="0.25">
      <c r="AD13857"/>
    </row>
    <row r="13858" spans="30:30" x14ac:dyDescent="0.25">
      <c r="AD13858"/>
    </row>
    <row r="13859" spans="30:30" x14ac:dyDescent="0.25">
      <c r="AD13859"/>
    </row>
    <row r="13860" spans="30:30" x14ac:dyDescent="0.25">
      <c r="AD13860"/>
    </row>
    <row r="13861" spans="30:30" x14ac:dyDescent="0.25">
      <c r="AD13861"/>
    </row>
    <row r="13862" spans="30:30" x14ac:dyDescent="0.25">
      <c r="AD13862"/>
    </row>
    <row r="13863" spans="30:30" x14ac:dyDescent="0.25">
      <c r="AD13863"/>
    </row>
    <row r="13864" spans="30:30" x14ac:dyDescent="0.25">
      <c r="AD13864"/>
    </row>
    <row r="13865" spans="30:30" x14ac:dyDescent="0.25">
      <c r="AD13865"/>
    </row>
    <row r="13866" spans="30:30" x14ac:dyDescent="0.25">
      <c r="AD13866"/>
    </row>
    <row r="13867" spans="30:30" x14ac:dyDescent="0.25">
      <c r="AD13867"/>
    </row>
    <row r="13868" spans="30:30" x14ac:dyDescent="0.25">
      <c r="AD13868"/>
    </row>
    <row r="13869" spans="30:30" x14ac:dyDescent="0.25">
      <c r="AD13869"/>
    </row>
    <row r="13870" spans="30:30" x14ac:dyDescent="0.25">
      <c r="AD13870"/>
    </row>
    <row r="13871" spans="30:30" x14ac:dyDescent="0.25">
      <c r="AD13871"/>
    </row>
    <row r="13872" spans="30:30" x14ac:dyDescent="0.25">
      <c r="AD13872"/>
    </row>
    <row r="13873" spans="30:30" x14ac:dyDescent="0.25">
      <c r="AD13873"/>
    </row>
    <row r="13874" spans="30:30" x14ac:dyDescent="0.25">
      <c r="AD13874"/>
    </row>
    <row r="13875" spans="30:30" x14ac:dyDescent="0.25">
      <c r="AD13875"/>
    </row>
    <row r="13876" spans="30:30" x14ac:dyDescent="0.25">
      <c r="AD13876"/>
    </row>
    <row r="13877" spans="30:30" x14ac:dyDescent="0.25">
      <c r="AD13877"/>
    </row>
    <row r="13878" spans="30:30" x14ac:dyDescent="0.25">
      <c r="AD13878"/>
    </row>
    <row r="13879" spans="30:30" x14ac:dyDescent="0.25">
      <c r="AD13879"/>
    </row>
    <row r="13880" spans="30:30" x14ac:dyDescent="0.25">
      <c r="AD13880"/>
    </row>
    <row r="13881" spans="30:30" x14ac:dyDescent="0.25">
      <c r="AD13881"/>
    </row>
    <row r="13882" spans="30:30" x14ac:dyDescent="0.25">
      <c r="AD13882"/>
    </row>
    <row r="13883" spans="30:30" x14ac:dyDescent="0.25">
      <c r="AD13883"/>
    </row>
    <row r="13884" spans="30:30" x14ac:dyDescent="0.25">
      <c r="AD13884"/>
    </row>
    <row r="13885" spans="30:30" x14ac:dyDescent="0.25">
      <c r="AD13885"/>
    </row>
    <row r="13886" spans="30:30" x14ac:dyDescent="0.25">
      <c r="AD13886"/>
    </row>
    <row r="13887" spans="30:30" x14ac:dyDescent="0.25">
      <c r="AD13887"/>
    </row>
    <row r="13888" spans="30:30" x14ac:dyDescent="0.25">
      <c r="AD13888"/>
    </row>
    <row r="13889" spans="30:30" x14ac:dyDescent="0.25">
      <c r="AD13889"/>
    </row>
    <row r="13890" spans="30:30" x14ac:dyDescent="0.25">
      <c r="AD13890"/>
    </row>
    <row r="13891" spans="30:30" x14ac:dyDescent="0.25">
      <c r="AD13891"/>
    </row>
    <row r="13892" spans="30:30" x14ac:dyDescent="0.25">
      <c r="AD13892"/>
    </row>
    <row r="13893" spans="30:30" x14ac:dyDescent="0.25">
      <c r="AD13893"/>
    </row>
    <row r="13894" spans="30:30" x14ac:dyDescent="0.25">
      <c r="AD13894"/>
    </row>
    <row r="13895" spans="30:30" x14ac:dyDescent="0.25">
      <c r="AD13895"/>
    </row>
    <row r="13896" spans="30:30" x14ac:dyDescent="0.25">
      <c r="AD13896"/>
    </row>
    <row r="13897" spans="30:30" x14ac:dyDescent="0.25">
      <c r="AD13897"/>
    </row>
    <row r="13898" spans="30:30" x14ac:dyDescent="0.25">
      <c r="AD13898"/>
    </row>
    <row r="13899" spans="30:30" x14ac:dyDescent="0.25">
      <c r="AD13899"/>
    </row>
    <row r="13900" spans="30:30" x14ac:dyDescent="0.25">
      <c r="AD13900"/>
    </row>
    <row r="13901" spans="30:30" x14ac:dyDescent="0.25">
      <c r="AD13901"/>
    </row>
    <row r="13902" spans="30:30" x14ac:dyDescent="0.25">
      <c r="AD13902"/>
    </row>
    <row r="13903" spans="30:30" x14ac:dyDescent="0.25">
      <c r="AD13903"/>
    </row>
    <row r="13904" spans="30:30" x14ac:dyDescent="0.25">
      <c r="AD13904"/>
    </row>
    <row r="13905" spans="30:30" x14ac:dyDescent="0.25">
      <c r="AD13905"/>
    </row>
    <row r="13906" spans="30:30" x14ac:dyDescent="0.25">
      <c r="AD13906"/>
    </row>
    <row r="13907" spans="30:30" x14ac:dyDescent="0.25">
      <c r="AD13907"/>
    </row>
    <row r="13908" spans="30:30" x14ac:dyDescent="0.25">
      <c r="AD13908"/>
    </row>
    <row r="13909" spans="30:30" x14ac:dyDescent="0.25">
      <c r="AD13909"/>
    </row>
    <row r="13910" spans="30:30" x14ac:dyDescent="0.25">
      <c r="AD13910"/>
    </row>
    <row r="13911" spans="30:30" x14ac:dyDescent="0.25">
      <c r="AD13911"/>
    </row>
    <row r="13912" spans="30:30" x14ac:dyDescent="0.25">
      <c r="AD13912"/>
    </row>
    <row r="13913" spans="30:30" x14ac:dyDescent="0.25">
      <c r="AD13913"/>
    </row>
    <row r="13914" spans="30:30" x14ac:dyDescent="0.25">
      <c r="AD13914"/>
    </row>
    <row r="13915" spans="30:30" x14ac:dyDescent="0.25">
      <c r="AD13915"/>
    </row>
    <row r="13916" spans="30:30" x14ac:dyDescent="0.25">
      <c r="AD13916"/>
    </row>
    <row r="13917" spans="30:30" x14ac:dyDescent="0.25">
      <c r="AD13917"/>
    </row>
    <row r="13918" spans="30:30" x14ac:dyDescent="0.25">
      <c r="AD13918"/>
    </row>
    <row r="13919" spans="30:30" x14ac:dyDescent="0.25">
      <c r="AD13919"/>
    </row>
    <row r="13920" spans="30:30" x14ac:dyDescent="0.25">
      <c r="AD13920"/>
    </row>
    <row r="13921" spans="30:30" x14ac:dyDescent="0.25">
      <c r="AD13921"/>
    </row>
    <row r="13922" spans="30:30" x14ac:dyDescent="0.25">
      <c r="AD13922"/>
    </row>
    <row r="13923" spans="30:30" x14ac:dyDescent="0.25">
      <c r="AD13923"/>
    </row>
    <row r="13924" spans="30:30" x14ac:dyDescent="0.25">
      <c r="AD13924"/>
    </row>
    <row r="13925" spans="30:30" x14ac:dyDescent="0.25">
      <c r="AD13925"/>
    </row>
    <row r="13926" spans="30:30" x14ac:dyDescent="0.25">
      <c r="AD13926"/>
    </row>
    <row r="13927" spans="30:30" x14ac:dyDescent="0.25">
      <c r="AD13927"/>
    </row>
    <row r="13928" spans="30:30" x14ac:dyDescent="0.25">
      <c r="AD13928"/>
    </row>
    <row r="13929" spans="30:30" x14ac:dyDescent="0.25">
      <c r="AD13929"/>
    </row>
    <row r="13930" spans="30:30" x14ac:dyDescent="0.25">
      <c r="AD13930"/>
    </row>
    <row r="13931" spans="30:30" x14ac:dyDescent="0.25">
      <c r="AD13931"/>
    </row>
    <row r="13932" spans="30:30" x14ac:dyDescent="0.25">
      <c r="AD13932"/>
    </row>
    <row r="13933" spans="30:30" x14ac:dyDescent="0.25">
      <c r="AD13933"/>
    </row>
    <row r="13934" spans="30:30" x14ac:dyDescent="0.25">
      <c r="AD13934"/>
    </row>
    <row r="13935" spans="30:30" x14ac:dyDescent="0.25">
      <c r="AD13935"/>
    </row>
    <row r="13936" spans="30:30" x14ac:dyDescent="0.25">
      <c r="AD13936"/>
    </row>
    <row r="13937" spans="30:30" x14ac:dyDescent="0.25">
      <c r="AD13937"/>
    </row>
    <row r="13938" spans="30:30" x14ac:dyDescent="0.25">
      <c r="AD13938"/>
    </row>
    <row r="13939" spans="30:30" x14ac:dyDescent="0.25">
      <c r="AD13939"/>
    </row>
    <row r="13940" spans="30:30" x14ac:dyDescent="0.25">
      <c r="AD13940"/>
    </row>
    <row r="13941" spans="30:30" x14ac:dyDescent="0.25">
      <c r="AD13941"/>
    </row>
    <row r="13942" spans="30:30" x14ac:dyDescent="0.25">
      <c r="AD13942"/>
    </row>
    <row r="13943" spans="30:30" x14ac:dyDescent="0.25">
      <c r="AD13943"/>
    </row>
    <row r="13944" spans="30:30" x14ac:dyDescent="0.25">
      <c r="AD13944"/>
    </row>
    <row r="13945" spans="30:30" x14ac:dyDescent="0.25">
      <c r="AD13945"/>
    </row>
    <row r="13946" spans="30:30" x14ac:dyDescent="0.25">
      <c r="AD13946"/>
    </row>
    <row r="13947" spans="30:30" x14ac:dyDescent="0.25">
      <c r="AD13947"/>
    </row>
    <row r="13948" spans="30:30" x14ac:dyDescent="0.25">
      <c r="AD13948"/>
    </row>
    <row r="13949" spans="30:30" x14ac:dyDescent="0.25">
      <c r="AD13949"/>
    </row>
    <row r="13950" spans="30:30" x14ac:dyDescent="0.25">
      <c r="AD13950"/>
    </row>
    <row r="13951" spans="30:30" x14ac:dyDescent="0.25">
      <c r="AD13951"/>
    </row>
    <row r="13952" spans="30:30" x14ac:dyDescent="0.25">
      <c r="AD13952"/>
    </row>
    <row r="13953" spans="30:30" x14ac:dyDescent="0.25">
      <c r="AD13953"/>
    </row>
    <row r="13954" spans="30:30" x14ac:dyDescent="0.25">
      <c r="AD13954"/>
    </row>
    <row r="13955" spans="30:30" x14ac:dyDescent="0.25">
      <c r="AD13955"/>
    </row>
    <row r="13956" spans="30:30" x14ac:dyDescent="0.25">
      <c r="AD13956"/>
    </row>
    <row r="13957" spans="30:30" x14ac:dyDescent="0.25">
      <c r="AD13957"/>
    </row>
    <row r="13958" spans="30:30" x14ac:dyDescent="0.25">
      <c r="AD13958"/>
    </row>
    <row r="13959" spans="30:30" x14ac:dyDescent="0.25">
      <c r="AD13959"/>
    </row>
    <row r="13960" spans="30:30" x14ac:dyDescent="0.25">
      <c r="AD13960"/>
    </row>
    <row r="13961" spans="30:30" x14ac:dyDescent="0.25">
      <c r="AD13961"/>
    </row>
    <row r="13962" spans="30:30" x14ac:dyDescent="0.25">
      <c r="AD13962"/>
    </row>
    <row r="13963" spans="30:30" x14ac:dyDescent="0.25">
      <c r="AD13963"/>
    </row>
    <row r="13964" spans="30:30" x14ac:dyDescent="0.25">
      <c r="AD13964"/>
    </row>
    <row r="13965" spans="30:30" x14ac:dyDescent="0.25">
      <c r="AD13965"/>
    </row>
    <row r="13966" spans="30:30" x14ac:dyDescent="0.25">
      <c r="AD13966"/>
    </row>
    <row r="13967" spans="30:30" x14ac:dyDescent="0.25">
      <c r="AD13967"/>
    </row>
    <row r="13968" spans="30:30" x14ac:dyDescent="0.25">
      <c r="AD13968"/>
    </row>
    <row r="13969" spans="30:30" x14ac:dyDescent="0.25">
      <c r="AD13969"/>
    </row>
    <row r="13970" spans="30:30" x14ac:dyDescent="0.25">
      <c r="AD13970"/>
    </row>
    <row r="13971" spans="30:30" x14ac:dyDescent="0.25">
      <c r="AD13971"/>
    </row>
    <row r="13972" spans="30:30" x14ac:dyDescent="0.25">
      <c r="AD13972"/>
    </row>
    <row r="13973" spans="30:30" x14ac:dyDescent="0.25">
      <c r="AD13973"/>
    </row>
    <row r="13974" spans="30:30" x14ac:dyDescent="0.25">
      <c r="AD13974"/>
    </row>
    <row r="13975" spans="30:30" x14ac:dyDescent="0.25">
      <c r="AD13975"/>
    </row>
    <row r="13976" spans="30:30" x14ac:dyDescent="0.25">
      <c r="AD13976"/>
    </row>
    <row r="13977" spans="30:30" x14ac:dyDescent="0.25">
      <c r="AD13977"/>
    </row>
    <row r="13978" spans="30:30" x14ac:dyDescent="0.25">
      <c r="AD13978"/>
    </row>
    <row r="13979" spans="30:30" x14ac:dyDescent="0.25">
      <c r="AD13979"/>
    </row>
    <row r="13980" spans="30:30" x14ac:dyDescent="0.25">
      <c r="AD13980"/>
    </row>
    <row r="13981" spans="30:30" x14ac:dyDescent="0.25">
      <c r="AD13981"/>
    </row>
    <row r="13982" spans="30:30" x14ac:dyDescent="0.25">
      <c r="AD13982"/>
    </row>
    <row r="13983" spans="30:30" x14ac:dyDescent="0.25">
      <c r="AD13983"/>
    </row>
    <row r="13984" spans="30:30" x14ac:dyDescent="0.25">
      <c r="AD13984"/>
    </row>
    <row r="13985" spans="30:30" x14ac:dyDescent="0.25">
      <c r="AD13985"/>
    </row>
    <row r="13986" spans="30:30" x14ac:dyDescent="0.25">
      <c r="AD13986"/>
    </row>
    <row r="13987" spans="30:30" x14ac:dyDescent="0.25">
      <c r="AD13987"/>
    </row>
    <row r="13988" spans="30:30" x14ac:dyDescent="0.25">
      <c r="AD13988"/>
    </row>
    <row r="13989" spans="30:30" x14ac:dyDescent="0.25">
      <c r="AD13989"/>
    </row>
    <row r="13990" spans="30:30" x14ac:dyDescent="0.25">
      <c r="AD13990"/>
    </row>
    <row r="13991" spans="30:30" x14ac:dyDescent="0.25">
      <c r="AD13991"/>
    </row>
    <row r="13992" spans="30:30" x14ac:dyDescent="0.25">
      <c r="AD13992"/>
    </row>
    <row r="13993" spans="30:30" x14ac:dyDescent="0.25">
      <c r="AD13993"/>
    </row>
    <row r="13994" spans="30:30" x14ac:dyDescent="0.25">
      <c r="AD13994"/>
    </row>
    <row r="13995" spans="30:30" x14ac:dyDescent="0.25">
      <c r="AD13995"/>
    </row>
    <row r="13996" spans="30:30" x14ac:dyDescent="0.25">
      <c r="AD13996"/>
    </row>
    <row r="13997" spans="30:30" x14ac:dyDescent="0.25">
      <c r="AD13997"/>
    </row>
    <row r="13998" spans="30:30" x14ac:dyDescent="0.25">
      <c r="AD13998"/>
    </row>
    <row r="13999" spans="30:30" x14ac:dyDescent="0.25">
      <c r="AD13999"/>
    </row>
    <row r="14000" spans="30:30" x14ac:dyDescent="0.25">
      <c r="AD14000"/>
    </row>
    <row r="14001" spans="30:30" x14ac:dyDescent="0.25">
      <c r="AD14001"/>
    </row>
    <row r="14002" spans="30:30" x14ac:dyDescent="0.25">
      <c r="AD14002"/>
    </row>
    <row r="14003" spans="30:30" x14ac:dyDescent="0.25">
      <c r="AD14003"/>
    </row>
    <row r="14004" spans="30:30" x14ac:dyDescent="0.25">
      <c r="AD14004"/>
    </row>
    <row r="14005" spans="30:30" x14ac:dyDescent="0.25">
      <c r="AD14005"/>
    </row>
    <row r="14006" spans="30:30" x14ac:dyDescent="0.25">
      <c r="AD14006"/>
    </row>
    <row r="14007" spans="30:30" x14ac:dyDescent="0.25">
      <c r="AD14007"/>
    </row>
    <row r="14008" spans="30:30" x14ac:dyDescent="0.25">
      <c r="AD14008"/>
    </row>
    <row r="14009" spans="30:30" x14ac:dyDescent="0.25">
      <c r="AD14009"/>
    </row>
    <row r="14010" spans="30:30" x14ac:dyDescent="0.25">
      <c r="AD14010"/>
    </row>
    <row r="14011" spans="30:30" x14ac:dyDescent="0.25">
      <c r="AD14011"/>
    </row>
    <row r="14012" spans="30:30" x14ac:dyDescent="0.25">
      <c r="AD14012"/>
    </row>
    <row r="14013" spans="30:30" x14ac:dyDescent="0.25">
      <c r="AD14013"/>
    </row>
    <row r="14014" spans="30:30" x14ac:dyDescent="0.25">
      <c r="AD14014"/>
    </row>
    <row r="14015" spans="30:30" x14ac:dyDescent="0.25">
      <c r="AD14015"/>
    </row>
    <row r="14016" spans="30:30" x14ac:dyDescent="0.25">
      <c r="AD14016"/>
    </row>
    <row r="14017" spans="30:30" x14ac:dyDescent="0.25">
      <c r="AD14017"/>
    </row>
    <row r="14018" spans="30:30" x14ac:dyDescent="0.25">
      <c r="AD14018"/>
    </row>
    <row r="14019" spans="30:30" x14ac:dyDescent="0.25">
      <c r="AD14019"/>
    </row>
    <row r="14020" spans="30:30" x14ac:dyDescent="0.25">
      <c r="AD14020"/>
    </row>
    <row r="14021" spans="30:30" x14ac:dyDescent="0.25">
      <c r="AD14021"/>
    </row>
    <row r="14022" spans="30:30" x14ac:dyDescent="0.25">
      <c r="AD14022"/>
    </row>
    <row r="14023" spans="30:30" x14ac:dyDescent="0.25">
      <c r="AD14023"/>
    </row>
    <row r="14024" spans="30:30" x14ac:dyDescent="0.25">
      <c r="AD14024"/>
    </row>
    <row r="14025" spans="30:30" x14ac:dyDescent="0.25">
      <c r="AD14025"/>
    </row>
    <row r="14026" spans="30:30" x14ac:dyDescent="0.25">
      <c r="AD14026"/>
    </row>
    <row r="14027" spans="30:30" x14ac:dyDescent="0.25">
      <c r="AD14027"/>
    </row>
    <row r="14028" spans="30:30" x14ac:dyDescent="0.25">
      <c r="AD14028"/>
    </row>
    <row r="14029" spans="30:30" x14ac:dyDescent="0.25">
      <c r="AD14029"/>
    </row>
    <row r="14030" spans="30:30" x14ac:dyDescent="0.25">
      <c r="AD14030"/>
    </row>
    <row r="14031" spans="30:30" x14ac:dyDescent="0.25">
      <c r="AD14031"/>
    </row>
    <row r="14032" spans="30:30" x14ac:dyDescent="0.25">
      <c r="AD14032"/>
    </row>
    <row r="14033" spans="30:30" x14ac:dyDescent="0.25">
      <c r="AD14033"/>
    </row>
    <row r="14034" spans="30:30" x14ac:dyDescent="0.25">
      <c r="AD14034"/>
    </row>
    <row r="14035" spans="30:30" x14ac:dyDescent="0.25">
      <c r="AD14035"/>
    </row>
    <row r="14036" spans="30:30" x14ac:dyDescent="0.25">
      <c r="AD14036"/>
    </row>
    <row r="14037" spans="30:30" x14ac:dyDescent="0.25">
      <c r="AD14037"/>
    </row>
    <row r="14038" spans="30:30" x14ac:dyDescent="0.25">
      <c r="AD14038"/>
    </row>
    <row r="14039" spans="30:30" x14ac:dyDescent="0.25">
      <c r="AD14039"/>
    </row>
    <row r="14040" spans="30:30" x14ac:dyDescent="0.25">
      <c r="AD14040"/>
    </row>
    <row r="14041" spans="30:30" x14ac:dyDescent="0.25">
      <c r="AD14041"/>
    </row>
    <row r="14042" spans="30:30" x14ac:dyDescent="0.25">
      <c r="AD14042"/>
    </row>
    <row r="14043" spans="30:30" x14ac:dyDescent="0.25">
      <c r="AD14043"/>
    </row>
    <row r="14044" spans="30:30" x14ac:dyDescent="0.25">
      <c r="AD14044"/>
    </row>
    <row r="14045" spans="30:30" x14ac:dyDescent="0.25">
      <c r="AD14045"/>
    </row>
    <row r="14046" spans="30:30" x14ac:dyDescent="0.25">
      <c r="AD14046"/>
    </row>
    <row r="14047" spans="30:30" x14ac:dyDescent="0.25">
      <c r="AD14047"/>
    </row>
    <row r="14048" spans="30:30" x14ac:dyDescent="0.25">
      <c r="AD14048"/>
    </row>
    <row r="14049" spans="30:30" x14ac:dyDescent="0.25">
      <c r="AD14049"/>
    </row>
    <row r="14050" spans="30:30" x14ac:dyDescent="0.25">
      <c r="AD14050"/>
    </row>
    <row r="14051" spans="30:30" x14ac:dyDescent="0.25">
      <c r="AD14051"/>
    </row>
    <row r="14052" spans="30:30" x14ac:dyDescent="0.25">
      <c r="AD14052"/>
    </row>
    <row r="14053" spans="30:30" x14ac:dyDescent="0.25">
      <c r="AD14053"/>
    </row>
    <row r="14054" spans="30:30" x14ac:dyDescent="0.25">
      <c r="AD14054"/>
    </row>
    <row r="14055" spans="30:30" x14ac:dyDescent="0.25">
      <c r="AD14055"/>
    </row>
    <row r="14056" spans="30:30" x14ac:dyDescent="0.25">
      <c r="AD14056"/>
    </row>
    <row r="14057" spans="30:30" x14ac:dyDescent="0.25">
      <c r="AD14057"/>
    </row>
    <row r="14058" spans="30:30" x14ac:dyDescent="0.25">
      <c r="AD14058"/>
    </row>
    <row r="14059" spans="30:30" x14ac:dyDescent="0.25">
      <c r="AD14059"/>
    </row>
    <row r="14060" spans="30:30" x14ac:dyDescent="0.25">
      <c r="AD14060"/>
    </row>
    <row r="14061" spans="30:30" x14ac:dyDescent="0.25">
      <c r="AD14061"/>
    </row>
    <row r="14062" spans="30:30" x14ac:dyDescent="0.25">
      <c r="AD14062"/>
    </row>
    <row r="14063" spans="30:30" x14ac:dyDescent="0.25">
      <c r="AD14063"/>
    </row>
    <row r="14064" spans="30:30" x14ac:dyDescent="0.25">
      <c r="AD14064"/>
    </row>
    <row r="14065" spans="30:30" x14ac:dyDescent="0.25">
      <c r="AD14065"/>
    </row>
    <row r="14066" spans="30:30" x14ac:dyDescent="0.25">
      <c r="AD14066"/>
    </row>
    <row r="14067" spans="30:30" x14ac:dyDescent="0.25">
      <c r="AD14067"/>
    </row>
    <row r="14068" spans="30:30" x14ac:dyDescent="0.25">
      <c r="AD14068"/>
    </row>
    <row r="14069" spans="30:30" x14ac:dyDescent="0.25">
      <c r="AD14069"/>
    </row>
    <row r="14070" spans="30:30" x14ac:dyDescent="0.25">
      <c r="AD14070"/>
    </row>
    <row r="14071" spans="30:30" x14ac:dyDescent="0.25">
      <c r="AD14071"/>
    </row>
    <row r="14072" spans="30:30" x14ac:dyDescent="0.25">
      <c r="AD14072"/>
    </row>
    <row r="14073" spans="30:30" x14ac:dyDescent="0.25">
      <c r="AD14073"/>
    </row>
    <row r="14074" spans="30:30" x14ac:dyDescent="0.25">
      <c r="AD14074"/>
    </row>
    <row r="14075" spans="30:30" x14ac:dyDescent="0.25">
      <c r="AD14075"/>
    </row>
    <row r="14076" spans="30:30" x14ac:dyDescent="0.25">
      <c r="AD14076"/>
    </row>
    <row r="14077" spans="30:30" x14ac:dyDescent="0.25">
      <c r="AD14077"/>
    </row>
    <row r="14078" spans="30:30" x14ac:dyDescent="0.25">
      <c r="AD14078"/>
    </row>
    <row r="14079" spans="30:30" x14ac:dyDescent="0.25">
      <c r="AD14079"/>
    </row>
    <row r="14080" spans="30:30" x14ac:dyDescent="0.25">
      <c r="AD14080"/>
    </row>
    <row r="14081" spans="30:30" x14ac:dyDescent="0.25">
      <c r="AD14081"/>
    </row>
    <row r="14082" spans="30:30" x14ac:dyDescent="0.25">
      <c r="AD14082"/>
    </row>
    <row r="14083" spans="30:30" x14ac:dyDescent="0.25">
      <c r="AD14083"/>
    </row>
    <row r="14084" spans="30:30" x14ac:dyDescent="0.25">
      <c r="AD14084"/>
    </row>
    <row r="14085" spans="30:30" x14ac:dyDescent="0.25">
      <c r="AD14085"/>
    </row>
    <row r="14086" spans="30:30" x14ac:dyDescent="0.25">
      <c r="AD14086"/>
    </row>
    <row r="14087" spans="30:30" x14ac:dyDescent="0.25">
      <c r="AD14087"/>
    </row>
    <row r="14088" spans="30:30" x14ac:dyDescent="0.25">
      <c r="AD14088"/>
    </row>
    <row r="14089" spans="30:30" x14ac:dyDescent="0.25">
      <c r="AD14089"/>
    </row>
    <row r="14090" spans="30:30" x14ac:dyDescent="0.25">
      <c r="AD14090"/>
    </row>
    <row r="14091" spans="30:30" x14ac:dyDescent="0.25">
      <c r="AD14091"/>
    </row>
    <row r="14092" spans="30:30" x14ac:dyDescent="0.25">
      <c r="AD14092"/>
    </row>
    <row r="14093" spans="30:30" x14ac:dyDescent="0.25">
      <c r="AD14093"/>
    </row>
    <row r="14094" spans="30:30" x14ac:dyDescent="0.25">
      <c r="AD14094"/>
    </row>
    <row r="14095" spans="30:30" x14ac:dyDescent="0.25">
      <c r="AD14095"/>
    </row>
    <row r="14096" spans="30:30" x14ac:dyDescent="0.25">
      <c r="AD14096"/>
    </row>
    <row r="14097" spans="30:30" x14ac:dyDescent="0.25">
      <c r="AD14097"/>
    </row>
    <row r="14098" spans="30:30" x14ac:dyDescent="0.25">
      <c r="AD14098"/>
    </row>
    <row r="14099" spans="30:30" x14ac:dyDescent="0.25">
      <c r="AD14099"/>
    </row>
    <row r="14100" spans="30:30" x14ac:dyDescent="0.25">
      <c r="AD14100"/>
    </row>
    <row r="14101" spans="30:30" x14ac:dyDescent="0.25">
      <c r="AD14101"/>
    </row>
    <row r="14102" spans="30:30" x14ac:dyDescent="0.25">
      <c r="AD14102"/>
    </row>
    <row r="14103" spans="30:30" x14ac:dyDescent="0.25">
      <c r="AD14103"/>
    </row>
    <row r="14104" spans="30:30" x14ac:dyDescent="0.25">
      <c r="AD14104"/>
    </row>
    <row r="14105" spans="30:30" x14ac:dyDescent="0.25">
      <c r="AD14105"/>
    </row>
    <row r="14106" spans="30:30" x14ac:dyDescent="0.25">
      <c r="AD14106"/>
    </row>
    <row r="14107" spans="30:30" x14ac:dyDescent="0.25">
      <c r="AD14107"/>
    </row>
    <row r="14108" spans="30:30" x14ac:dyDescent="0.25">
      <c r="AD14108"/>
    </row>
    <row r="14109" spans="30:30" x14ac:dyDescent="0.25">
      <c r="AD14109"/>
    </row>
    <row r="14110" spans="30:30" x14ac:dyDescent="0.25">
      <c r="AD14110"/>
    </row>
    <row r="14111" spans="30:30" x14ac:dyDescent="0.25">
      <c r="AD14111"/>
    </row>
    <row r="14112" spans="30:30" x14ac:dyDescent="0.25">
      <c r="AD14112"/>
    </row>
    <row r="14113" spans="30:30" x14ac:dyDescent="0.25">
      <c r="AD14113"/>
    </row>
    <row r="14114" spans="30:30" x14ac:dyDescent="0.25">
      <c r="AD14114"/>
    </row>
    <row r="14115" spans="30:30" x14ac:dyDescent="0.25">
      <c r="AD14115"/>
    </row>
    <row r="14116" spans="30:30" x14ac:dyDescent="0.25">
      <c r="AD14116"/>
    </row>
    <row r="14117" spans="30:30" x14ac:dyDescent="0.25">
      <c r="AD14117"/>
    </row>
    <row r="14118" spans="30:30" x14ac:dyDescent="0.25">
      <c r="AD14118"/>
    </row>
    <row r="14119" spans="30:30" x14ac:dyDescent="0.25">
      <c r="AD14119"/>
    </row>
    <row r="14120" spans="30:30" x14ac:dyDescent="0.25">
      <c r="AD14120"/>
    </row>
    <row r="14121" spans="30:30" x14ac:dyDescent="0.25">
      <c r="AD14121"/>
    </row>
    <row r="14122" spans="30:30" x14ac:dyDescent="0.25">
      <c r="AD14122"/>
    </row>
    <row r="14123" spans="30:30" x14ac:dyDescent="0.25">
      <c r="AD14123"/>
    </row>
    <row r="14124" spans="30:30" x14ac:dyDescent="0.25">
      <c r="AD14124"/>
    </row>
    <row r="14125" spans="30:30" x14ac:dyDescent="0.25">
      <c r="AD14125"/>
    </row>
    <row r="14126" spans="30:30" x14ac:dyDescent="0.25">
      <c r="AD14126"/>
    </row>
    <row r="14127" spans="30:30" x14ac:dyDescent="0.25">
      <c r="AD14127"/>
    </row>
    <row r="14128" spans="30:30" x14ac:dyDescent="0.25">
      <c r="AD14128"/>
    </row>
    <row r="14129" spans="30:30" x14ac:dyDescent="0.25">
      <c r="AD14129"/>
    </row>
    <row r="14130" spans="30:30" x14ac:dyDescent="0.25">
      <c r="AD14130"/>
    </row>
    <row r="14131" spans="30:30" x14ac:dyDescent="0.25">
      <c r="AD14131"/>
    </row>
    <row r="14132" spans="30:30" x14ac:dyDescent="0.25">
      <c r="AD14132"/>
    </row>
    <row r="14133" spans="30:30" x14ac:dyDescent="0.25">
      <c r="AD14133"/>
    </row>
    <row r="14134" spans="30:30" x14ac:dyDescent="0.25">
      <c r="AD14134"/>
    </row>
    <row r="14135" spans="30:30" x14ac:dyDescent="0.25">
      <c r="AD14135"/>
    </row>
    <row r="14136" spans="30:30" x14ac:dyDescent="0.25">
      <c r="AD14136"/>
    </row>
    <row r="14137" spans="30:30" x14ac:dyDescent="0.25">
      <c r="AD14137"/>
    </row>
    <row r="14138" spans="30:30" x14ac:dyDescent="0.25">
      <c r="AD14138"/>
    </row>
    <row r="14139" spans="30:30" x14ac:dyDescent="0.25">
      <c r="AD14139"/>
    </row>
    <row r="14140" spans="30:30" x14ac:dyDescent="0.25">
      <c r="AD14140"/>
    </row>
    <row r="14141" spans="30:30" x14ac:dyDescent="0.25">
      <c r="AD14141"/>
    </row>
    <row r="14142" spans="30:30" x14ac:dyDescent="0.25">
      <c r="AD14142"/>
    </row>
    <row r="14143" spans="30:30" x14ac:dyDescent="0.25">
      <c r="AD14143"/>
    </row>
    <row r="14144" spans="30:30" x14ac:dyDescent="0.25">
      <c r="AD14144"/>
    </row>
    <row r="14145" spans="30:30" x14ac:dyDescent="0.25">
      <c r="AD14145"/>
    </row>
    <row r="14146" spans="30:30" x14ac:dyDescent="0.25">
      <c r="AD14146"/>
    </row>
    <row r="14147" spans="30:30" x14ac:dyDescent="0.25">
      <c r="AD14147"/>
    </row>
    <row r="14148" spans="30:30" x14ac:dyDescent="0.25">
      <c r="AD14148"/>
    </row>
    <row r="14149" spans="30:30" x14ac:dyDescent="0.25">
      <c r="AD14149"/>
    </row>
    <row r="14150" spans="30:30" x14ac:dyDescent="0.25">
      <c r="AD14150"/>
    </row>
    <row r="14151" spans="30:30" x14ac:dyDescent="0.25">
      <c r="AD14151"/>
    </row>
    <row r="14152" spans="30:30" x14ac:dyDescent="0.25">
      <c r="AD14152"/>
    </row>
    <row r="14153" spans="30:30" x14ac:dyDescent="0.25">
      <c r="AD14153"/>
    </row>
    <row r="14154" spans="30:30" x14ac:dyDescent="0.25">
      <c r="AD14154"/>
    </row>
    <row r="14155" spans="30:30" x14ac:dyDescent="0.25">
      <c r="AD14155"/>
    </row>
    <row r="14156" spans="30:30" x14ac:dyDescent="0.25">
      <c r="AD14156"/>
    </row>
    <row r="14157" spans="30:30" x14ac:dyDescent="0.25">
      <c r="AD14157"/>
    </row>
    <row r="14158" spans="30:30" x14ac:dyDescent="0.25">
      <c r="AD14158"/>
    </row>
    <row r="14159" spans="30:30" x14ac:dyDescent="0.25">
      <c r="AD14159"/>
    </row>
    <row r="14160" spans="30:30" x14ac:dyDescent="0.25">
      <c r="AD14160"/>
    </row>
    <row r="14161" spans="30:30" x14ac:dyDescent="0.25">
      <c r="AD14161"/>
    </row>
    <row r="14162" spans="30:30" x14ac:dyDescent="0.25">
      <c r="AD14162"/>
    </row>
    <row r="14163" spans="30:30" x14ac:dyDescent="0.25">
      <c r="AD14163"/>
    </row>
    <row r="14164" spans="30:30" x14ac:dyDescent="0.25">
      <c r="AD14164"/>
    </row>
    <row r="14165" spans="30:30" x14ac:dyDescent="0.25">
      <c r="AD14165"/>
    </row>
    <row r="14166" spans="30:30" x14ac:dyDescent="0.25">
      <c r="AD14166"/>
    </row>
    <row r="14167" spans="30:30" x14ac:dyDescent="0.25">
      <c r="AD14167"/>
    </row>
    <row r="14168" spans="30:30" x14ac:dyDescent="0.25">
      <c r="AD14168"/>
    </row>
    <row r="14169" spans="30:30" x14ac:dyDescent="0.25">
      <c r="AD14169"/>
    </row>
    <row r="14170" spans="30:30" x14ac:dyDescent="0.25">
      <c r="AD14170"/>
    </row>
    <row r="14171" spans="30:30" x14ac:dyDescent="0.25">
      <c r="AD14171"/>
    </row>
    <row r="14172" spans="30:30" x14ac:dyDescent="0.25">
      <c r="AD14172"/>
    </row>
    <row r="14173" spans="30:30" x14ac:dyDescent="0.25">
      <c r="AD14173"/>
    </row>
    <row r="14174" spans="30:30" x14ac:dyDescent="0.25">
      <c r="AD14174"/>
    </row>
    <row r="14175" spans="30:30" x14ac:dyDescent="0.25">
      <c r="AD14175"/>
    </row>
    <row r="14176" spans="30:30" x14ac:dyDescent="0.25">
      <c r="AD14176"/>
    </row>
    <row r="14177" spans="30:30" x14ac:dyDescent="0.25">
      <c r="AD14177"/>
    </row>
    <row r="14178" spans="30:30" x14ac:dyDescent="0.25">
      <c r="AD14178"/>
    </row>
    <row r="14179" spans="30:30" x14ac:dyDescent="0.25">
      <c r="AD14179"/>
    </row>
    <row r="14180" spans="30:30" x14ac:dyDescent="0.25">
      <c r="AD14180"/>
    </row>
    <row r="14181" spans="30:30" x14ac:dyDescent="0.25">
      <c r="AD14181"/>
    </row>
    <row r="14182" spans="30:30" x14ac:dyDescent="0.25">
      <c r="AD14182"/>
    </row>
    <row r="14183" spans="30:30" x14ac:dyDescent="0.25">
      <c r="AD14183"/>
    </row>
    <row r="14184" spans="30:30" x14ac:dyDescent="0.25">
      <c r="AD14184"/>
    </row>
    <row r="14185" spans="30:30" x14ac:dyDescent="0.25">
      <c r="AD14185"/>
    </row>
    <row r="14186" spans="30:30" x14ac:dyDescent="0.25">
      <c r="AD14186"/>
    </row>
    <row r="14187" spans="30:30" x14ac:dyDescent="0.25">
      <c r="AD14187"/>
    </row>
    <row r="14188" spans="30:30" x14ac:dyDescent="0.25">
      <c r="AD14188"/>
    </row>
    <row r="14189" spans="30:30" x14ac:dyDescent="0.25">
      <c r="AD14189"/>
    </row>
    <row r="14190" spans="30:30" x14ac:dyDescent="0.25">
      <c r="AD14190"/>
    </row>
    <row r="14191" spans="30:30" x14ac:dyDescent="0.25">
      <c r="AD14191"/>
    </row>
    <row r="14192" spans="30:30" x14ac:dyDescent="0.25">
      <c r="AD14192"/>
    </row>
    <row r="14193" spans="30:30" x14ac:dyDescent="0.25">
      <c r="AD14193"/>
    </row>
    <row r="14194" spans="30:30" x14ac:dyDescent="0.25">
      <c r="AD14194"/>
    </row>
    <row r="14195" spans="30:30" x14ac:dyDescent="0.25">
      <c r="AD14195"/>
    </row>
    <row r="14196" spans="30:30" x14ac:dyDescent="0.25">
      <c r="AD14196"/>
    </row>
    <row r="14197" spans="30:30" x14ac:dyDescent="0.25">
      <c r="AD14197"/>
    </row>
    <row r="14198" spans="30:30" x14ac:dyDescent="0.25">
      <c r="AD14198"/>
    </row>
    <row r="14199" spans="30:30" x14ac:dyDescent="0.25">
      <c r="AD14199"/>
    </row>
    <row r="14200" spans="30:30" x14ac:dyDescent="0.25">
      <c r="AD14200"/>
    </row>
    <row r="14201" spans="30:30" x14ac:dyDescent="0.25">
      <c r="AD14201"/>
    </row>
    <row r="14202" spans="30:30" x14ac:dyDescent="0.25">
      <c r="AD14202"/>
    </row>
    <row r="14203" spans="30:30" x14ac:dyDescent="0.25">
      <c r="AD14203"/>
    </row>
    <row r="14204" spans="30:30" x14ac:dyDescent="0.25">
      <c r="AD14204"/>
    </row>
    <row r="14205" spans="30:30" x14ac:dyDescent="0.25">
      <c r="AD14205"/>
    </row>
    <row r="14206" spans="30:30" x14ac:dyDescent="0.25">
      <c r="AD14206"/>
    </row>
    <row r="14207" spans="30:30" x14ac:dyDescent="0.25">
      <c r="AD14207"/>
    </row>
    <row r="14208" spans="30:30" x14ac:dyDescent="0.25">
      <c r="AD14208"/>
    </row>
    <row r="14209" spans="30:30" x14ac:dyDescent="0.25">
      <c r="AD14209"/>
    </row>
    <row r="14210" spans="30:30" x14ac:dyDescent="0.25">
      <c r="AD14210"/>
    </row>
    <row r="14211" spans="30:30" x14ac:dyDescent="0.25">
      <c r="AD14211"/>
    </row>
    <row r="14212" spans="30:30" x14ac:dyDescent="0.25">
      <c r="AD14212"/>
    </row>
    <row r="14213" spans="30:30" x14ac:dyDescent="0.25">
      <c r="AD14213"/>
    </row>
    <row r="14214" spans="30:30" x14ac:dyDescent="0.25">
      <c r="AD14214"/>
    </row>
    <row r="14215" spans="30:30" x14ac:dyDescent="0.25">
      <c r="AD14215"/>
    </row>
    <row r="14216" spans="30:30" x14ac:dyDescent="0.25">
      <c r="AD14216"/>
    </row>
    <row r="14217" spans="30:30" x14ac:dyDescent="0.25">
      <c r="AD14217"/>
    </row>
    <row r="14218" spans="30:30" x14ac:dyDescent="0.25">
      <c r="AD14218"/>
    </row>
    <row r="14219" spans="30:30" x14ac:dyDescent="0.25">
      <c r="AD14219"/>
    </row>
    <row r="14220" spans="30:30" x14ac:dyDescent="0.25">
      <c r="AD14220"/>
    </row>
    <row r="14221" spans="30:30" x14ac:dyDescent="0.25">
      <c r="AD14221"/>
    </row>
    <row r="14222" spans="30:30" x14ac:dyDescent="0.25">
      <c r="AD14222"/>
    </row>
    <row r="14223" spans="30:30" x14ac:dyDescent="0.25">
      <c r="AD14223"/>
    </row>
    <row r="14224" spans="30:30" x14ac:dyDescent="0.25">
      <c r="AD14224"/>
    </row>
    <row r="14225" spans="30:30" x14ac:dyDescent="0.25">
      <c r="AD14225"/>
    </row>
    <row r="14226" spans="30:30" x14ac:dyDescent="0.25">
      <c r="AD14226"/>
    </row>
    <row r="14227" spans="30:30" x14ac:dyDescent="0.25">
      <c r="AD14227"/>
    </row>
    <row r="14228" spans="30:30" x14ac:dyDescent="0.25">
      <c r="AD14228"/>
    </row>
    <row r="14229" spans="30:30" x14ac:dyDescent="0.25">
      <c r="AD14229"/>
    </row>
    <row r="14230" spans="30:30" x14ac:dyDescent="0.25">
      <c r="AD14230"/>
    </row>
    <row r="14231" spans="30:30" x14ac:dyDescent="0.25">
      <c r="AD14231"/>
    </row>
    <row r="14232" spans="30:30" x14ac:dyDescent="0.25">
      <c r="AD14232"/>
    </row>
    <row r="14233" spans="30:30" x14ac:dyDescent="0.25">
      <c r="AD14233"/>
    </row>
    <row r="14234" spans="30:30" x14ac:dyDescent="0.25">
      <c r="AD14234"/>
    </row>
    <row r="14235" spans="30:30" x14ac:dyDescent="0.25">
      <c r="AD14235"/>
    </row>
    <row r="14236" spans="30:30" x14ac:dyDescent="0.25">
      <c r="AD14236"/>
    </row>
    <row r="14237" spans="30:30" x14ac:dyDescent="0.25">
      <c r="AD14237"/>
    </row>
    <row r="14238" spans="30:30" x14ac:dyDescent="0.25">
      <c r="AD14238"/>
    </row>
    <row r="14239" spans="30:30" x14ac:dyDescent="0.25">
      <c r="AD14239"/>
    </row>
    <row r="14240" spans="30:30" x14ac:dyDescent="0.25">
      <c r="AD14240"/>
    </row>
    <row r="14241" spans="30:30" x14ac:dyDescent="0.25">
      <c r="AD14241"/>
    </row>
    <row r="14242" spans="30:30" x14ac:dyDescent="0.25">
      <c r="AD14242"/>
    </row>
    <row r="14243" spans="30:30" x14ac:dyDescent="0.25">
      <c r="AD14243"/>
    </row>
    <row r="14244" spans="30:30" x14ac:dyDescent="0.25">
      <c r="AD14244"/>
    </row>
    <row r="14245" spans="30:30" x14ac:dyDescent="0.25">
      <c r="AD14245"/>
    </row>
    <row r="14246" spans="30:30" x14ac:dyDescent="0.25">
      <c r="AD14246"/>
    </row>
    <row r="14247" spans="30:30" x14ac:dyDescent="0.25">
      <c r="AD14247"/>
    </row>
    <row r="14248" spans="30:30" x14ac:dyDescent="0.25">
      <c r="AD14248"/>
    </row>
    <row r="14249" spans="30:30" x14ac:dyDescent="0.25">
      <c r="AD14249"/>
    </row>
    <row r="14250" spans="30:30" x14ac:dyDescent="0.25">
      <c r="AD14250"/>
    </row>
    <row r="14251" spans="30:30" x14ac:dyDescent="0.25">
      <c r="AD14251"/>
    </row>
    <row r="14252" spans="30:30" x14ac:dyDescent="0.25">
      <c r="AD14252"/>
    </row>
    <row r="14253" spans="30:30" x14ac:dyDescent="0.25">
      <c r="AD14253"/>
    </row>
    <row r="14254" spans="30:30" x14ac:dyDescent="0.25">
      <c r="AD14254"/>
    </row>
    <row r="14255" spans="30:30" x14ac:dyDescent="0.25">
      <c r="AD14255"/>
    </row>
    <row r="14256" spans="30:30" x14ac:dyDescent="0.25">
      <c r="AD14256"/>
    </row>
    <row r="14257" spans="30:30" x14ac:dyDescent="0.25">
      <c r="AD14257"/>
    </row>
    <row r="14258" spans="30:30" x14ac:dyDescent="0.25">
      <c r="AD14258"/>
    </row>
    <row r="14259" spans="30:30" x14ac:dyDescent="0.25">
      <c r="AD14259"/>
    </row>
    <row r="14260" spans="30:30" x14ac:dyDescent="0.25">
      <c r="AD14260"/>
    </row>
    <row r="14261" spans="30:30" x14ac:dyDescent="0.25">
      <c r="AD14261"/>
    </row>
    <row r="14262" spans="30:30" x14ac:dyDescent="0.25">
      <c r="AD14262"/>
    </row>
    <row r="14263" spans="30:30" x14ac:dyDescent="0.25">
      <c r="AD14263"/>
    </row>
    <row r="14264" spans="30:30" x14ac:dyDescent="0.25">
      <c r="AD14264"/>
    </row>
    <row r="14265" spans="30:30" x14ac:dyDescent="0.25">
      <c r="AD14265"/>
    </row>
    <row r="14266" spans="30:30" x14ac:dyDescent="0.25">
      <c r="AD14266"/>
    </row>
    <row r="14267" spans="30:30" x14ac:dyDescent="0.25">
      <c r="AD14267"/>
    </row>
    <row r="14268" spans="30:30" x14ac:dyDescent="0.25">
      <c r="AD14268"/>
    </row>
    <row r="14269" spans="30:30" x14ac:dyDescent="0.25">
      <c r="AD14269"/>
    </row>
    <row r="14270" spans="30:30" x14ac:dyDescent="0.25">
      <c r="AD14270"/>
    </row>
    <row r="14271" spans="30:30" x14ac:dyDescent="0.25">
      <c r="AD14271"/>
    </row>
    <row r="14272" spans="30:30" x14ac:dyDescent="0.25">
      <c r="AD14272"/>
    </row>
    <row r="14273" spans="30:30" x14ac:dyDescent="0.25">
      <c r="AD14273"/>
    </row>
    <row r="14274" spans="30:30" x14ac:dyDescent="0.25">
      <c r="AD14274"/>
    </row>
    <row r="14275" spans="30:30" x14ac:dyDescent="0.25">
      <c r="AD14275"/>
    </row>
    <row r="14276" spans="30:30" x14ac:dyDescent="0.25">
      <c r="AD14276"/>
    </row>
    <row r="14277" spans="30:30" x14ac:dyDescent="0.25">
      <c r="AD14277"/>
    </row>
    <row r="14278" spans="30:30" x14ac:dyDescent="0.25">
      <c r="AD14278"/>
    </row>
    <row r="14279" spans="30:30" x14ac:dyDescent="0.25">
      <c r="AD14279"/>
    </row>
    <row r="14280" spans="30:30" x14ac:dyDescent="0.25">
      <c r="AD14280"/>
    </row>
    <row r="14281" spans="30:30" x14ac:dyDescent="0.25">
      <c r="AD14281"/>
    </row>
    <row r="14282" spans="30:30" x14ac:dyDescent="0.25">
      <c r="AD14282"/>
    </row>
    <row r="14283" spans="30:30" x14ac:dyDescent="0.25">
      <c r="AD14283"/>
    </row>
    <row r="14284" spans="30:30" x14ac:dyDescent="0.25">
      <c r="AD14284"/>
    </row>
    <row r="14285" spans="30:30" x14ac:dyDescent="0.25">
      <c r="AD14285"/>
    </row>
    <row r="14286" spans="30:30" x14ac:dyDescent="0.25">
      <c r="AD14286"/>
    </row>
    <row r="14287" spans="30:30" x14ac:dyDescent="0.25">
      <c r="AD14287"/>
    </row>
    <row r="14288" spans="30:30" x14ac:dyDescent="0.25">
      <c r="AD14288"/>
    </row>
    <row r="14289" spans="30:30" x14ac:dyDescent="0.25">
      <c r="AD14289"/>
    </row>
    <row r="14290" spans="30:30" x14ac:dyDescent="0.25">
      <c r="AD14290"/>
    </row>
    <row r="14291" spans="30:30" x14ac:dyDescent="0.25">
      <c r="AD14291"/>
    </row>
    <row r="14292" spans="30:30" x14ac:dyDescent="0.25">
      <c r="AD14292"/>
    </row>
    <row r="14293" spans="30:30" x14ac:dyDescent="0.25">
      <c r="AD14293"/>
    </row>
    <row r="14294" spans="30:30" x14ac:dyDescent="0.25">
      <c r="AD14294"/>
    </row>
    <row r="14295" spans="30:30" x14ac:dyDescent="0.25">
      <c r="AD14295"/>
    </row>
    <row r="14296" spans="30:30" x14ac:dyDescent="0.25">
      <c r="AD14296"/>
    </row>
    <row r="14297" spans="30:30" x14ac:dyDescent="0.25">
      <c r="AD14297"/>
    </row>
    <row r="14298" spans="30:30" x14ac:dyDescent="0.25">
      <c r="AD14298"/>
    </row>
    <row r="14299" spans="30:30" x14ac:dyDescent="0.25">
      <c r="AD14299"/>
    </row>
    <row r="14300" spans="30:30" x14ac:dyDescent="0.25">
      <c r="AD14300"/>
    </row>
    <row r="14301" spans="30:30" x14ac:dyDescent="0.25">
      <c r="AD14301"/>
    </row>
    <row r="14302" spans="30:30" x14ac:dyDescent="0.25">
      <c r="AD14302"/>
    </row>
    <row r="14303" spans="30:30" x14ac:dyDescent="0.25">
      <c r="AD14303"/>
    </row>
    <row r="14304" spans="30:30" x14ac:dyDescent="0.25">
      <c r="AD14304"/>
    </row>
    <row r="14305" spans="30:30" x14ac:dyDescent="0.25">
      <c r="AD14305"/>
    </row>
    <row r="14306" spans="30:30" x14ac:dyDescent="0.25">
      <c r="AD14306"/>
    </row>
    <row r="14307" spans="30:30" x14ac:dyDescent="0.25">
      <c r="AD14307"/>
    </row>
    <row r="14308" spans="30:30" x14ac:dyDescent="0.25">
      <c r="AD14308"/>
    </row>
    <row r="14309" spans="30:30" x14ac:dyDescent="0.25">
      <c r="AD14309"/>
    </row>
    <row r="14310" spans="30:30" x14ac:dyDescent="0.25">
      <c r="AD14310"/>
    </row>
    <row r="14311" spans="30:30" x14ac:dyDescent="0.25">
      <c r="AD14311"/>
    </row>
    <row r="14312" spans="30:30" x14ac:dyDescent="0.25">
      <c r="AD14312"/>
    </row>
    <row r="14313" spans="30:30" x14ac:dyDescent="0.25">
      <c r="AD14313"/>
    </row>
    <row r="14314" spans="30:30" x14ac:dyDescent="0.25">
      <c r="AD14314"/>
    </row>
    <row r="14315" spans="30:30" x14ac:dyDescent="0.25">
      <c r="AD14315"/>
    </row>
    <row r="14316" spans="30:30" x14ac:dyDescent="0.25">
      <c r="AD14316"/>
    </row>
    <row r="14317" spans="30:30" x14ac:dyDescent="0.25">
      <c r="AD14317"/>
    </row>
    <row r="14318" spans="30:30" x14ac:dyDescent="0.25">
      <c r="AD14318"/>
    </row>
    <row r="14319" spans="30:30" x14ac:dyDescent="0.25">
      <c r="AD14319"/>
    </row>
    <row r="14320" spans="30:30" x14ac:dyDescent="0.25">
      <c r="AD14320"/>
    </row>
    <row r="14321" spans="30:30" x14ac:dyDescent="0.25">
      <c r="AD14321"/>
    </row>
    <row r="14322" spans="30:30" x14ac:dyDescent="0.25">
      <c r="AD14322"/>
    </row>
    <row r="14323" spans="30:30" x14ac:dyDescent="0.25">
      <c r="AD14323"/>
    </row>
    <row r="14324" spans="30:30" x14ac:dyDescent="0.25">
      <c r="AD14324"/>
    </row>
    <row r="14325" spans="30:30" x14ac:dyDescent="0.25">
      <c r="AD14325"/>
    </row>
    <row r="14326" spans="30:30" x14ac:dyDescent="0.25">
      <c r="AD14326"/>
    </row>
    <row r="14327" spans="30:30" x14ac:dyDescent="0.25">
      <c r="AD14327"/>
    </row>
    <row r="14328" spans="30:30" x14ac:dyDescent="0.25">
      <c r="AD14328"/>
    </row>
    <row r="14329" spans="30:30" x14ac:dyDescent="0.25">
      <c r="AD14329"/>
    </row>
    <row r="14330" spans="30:30" x14ac:dyDescent="0.25">
      <c r="AD14330"/>
    </row>
    <row r="14331" spans="30:30" x14ac:dyDescent="0.25">
      <c r="AD14331"/>
    </row>
    <row r="14332" spans="30:30" x14ac:dyDescent="0.25">
      <c r="AD14332"/>
    </row>
    <row r="14333" spans="30:30" x14ac:dyDescent="0.25">
      <c r="AD14333"/>
    </row>
    <row r="14334" spans="30:30" x14ac:dyDescent="0.25">
      <c r="AD14334"/>
    </row>
    <row r="14335" spans="30:30" x14ac:dyDescent="0.25">
      <c r="AD14335"/>
    </row>
    <row r="14336" spans="30:30" x14ac:dyDescent="0.25">
      <c r="AD14336"/>
    </row>
    <row r="14337" spans="30:30" x14ac:dyDescent="0.25">
      <c r="AD14337"/>
    </row>
    <row r="14338" spans="30:30" x14ac:dyDescent="0.25">
      <c r="AD14338"/>
    </row>
    <row r="14339" spans="30:30" x14ac:dyDescent="0.25">
      <c r="AD14339"/>
    </row>
    <row r="14340" spans="30:30" x14ac:dyDescent="0.25">
      <c r="AD14340"/>
    </row>
    <row r="14341" spans="30:30" x14ac:dyDescent="0.25">
      <c r="AD14341"/>
    </row>
    <row r="14342" spans="30:30" x14ac:dyDescent="0.25">
      <c r="AD14342"/>
    </row>
    <row r="14343" spans="30:30" x14ac:dyDescent="0.25">
      <c r="AD14343"/>
    </row>
    <row r="14344" spans="30:30" x14ac:dyDescent="0.25">
      <c r="AD14344"/>
    </row>
    <row r="14345" spans="30:30" x14ac:dyDescent="0.25">
      <c r="AD14345"/>
    </row>
    <row r="14346" spans="30:30" x14ac:dyDescent="0.25">
      <c r="AD14346"/>
    </row>
    <row r="14347" spans="30:30" x14ac:dyDescent="0.25">
      <c r="AD14347"/>
    </row>
    <row r="14348" spans="30:30" x14ac:dyDescent="0.25">
      <c r="AD14348"/>
    </row>
    <row r="14349" spans="30:30" x14ac:dyDescent="0.25">
      <c r="AD14349"/>
    </row>
    <row r="14350" spans="30:30" x14ac:dyDescent="0.25">
      <c r="AD14350"/>
    </row>
    <row r="14351" spans="30:30" x14ac:dyDescent="0.25">
      <c r="AD14351"/>
    </row>
    <row r="14352" spans="30:30" x14ac:dyDescent="0.25">
      <c r="AD14352"/>
    </row>
    <row r="14353" spans="30:30" x14ac:dyDescent="0.25">
      <c r="AD14353"/>
    </row>
    <row r="14354" spans="30:30" x14ac:dyDescent="0.25">
      <c r="AD14354"/>
    </row>
    <row r="14355" spans="30:30" x14ac:dyDescent="0.25">
      <c r="AD14355"/>
    </row>
    <row r="14356" spans="30:30" x14ac:dyDescent="0.25">
      <c r="AD14356"/>
    </row>
    <row r="14357" spans="30:30" x14ac:dyDescent="0.25">
      <c r="AD14357"/>
    </row>
    <row r="14358" spans="30:30" x14ac:dyDescent="0.25">
      <c r="AD14358"/>
    </row>
    <row r="14359" spans="30:30" x14ac:dyDescent="0.25">
      <c r="AD14359"/>
    </row>
    <row r="14360" spans="30:30" x14ac:dyDescent="0.25">
      <c r="AD14360"/>
    </row>
    <row r="14361" spans="30:30" x14ac:dyDescent="0.25">
      <c r="AD14361"/>
    </row>
    <row r="14362" spans="30:30" x14ac:dyDescent="0.25">
      <c r="AD14362"/>
    </row>
    <row r="14363" spans="30:30" x14ac:dyDescent="0.25">
      <c r="AD14363"/>
    </row>
    <row r="14364" spans="30:30" x14ac:dyDescent="0.25">
      <c r="AD14364"/>
    </row>
    <row r="14365" spans="30:30" x14ac:dyDescent="0.25">
      <c r="AD14365"/>
    </row>
    <row r="14366" spans="30:30" x14ac:dyDescent="0.25">
      <c r="AD14366"/>
    </row>
    <row r="14367" spans="30:30" x14ac:dyDescent="0.25">
      <c r="AD14367"/>
    </row>
    <row r="14368" spans="30:30" x14ac:dyDescent="0.25">
      <c r="AD14368"/>
    </row>
    <row r="14369" spans="30:30" x14ac:dyDescent="0.25">
      <c r="AD14369"/>
    </row>
    <row r="14370" spans="30:30" x14ac:dyDescent="0.25">
      <c r="AD14370"/>
    </row>
    <row r="14371" spans="30:30" x14ac:dyDescent="0.25">
      <c r="AD14371"/>
    </row>
    <row r="14372" spans="30:30" x14ac:dyDescent="0.25">
      <c r="AD14372"/>
    </row>
    <row r="14373" spans="30:30" x14ac:dyDescent="0.25">
      <c r="AD14373"/>
    </row>
    <row r="14374" spans="30:30" x14ac:dyDescent="0.25">
      <c r="AD14374"/>
    </row>
    <row r="14375" spans="30:30" x14ac:dyDescent="0.25">
      <c r="AD14375"/>
    </row>
    <row r="14376" spans="30:30" x14ac:dyDescent="0.25">
      <c r="AD14376"/>
    </row>
    <row r="14377" spans="30:30" x14ac:dyDescent="0.25">
      <c r="AD14377"/>
    </row>
    <row r="14378" spans="30:30" x14ac:dyDescent="0.25">
      <c r="AD14378"/>
    </row>
    <row r="14379" spans="30:30" x14ac:dyDescent="0.25">
      <c r="AD14379"/>
    </row>
    <row r="14380" spans="30:30" x14ac:dyDescent="0.25">
      <c r="AD14380"/>
    </row>
    <row r="14381" spans="30:30" x14ac:dyDescent="0.25">
      <c r="AD14381"/>
    </row>
    <row r="14382" spans="30:30" x14ac:dyDescent="0.25">
      <c r="AD14382"/>
    </row>
    <row r="14383" spans="30:30" x14ac:dyDescent="0.25">
      <c r="AD14383"/>
    </row>
    <row r="14384" spans="30:30" x14ac:dyDescent="0.25">
      <c r="AD14384"/>
    </row>
    <row r="14385" spans="30:30" x14ac:dyDescent="0.25">
      <c r="AD14385"/>
    </row>
    <row r="14386" spans="30:30" x14ac:dyDescent="0.25">
      <c r="AD14386"/>
    </row>
    <row r="14387" spans="30:30" x14ac:dyDescent="0.25">
      <c r="AD14387"/>
    </row>
    <row r="14388" spans="30:30" x14ac:dyDescent="0.25">
      <c r="AD14388"/>
    </row>
    <row r="14389" spans="30:30" x14ac:dyDescent="0.25">
      <c r="AD14389"/>
    </row>
    <row r="14390" spans="30:30" x14ac:dyDescent="0.25">
      <c r="AD14390"/>
    </row>
    <row r="14391" spans="30:30" x14ac:dyDescent="0.25">
      <c r="AD14391"/>
    </row>
    <row r="14392" spans="30:30" x14ac:dyDescent="0.25">
      <c r="AD14392"/>
    </row>
    <row r="14393" spans="30:30" x14ac:dyDescent="0.25">
      <c r="AD14393"/>
    </row>
    <row r="14394" spans="30:30" x14ac:dyDescent="0.25">
      <c r="AD14394"/>
    </row>
    <row r="14395" spans="30:30" x14ac:dyDescent="0.25">
      <c r="AD14395"/>
    </row>
    <row r="14396" spans="30:30" x14ac:dyDescent="0.25">
      <c r="AD14396"/>
    </row>
    <row r="14397" spans="30:30" x14ac:dyDescent="0.25">
      <c r="AD14397"/>
    </row>
    <row r="14398" spans="30:30" x14ac:dyDescent="0.25">
      <c r="AD14398"/>
    </row>
    <row r="14399" spans="30:30" x14ac:dyDescent="0.25">
      <c r="AD14399"/>
    </row>
    <row r="14400" spans="30:30" x14ac:dyDescent="0.25">
      <c r="AD14400"/>
    </row>
    <row r="14401" spans="30:30" x14ac:dyDescent="0.25">
      <c r="AD14401"/>
    </row>
    <row r="14402" spans="30:30" x14ac:dyDescent="0.25">
      <c r="AD14402"/>
    </row>
    <row r="14403" spans="30:30" x14ac:dyDescent="0.25">
      <c r="AD14403"/>
    </row>
    <row r="14404" spans="30:30" x14ac:dyDescent="0.25">
      <c r="AD14404"/>
    </row>
    <row r="14405" spans="30:30" x14ac:dyDescent="0.25">
      <c r="AD14405"/>
    </row>
    <row r="14406" spans="30:30" x14ac:dyDescent="0.25">
      <c r="AD14406"/>
    </row>
    <row r="14407" spans="30:30" x14ac:dyDescent="0.25">
      <c r="AD14407"/>
    </row>
    <row r="14408" spans="30:30" x14ac:dyDescent="0.25">
      <c r="AD14408"/>
    </row>
    <row r="14409" spans="30:30" x14ac:dyDescent="0.25">
      <c r="AD14409"/>
    </row>
    <row r="14410" spans="30:30" x14ac:dyDescent="0.25">
      <c r="AD14410"/>
    </row>
    <row r="14411" spans="30:30" x14ac:dyDescent="0.25">
      <c r="AD14411"/>
    </row>
    <row r="14412" spans="30:30" x14ac:dyDescent="0.25">
      <c r="AD14412"/>
    </row>
    <row r="14413" spans="30:30" x14ac:dyDescent="0.25">
      <c r="AD14413"/>
    </row>
    <row r="14414" spans="30:30" x14ac:dyDescent="0.25">
      <c r="AD14414"/>
    </row>
    <row r="14415" spans="30:30" x14ac:dyDescent="0.25">
      <c r="AD14415"/>
    </row>
    <row r="14416" spans="30:30" x14ac:dyDescent="0.25">
      <c r="AD14416"/>
    </row>
    <row r="14417" spans="30:30" x14ac:dyDescent="0.25">
      <c r="AD14417"/>
    </row>
    <row r="14418" spans="30:30" x14ac:dyDescent="0.25">
      <c r="AD14418"/>
    </row>
    <row r="14419" spans="30:30" x14ac:dyDescent="0.25">
      <c r="AD14419"/>
    </row>
    <row r="14420" spans="30:30" x14ac:dyDescent="0.25">
      <c r="AD14420"/>
    </row>
    <row r="14421" spans="30:30" x14ac:dyDescent="0.25">
      <c r="AD14421"/>
    </row>
    <row r="14422" spans="30:30" x14ac:dyDescent="0.25">
      <c r="AD14422"/>
    </row>
    <row r="14423" spans="30:30" x14ac:dyDescent="0.25">
      <c r="AD14423"/>
    </row>
    <row r="14424" spans="30:30" x14ac:dyDescent="0.25">
      <c r="AD14424"/>
    </row>
    <row r="14425" spans="30:30" x14ac:dyDescent="0.25">
      <c r="AD14425"/>
    </row>
    <row r="14426" spans="30:30" x14ac:dyDescent="0.25">
      <c r="AD14426"/>
    </row>
    <row r="14427" spans="30:30" x14ac:dyDescent="0.25">
      <c r="AD14427"/>
    </row>
    <row r="14428" spans="30:30" x14ac:dyDescent="0.25">
      <c r="AD14428"/>
    </row>
    <row r="14429" spans="30:30" x14ac:dyDescent="0.25">
      <c r="AD14429"/>
    </row>
    <row r="14430" spans="30:30" x14ac:dyDescent="0.25">
      <c r="AD14430"/>
    </row>
    <row r="14431" spans="30:30" x14ac:dyDescent="0.25">
      <c r="AD14431"/>
    </row>
    <row r="14432" spans="30:30" x14ac:dyDescent="0.25">
      <c r="AD14432"/>
    </row>
    <row r="14433" spans="30:30" x14ac:dyDescent="0.25">
      <c r="AD14433"/>
    </row>
    <row r="14434" spans="30:30" x14ac:dyDescent="0.25">
      <c r="AD14434"/>
    </row>
    <row r="14435" spans="30:30" x14ac:dyDescent="0.25">
      <c r="AD14435"/>
    </row>
    <row r="14436" spans="30:30" x14ac:dyDescent="0.25">
      <c r="AD14436"/>
    </row>
    <row r="14437" spans="30:30" x14ac:dyDescent="0.25">
      <c r="AD14437"/>
    </row>
    <row r="14438" spans="30:30" x14ac:dyDescent="0.25">
      <c r="AD14438"/>
    </row>
    <row r="14439" spans="30:30" x14ac:dyDescent="0.25">
      <c r="AD14439"/>
    </row>
    <row r="14440" spans="30:30" x14ac:dyDescent="0.25">
      <c r="AD14440"/>
    </row>
    <row r="14441" spans="30:30" x14ac:dyDescent="0.25">
      <c r="AD14441"/>
    </row>
    <row r="14442" spans="30:30" x14ac:dyDescent="0.25">
      <c r="AD14442"/>
    </row>
    <row r="14443" spans="30:30" x14ac:dyDescent="0.25">
      <c r="AD14443"/>
    </row>
    <row r="14444" spans="30:30" x14ac:dyDescent="0.25">
      <c r="AD14444"/>
    </row>
    <row r="14445" spans="30:30" x14ac:dyDescent="0.25">
      <c r="AD14445"/>
    </row>
    <row r="14446" spans="30:30" x14ac:dyDescent="0.25">
      <c r="AD14446"/>
    </row>
    <row r="14447" spans="30:30" x14ac:dyDescent="0.25">
      <c r="AD14447"/>
    </row>
    <row r="14448" spans="30:30" x14ac:dyDescent="0.25">
      <c r="AD14448"/>
    </row>
    <row r="14449" spans="30:30" x14ac:dyDescent="0.25">
      <c r="AD14449"/>
    </row>
    <row r="14450" spans="30:30" x14ac:dyDescent="0.25">
      <c r="AD14450"/>
    </row>
    <row r="14451" spans="30:30" x14ac:dyDescent="0.25">
      <c r="AD14451"/>
    </row>
    <row r="14452" spans="30:30" x14ac:dyDescent="0.25">
      <c r="AD14452"/>
    </row>
    <row r="14453" spans="30:30" x14ac:dyDescent="0.25">
      <c r="AD14453"/>
    </row>
    <row r="14454" spans="30:30" x14ac:dyDescent="0.25">
      <c r="AD14454"/>
    </row>
    <row r="14455" spans="30:30" x14ac:dyDescent="0.25">
      <c r="AD14455"/>
    </row>
    <row r="14456" spans="30:30" x14ac:dyDescent="0.25">
      <c r="AD14456"/>
    </row>
    <row r="14457" spans="30:30" x14ac:dyDescent="0.25">
      <c r="AD14457"/>
    </row>
    <row r="14458" spans="30:30" x14ac:dyDescent="0.25">
      <c r="AD14458"/>
    </row>
    <row r="14459" spans="30:30" x14ac:dyDescent="0.25">
      <c r="AD14459"/>
    </row>
    <row r="14460" spans="30:30" x14ac:dyDescent="0.25">
      <c r="AD14460"/>
    </row>
    <row r="14461" spans="30:30" x14ac:dyDescent="0.25">
      <c r="AD14461"/>
    </row>
    <row r="14462" spans="30:30" x14ac:dyDescent="0.25">
      <c r="AD14462"/>
    </row>
    <row r="14463" spans="30:30" x14ac:dyDescent="0.25">
      <c r="AD14463"/>
    </row>
    <row r="14464" spans="30:30" x14ac:dyDescent="0.25">
      <c r="AD14464"/>
    </row>
    <row r="14465" spans="30:30" x14ac:dyDescent="0.25">
      <c r="AD14465"/>
    </row>
    <row r="14466" spans="30:30" x14ac:dyDescent="0.25">
      <c r="AD14466"/>
    </row>
    <row r="14467" spans="30:30" x14ac:dyDescent="0.25">
      <c r="AD14467"/>
    </row>
    <row r="14468" spans="30:30" x14ac:dyDescent="0.25">
      <c r="AD14468"/>
    </row>
    <row r="14469" spans="30:30" x14ac:dyDescent="0.25">
      <c r="AD14469"/>
    </row>
    <row r="14470" spans="30:30" x14ac:dyDescent="0.25">
      <c r="AD14470"/>
    </row>
    <row r="14471" spans="30:30" x14ac:dyDescent="0.25">
      <c r="AD14471"/>
    </row>
    <row r="14472" spans="30:30" x14ac:dyDescent="0.25">
      <c r="AD14472"/>
    </row>
    <row r="14473" spans="30:30" x14ac:dyDescent="0.25">
      <c r="AD14473"/>
    </row>
    <row r="14474" spans="30:30" x14ac:dyDescent="0.25">
      <c r="AD14474"/>
    </row>
    <row r="14475" spans="30:30" x14ac:dyDescent="0.25">
      <c r="AD14475"/>
    </row>
    <row r="14476" spans="30:30" x14ac:dyDescent="0.25">
      <c r="AD14476"/>
    </row>
    <row r="14477" spans="30:30" x14ac:dyDescent="0.25">
      <c r="AD14477"/>
    </row>
    <row r="14478" spans="30:30" x14ac:dyDescent="0.25">
      <c r="AD14478"/>
    </row>
    <row r="14479" spans="30:30" x14ac:dyDescent="0.25">
      <c r="AD14479"/>
    </row>
    <row r="14480" spans="30:30" x14ac:dyDescent="0.25">
      <c r="AD14480"/>
    </row>
    <row r="14481" spans="30:30" x14ac:dyDescent="0.25">
      <c r="AD14481"/>
    </row>
    <row r="14482" spans="30:30" x14ac:dyDescent="0.25">
      <c r="AD14482"/>
    </row>
    <row r="14483" spans="30:30" x14ac:dyDescent="0.25">
      <c r="AD14483"/>
    </row>
    <row r="14484" spans="30:30" x14ac:dyDescent="0.25">
      <c r="AD14484"/>
    </row>
    <row r="14485" spans="30:30" x14ac:dyDescent="0.25">
      <c r="AD14485"/>
    </row>
    <row r="14486" spans="30:30" x14ac:dyDescent="0.25">
      <c r="AD14486"/>
    </row>
    <row r="14487" spans="30:30" x14ac:dyDescent="0.25">
      <c r="AD14487"/>
    </row>
    <row r="14488" spans="30:30" x14ac:dyDescent="0.25">
      <c r="AD14488"/>
    </row>
    <row r="14489" spans="30:30" x14ac:dyDescent="0.25">
      <c r="AD14489"/>
    </row>
    <row r="14490" spans="30:30" x14ac:dyDescent="0.25">
      <c r="AD14490"/>
    </row>
    <row r="14491" spans="30:30" x14ac:dyDescent="0.25">
      <c r="AD14491"/>
    </row>
    <row r="14492" spans="30:30" x14ac:dyDescent="0.25">
      <c r="AD14492"/>
    </row>
    <row r="14493" spans="30:30" x14ac:dyDescent="0.25">
      <c r="AD14493"/>
    </row>
    <row r="14494" spans="30:30" x14ac:dyDescent="0.25">
      <c r="AD14494"/>
    </row>
    <row r="14495" spans="30:30" x14ac:dyDescent="0.25">
      <c r="AD14495"/>
    </row>
    <row r="14496" spans="30:30" x14ac:dyDescent="0.25">
      <c r="AD14496"/>
    </row>
    <row r="14497" spans="30:30" x14ac:dyDescent="0.25">
      <c r="AD14497"/>
    </row>
    <row r="14498" spans="30:30" x14ac:dyDescent="0.25">
      <c r="AD14498"/>
    </row>
    <row r="14499" spans="30:30" x14ac:dyDescent="0.25">
      <c r="AD14499"/>
    </row>
    <row r="14500" spans="30:30" x14ac:dyDescent="0.25">
      <c r="AD14500"/>
    </row>
    <row r="14501" spans="30:30" x14ac:dyDescent="0.25">
      <c r="AD14501"/>
    </row>
    <row r="14502" spans="30:30" x14ac:dyDescent="0.25">
      <c r="AD14502"/>
    </row>
    <row r="14503" spans="30:30" x14ac:dyDescent="0.25">
      <c r="AD14503"/>
    </row>
    <row r="14504" spans="30:30" x14ac:dyDescent="0.25">
      <c r="AD14504"/>
    </row>
    <row r="14505" spans="30:30" x14ac:dyDescent="0.25">
      <c r="AD14505"/>
    </row>
    <row r="14506" spans="30:30" x14ac:dyDescent="0.25">
      <c r="AD14506"/>
    </row>
    <row r="14507" spans="30:30" x14ac:dyDescent="0.25">
      <c r="AD14507"/>
    </row>
    <row r="14508" spans="30:30" x14ac:dyDescent="0.25">
      <c r="AD14508"/>
    </row>
    <row r="14509" spans="30:30" x14ac:dyDescent="0.25">
      <c r="AD14509"/>
    </row>
    <row r="14510" spans="30:30" x14ac:dyDescent="0.25">
      <c r="AD14510"/>
    </row>
    <row r="14511" spans="30:30" x14ac:dyDescent="0.25">
      <c r="AD14511"/>
    </row>
    <row r="14512" spans="30:30" x14ac:dyDescent="0.25">
      <c r="AD14512"/>
    </row>
    <row r="14513" spans="30:30" x14ac:dyDescent="0.25">
      <c r="AD14513"/>
    </row>
    <row r="14514" spans="30:30" x14ac:dyDescent="0.25">
      <c r="AD14514"/>
    </row>
    <row r="14515" spans="30:30" x14ac:dyDescent="0.25">
      <c r="AD14515"/>
    </row>
    <row r="14516" spans="30:30" x14ac:dyDescent="0.25">
      <c r="AD14516"/>
    </row>
    <row r="14517" spans="30:30" x14ac:dyDescent="0.25">
      <c r="AD14517"/>
    </row>
    <row r="14518" spans="30:30" x14ac:dyDescent="0.25">
      <c r="AD14518"/>
    </row>
    <row r="14519" spans="30:30" x14ac:dyDescent="0.25">
      <c r="AD14519"/>
    </row>
    <row r="14520" spans="30:30" x14ac:dyDescent="0.25">
      <c r="AD14520"/>
    </row>
    <row r="14521" spans="30:30" x14ac:dyDescent="0.25">
      <c r="AD14521"/>
    </row>
    <row r="14522" spans="30:30" x14ac:dyDescent="0.25">
      <c r="AD14522"/>
    </row>
    <row r="14523" spans="30:30" x14ac:dyDescent="0.25">
      <c r="AD14523"/>
    </row>
    <row r="14524" spans="30:30" x14ac:dyDescent="0.25">
      <c r="AD14524"/>
    </row>
    <row r="14525" spans="30:30" x14ac:dyDescent="0.25">
      <c r="AD14525"/>
    </row>
    <row r="14526" spans="30:30" x14ac:dyDescent="0.25">
      <c r="AD14526"/>
    </row>
    <row r="14527" spans="30:30" x14ac:dyDescent="0.25">
      <c r="AD14527"/>
    </row>
    <row r="14528" spans="30:30" x14ac:dyDescent="0.25">
      <c r="AD14528"/>
    </row>
    <row r="14529" spans="30:30" x14ac:dyDescent="0.25">
      <c r="AD14529"/>
    </row>
    <row r="14530" spans="30:30" x14ac:dyDescent="0.25">
      <c r="AD14530"/>
    </row>
    <row r="14531" spans="30:30" x14ac:dyDescent="0.25">
      <c r="AD14531"/>
    </row>
    <row r="14532" spans="30:30" x14ac:dyDescent="0.25">
      <c r="AD14532"/>
    </row>
    <row r="14533" spans="30:30" x14ac:dyDescent="0.25">
      <c r="AD14533"/>
    </row>
    <row r="14534" spans="30:30" x14ac:dyDescent="0.25">
      <c r="AD14534"/>
    </row>
    <row r="14535" spans="30:30" x14ac:dyDescent="0.25">
      <c r="AD14535"/>
    </row>
    <row r="14536" spans="30:30" x14ac:dyDescent="0.25">
      <c r="AD14536"/>
    </row>
    <row r="14537" spans="30:30" x14ac:dyDescent="0.25">
      <c r="AD14537"/>
    </row>
    <row r="14538" spans="30:30" x14ac:dyDescent="0.25">
      <c r="AD14538"/>
    </row>
    <row r="14539" spans="30:30" x14ac:dyDescent="0.25">
      <c r="AD14539"/>
    </row>
    <row r="14540" spans="30:30" x14ac:dyDescent="0.25">
      <c r="AD14540"/>
    </row>
    <row r="14541" spans="30:30" x14ac:dyDescent="0.25">
      <c r="AD14541"/>
    </row>
    <row r="14542" spans="30:30" x14ac:dyDescent="0.25">
      <c r="AD14542"/>
    </row>
    <row r="14543" spans="30:30" x14ac:dyDescent="0.25">
      <c r="AD14543"/>
    </row>
    <row r="14544" spans="30:30" x14ac:dyDescent="0.25">
      <c r="AD14544"/>
    </row>
    <row r="14545" spans="30:30" x14ac:dyDescent="0.25">
      <c r="AD14545"/>
    </row>
    <row r="14546" spans="30:30" x14ac:dyDescent="0.25">
      <c r="AD14546"/>
    </row>
    <row r="14547" spans="30:30" x14ac:dyDescent="0.25">
      <c r="AD14547"/>
    </row>
    <row r="14548" spans="30:30" x14ac:dyDescent="0.25">
      <c r="AD14548"/>
    </row>
    <row r="14549" spans="30:30" x14ac:dyDescent="0.25">
      <c r="AD14549"/>
    </row>
    <row r="14550" spans="30:30" x14ac:dyDescent="0.25">
      <c r="AD14550"/>
    </row>
    <row r="14551" spans="30:30" x14ac:dyDescent="0.25">
      <c r="AD14551"/>
    </row>
    <row r="14552" spans="30:30" x14ac:dyDescent="0.25">
      <c r="AD14552"/>
    </row>
    <row r="14553" spans="30:30" x14ac:dyDescent="0.25">
      <c r="AD14553"/>
    </row>
    <row r="14554" spans="30:30" x14ac:dyDescent="0.25">
      <c r="AD14554"/>
    </row>
    <row r="14555" spans="30:30" x14ac:dyDescent="0.25">
      <c r="AD14555"/>
    </row>
    <row r="14556" spans="30:30" x14ac:dyDescent="0.25">
      <c r="AD14556"/>
    </row>
    <row r="14557" spans="30:30" x14ac:dyDescent="0.25">
      <c r="AD14557"/>
    </row>
    <row r="14558" spans="30:30" x14ac:dyDescent="0.25">
      <c r="AD14558"/>
    </row>
    <row r="14559" spans="30:30" x14ac:dyDescent="0.25">
      <c r="AD14559"/>
    </row>
    <row r="14560" spans="30:30" x14ac:dyDescent="0.25">
      <c r="AD14560"/>
    </row>
    <row r="14561" spans="30:30" x14ac:dyDescent="0.25">
      <c r="AD14561"/>
    </row>
    <row r="14562" spans="30:30" x14ac:dyDescent="0.25">
      <c r="AD14562"/>
    </row>
    <row r="14563" spans="30:30" x14ac:dyDescent="0.25">
      <c r="AD14563"/>
    </row>
    <row r="14564" spans="30:30" x14ac:dyDescent="0.25">
      <c r="AD14564"/>
    </row>
    <row r="14565" spans="30:30" x14ac:dyDescent="0.25">
      <c r="AD14565"/>
    </row>
    <row r="14566" spans="30:30" x14ac:dyDescent="0.25">
      <c r="AD14566"/>
    </row>
    <row r="14567" spans="30:30" x14ac:dyDescent="0.25">
      <c r="AD14567"/>
    </row>
    <row r="14568" spans="30:30" x14ac:dyDescent="0.25">
      <c r="AD14568"/>
    </row>
    <row r="14569" spans="30:30" x14ac:dyDescent="0.25">
      <c r="AD14569"/>
    </row>
    <row r="14570" spans="30:30" x14ac:dyDescent="0.25">
      <c r="AD14570"/>
    </row>
    <row r="14571" spans="30:30" x14ac:dyDescent="0.25">
      <c r="AD14571"/>
    </row>
    <row r="14572" spans="30:30" x14ac:dyDescent="0.25">
      <c r="AD14572"/>
    </row>
    <row r="14573" spans="30:30" x14ac:dyDescent="0.25">
      <c r="AD14573"/>
    </row>
    <row r="14574" spans="30:30" x14ac:dyDescent="0.25">
      <c r="AD14574"/>
    </row>
    <row r="14575" spans="30:30" x14ac:dyDescent="0.25">
      <c r="AD14575"/>
    </row>
    <row r="14576" spans="30:30" x14ac:dyDescent="0.25">
      <c r="AD14576"/>
    </row>
    <row r="14577" spans="30:30" x14ac:dyDescent="0.25">
      <c r="AD14577"/>
    </row>
    <row r="14578" spans="30:30" x14ac:dyDescent="0.25">
      <c r="AD14578"/>
    </row>
    <row r="14579" spans="30:30" x14ac:dyDescent="0.25">
      <c r="AD14579"/>
    </row>
    <row r="14580" spans="30:30" x14ac:dyDescent="0.25">
      <c r="AD14580"/>
    </row>
    <row r="14581" spans="30:30" x14ac:dyDescent="0.25">
      <c r="AD14581"/>
    </row>
    <row r="14582" spans="30:30" x14ac:dyDescent="0.25">
      <c r="AD14582"/>
    </row>
    <row r="14583" spans="30:30" x14ac:dyDescent="0.25">
      <c r="AD14583"/>
    </row>
    <row r="14584" spans="30:30" x14ac:dyDescent="0.25">
      <c r="AD14584"/>
    </row>
    <row r="14585" spans="30:30" x14ac:dyDescent="0.25">
      <c r="AD14585"/>
    </row>
    <row r="14586" spans="30:30" x14ac:dyDescent="0.25">
      <c r="AD14586"/>
    </row>
    <row r="14587" spans="30:30" x14ac:dyDescent="0.25">
      <c r="AD14587"/>
    </row>
    <row r="14588" spans="30:30" x14ac:dyDescent="0.25">
      <c r="AD14588"/>
    </row>
    <row r="14589" spans="30:30" x14ac:dyDescent="0.25">
      <c r="AD14589"/>
    </row>
    <row r="14590" spans="30:30" x14ac:dyDescent="0.25">
      <c r="AD14590"/>
    </row>
    <row r="14591" spans="30:30" x14ac:dyDescent="0.25">
      <c r="AD14591"/>
    </row>
    <row r="14592" spans="30:30" x14ac:dyDescent="0.25">
      <c r="AD14592"/>
    </row>
    <row r="14593" spans="30:30" x14ac:dyDescent="0.25">
      <c r="AD14593"/>
    </row>
    <row r="14594" spans="30:30" x14ac:dyDescent="0.25">
      <c r="AD14594"/>
    </row>
    <row r="14595" spans="30:30" x14ac:dyDescent="0.25">
      <c r="AD14595"/>
    </row>
    <row r="14596" spans="30:30" x14ac:dyDescent="0.25">
      <c r="AD14596"/>
    </row>
    <row r="14597" spans="30:30" x14ac:dyDescent="0.25">
      <c r="AD14597"/>
    </row>
    <row r="14598" spans="30:30" x14ac:dyDescent="0.25">
      <c r="AD14598"/>
    </row>
    <row r="14599" spans="30:30" x14ac:dyDescent="0.25">
      <c r="AD14599"/>
    </row>
    <row r="14600" spans="30:30" x14ac:dyDescent="0.25">
      <c r="AD14600"/>
    </row>
    <row r="14601" spans="30:30" x14ac:dyDescent="0.25">
      <c r="AD14601"/>
    </row>
    <row r="14602" spans="30:30" x14ac:dyDescent="0.25">
      <c r="AD14602"/>
    </row>
    <row r="14603" spans="30:30" x14ac:dyDescent="0.25">
      <c r="AD14603"/>
    </row>
    <row r="14604" spans="30:30" x14ac:dyDescent="0.25">
      <c r="AD14604"/>
    </row>
    <row r="14605" spans="30:30" x14ac:dyDescent="0.25">
      <c r="AD14605"/>
    </row>
    <row r="14606" spans="30:30" x14ac:dyDescent="0.25">
      <c r="AD14606"/>
    </row>
    <row r="14607" spans="30:30" x14ac:dyDescent="0.25">
      <c r="AD14607"/>
    </row>
    <row r="14608" spans="30:30" x14ac:dyDescent="0.25">
      <c r="AD14608"/>
    </row>
    <row r="14609" spans="30:30" x14ac:dyDescent="0.25">
      <c r="AD14609"/>
    </row>
    <row r="14610" spans="30:30" x14ac:dyDescent="0.25">
      <c r="AD14610"/>
    </row>
    <row r="14611" spans="30:30" x14ac:dyDescent="0.25">
      <c r="AD14611"/>
    </row>
    <row r="14612" spans="30:30" x14ac:dyDescent="0.25">
      <c r="AD14612"/>
    </row>
    <row r="14613" spans="30:30" x14ac:dyDescent="0.25">
      <c r="AD14613"/>
    </row>
    <row r="14614" spans="30:30" x14ac:dyDescent="0.25">
      <c r="AD14614"/>
    </row>
    <row r="14615" spans="30:30" x14ac:dyDescent="0.25">
      <c r="AD14615"/>
    </row>
    <row r="14616" spans="30:30" x14ac:dyDescent="0.25">
      <c r="AD14616"/>
    </row>
    <row r="14617" spans="30:30" x14ac:dyDescent="0.25">
      <c r="AD14617"/>
    </row>
    <row r="14618" spans="30:30" x14ac:dyDescent="0.25">
      <c r="AD14618"/>
    </row>
    <row r="14619" spans="30:30" x14ac:dyDescent="0.25">
      <c r="AD14619"/>
    </row>
    <row r="14620" spans="30:30" x14ac:dyDescent="0.25">
      <c r="AD14620"/>
    </row>
    <row r="14621" spans="30:30" x14ac:dyDescent="0.25">
      <c r="AD14621"/>
    </row>
    <row r="14622" spans="30:30" x14ac:dyDescent="0.25">
      <c r="AD14622"/>
    </row>
    <row r="14623" spans="30:30" x14ac:dyDescent="0.25">
      <c r="AD14623"/>
    </row>
    <row r="14624" spans="30:30" x14ac:dyDescent="0.25">
      <c r="AD14624"/>
    </row>
    <row r="14625" spans="30:30" x14ac:dyDescent="0.25">
      <c r="AD14625"/>
    </row>
    <row r="14626" spans="30:30" x14ac:dyDescent="0.25">
      <c r="AD14626"/>
    </row>
    <row r="14627" spans="30:30" x14ac:dyDescent="0.25">
      <c r="AD14627"/>
    </row>
    <row r="14628" spans="30:30" x14ac:dyDescent="0.25">
      <c r="AD14628"/>
    </row>
    <row r="14629" spans="30:30" x14ac:dyDescent="0.25">
      <c r="AD14629"/>
    </row>
    <row r="14630" spans="30:30" x14ac:dyDescent="0.25">
      <c r="AD14630"/>
    </row>
    <row r="14631" spans="30:30" x14ac:dyDescent="0.25">
      <c r="AD14631"/>
    </row>
    <row r="14632" spans="30:30" x14ac:dyDescent="0.25">
      <c r="AD14632"/>
    </row>
    <row r="14633" spans="30:30" x14ac:dyDescent="0.25">
      <c r="AD14633"/>
    </row>
    <row r="14634" spans="30:30" x14ac:dyDescent="0.25">
      <c r="AD14634"/>
    </row>
    <row r="14635" spans="30:30" x14ac:dyDescent="0.25">
      <c r="AD14635"/>
    </row>
    <row r="14636" spans="30:30" x14ac:dyDescent="0.25">
      <c r="AD14636"/>
    </row>
    <row r="14637" spans="30:30" x14ac:dyDescent="0.25">
      <c r="AD14637"/>
    </row>
    <row r="14638" spans="30:30" x14ac:dyDescent="0.25">
      <c r="AD14638"/>
    </row>
    <row r="14639" spans="30:30" x14ac:dyDescent="0.25">
      <c r="AD14639"/>
    </row>
    <row r="14640" spans="30:30" x14ac:dyDescent="0.25">
      <c r="AD14640"/>
    </row>
    <row r="14641" spans="30:30" x14ac:dyDescent="0.25">
      <c r="AD14641"/>
    </row>
    <row r="14642" spans="30:30" x14ac:dyDescent="0.25">
      <c r="AD14642"/>
    </row>
    <row r="14643" spans="30:30" x14ac:dyDescent="0.25">
      <c r="AD14643"/>
    </row>
    <row r="14644" spans="30:30" x14ac:dyDescent="0.25">
      <c r="AD14644"/>
    </row>
    <row r="14645" spans="30:30" x14ac:dyDescent="0.25">
      <c r="AD14645"/>
    </row>
    <row r="14646" spans="30:30" x14ac:dyDescent="0.25">
      <c r="AD14646"/>
    </row>
    <row r="14647" spans="30:30" x14ac:dyDescent="0.25">
      <c r="AD14647"/>
    </row>
    <row r="14648" spans="30:30" x14ac:dyDescent="0.25">
      <c r="AD14648"/>
    </row>
    <row r="14649" spans="30:30" x14ac:dyDescent="0.25">
      <c r="AD14649"/>
    </row>
    <row r="14650" spans="30:30" x14ac:dyDescent="0.25">
      <c r="AD14650"/>
    </row>
    <row r="14651" spans="30:30" x14ac:dyDescent="0.25">
      <c r="AD14651"/>
    </row>
    <row r="14652" spans="30:30" x14ac:dyDescent="0.25">
      <c r="AD14652"/>
    </row>
    <row r="14653" spans="30:30" x14ac:dyDescent="0.25">
      <c r="AD14653"/>
    </row>
    <row r="14654" spans="30:30" x14ac:dyDescent="0.25">
      <c r="AD14654"/>
    </row>
    <row r="14655" spans="30:30" x14ac:dyDescent="0.25">
      <c r="AD14655"/>
    </row>
    <row r="14656" spans="30:30" x14ac:dyDescent="0.25">
      <c r="AD14656"/>
    </row>
    <row r="14657" spans="30:30" x14ac:dyDescent="0.25">
      <c r="AD14657"/>
    </row>
    <row r="14658" spans="30:30" x14ac:dyDescent="0.25">
      <c r="AD14658"/>
    </row>
    <row r="14659" spans="30:30" x14ac:dyDescent="0.25">
      <c r="AD14659"/>
    </row>
    <row r="14660" spans="30:30" x14ac:dyDescent="0.25">
      <c r="AD14660"/>
    </row>
    <row r="14661" spans="30:30" x14ac:dyDescent="0.25">
      <c r="AD14661"/>
    </row>
    <row r="14662" spans="30:30" x14ac:dyDescent="0.25">
      <c r="AD14662"/>
    </row>
    <row r="14663" spans="30:30" x14ac:dyDescent="0.25">
      <c r="AD14663"/>
    </row>
    <row r="14664" spans="30:30" x14ac:dyDescent="0.25">
      <c r="AD14664"/>
    </row>
    <row r="14665" spans="30:30" x14ac:dyDescent="0.25">
      <c r="AD14665"/>
    </row>
    <row r="14666" spans="30:30" x14ac:dyDescent="0.25">
      <c r="AD14666"/>
    </row>
    <row r="14667" spans="30:30" x14ac:dyDescent="0.25">
      <c r="AD14667"/>
    </row>
    <row r="14668" spans="30:30" x14ac:dyDescent="0.25">
      <c r="AD14668"/>
    </row>
    <row r="14669" spans="30:30" x14ac:dyDescent="0.25">
      <c r="AD14669"/>
    </row>
    <row r="14670" spans="30:30" x14ac:dyDescent="0.25">
      <c r="AD14670"/>
    </row>
    <row r="14671" spans="30:30" x14ac:dyDescent="0.25">
      <c r="AD14671"/>
    </row>
    <row r="14672" spans="30:30" x14ac:dyDescent="0.25">
      <c r="AD14672"/>
    </row>
    <row r="14673" spans="30:30" x14ac:dyDescent="0.25">
      <c r="AD14673"/>
    </row>
    <row r="14674" spans="30:30" x14ac:dyDescent="0.25">
      <c r="AD14674"/>
    </row>
    <row r="14675" spans="30:30" x14ac:dyDescent="0.25">
      <c r="AD14675"/>
    </row>
    <row r="14676" spans="30:30" x14ac:dyDescent="0.25">
      <c r="AD14676"/>
    </row>
    <row r="14677" spans="30:30" x14ac:dyDescent="0.25">
      <c r="AD14677"/>
    </row>
    <row r="14678" spans="30:30" x14ac:dyDescent="0.25">
      <c r="AD14678"/>
    </row>
    <row r="14679" spans="30:30" x14ac:dyDescent="0.25">
      <c r="AD14679"/>
    </row>
    <row r="14680" spans="30:30" x14ac:dyDescent="0.25">
      <c r="AD14680"/>
    </row>
    <row r="14681" spans="30:30" x14ac:dyDescent="0.25">
      <c r="AD14681"/>
    </row>
    <row r="14682" spans="30:30" x14ac:dyDescent="0.25">
      <c r="AD14682"/>
    </row>
    <row r="14683" spans="30:30" x14ac:dyDescent="0.25">
      <c r="AD14683"/>
    </row>
    <row r="14684" spans="30:30" x14ac:dyDescent="0.25">
      <c r="AD14684"/>
    </row>
    <row r="14685" spans="30:30" x14ac:dyDescent="0.25">
      <c r="AD14685"/>
    </row>
    <row r="14686" spans="30:30" x14ac:dyDescent="0.25">
      <c r="AD14686"/>
    </row>
    <row r="14687" spans="30:30" x14ac:dyDescent="0.25">
      <c r="AD14687"/>
    </row>
    <row r="14688" spans="30:30" x14ac:dyDescent="0.25">
      <c r="AD14688"/>
    </row>
    <row r="14689" spans="30:30" x14ac:dyDescent="0.25">
      <c r="AD14689"/>
    </row>
    <row r="14690" spans="30:30" x14ac:dyDescent="0.25">
      <c r="AD14690"/>
    </row>
    <row r="14691" spans="30:30" x14ac:dyDescent="0.25">
      <c r="AD14691"/>
    </row>
    <row r="14692" spans="30:30" x14ac:dyDescent="0.25">
      <c r="AD14692"/>
    </row>
    <row r="14693" spans="30:30" x14ac:dyDescent="0.25">
      <c r="AD14693"/>
    </row>
    <row r="14694" spans="30:30" x14ac:dyDescent="0.25">
      <c r="AD14694"/>
    </row>
    <row r="14695" spans="30:30" x14ac:dyDescent="0.25">
      <c r="AD14695"/>
    </row>
    <row r="14696" spans="30:30" x14ac:dyDescent="0.25">
      <c r="AD14696"/>
    </row>
    <row r="14697" spans="30:30" x14ac:dyDescent="0.25">
      <c r="AD14697"/>
    </row>
    <row r="14698" spans="30:30" x14ac:dyDescent="0.25">
      <c r="AD14698"/>
    </row>
    <row r="14699" spans="30:30" x14ac:dyDescent="0.25">
      <c r="AD14699"/>
    </row>
    <row r="14700" spans="30:30" x14ac:dyDescent="0.25">
      <c r="AD14700"/>
    </row>
    <row r="14701" spans="30:30" x14ac:dyDescent="0.25">
      <c r="AD14701"/>
    </row>
    <row r="14702" spans="30:30" x14ac:dyDescent="0.25">
      <c r="AD14702"/>
    </row>
    <row r="14703" spans="30:30" x14ac:dyDescent="0.25">
      <c r="AD14703"/>
    </row>
    <row r="14704" spans="30:30" x14ac:dyDescent="0.25">
      <c r="AD14704"/>
    </row>
    <row r="14705" spans="30:30" x14ac:dyDescent="0.25">
      <c r="AD14705"/>
    </row>
    <row r="14706" spans="30:30" x14ac:dyDescent="0.25">
      <c r="AD14706"/>
    </row>
    <row r="14707" spans="30:30" x14ac:dyDescent="0.25">
      <c r="AD14707"/>
    </row>
    <row r="14708" spans="30:30" x14ac:dyDescent="0.25">
      <c r="AD14708"/>
    </row>
    <row r="14709" spans="30:30" x14ac:dyDescent="0.25">
      <c r="AD14709"/>
    </row>
    <row r="14710" spans="30:30" x14ac:dyDescent="0.25">
      <c r="AD14710"/>
    </row>
    <row r="14711" spans="30:30" x14ac:dyDescent="0.25">
      <c r="AD14711"/>
    </row>
    <row r="14712" spans="30:30" x14ac:dyDescent="0.25">
      <c r="AD14712"/>
    </row>
    <row r="14713" spans="30:30" x14ac:dyDescent="0.25">
      <c r="AD14713"/>
    </row>
    <row r="14714" spans="30:30" x14ac:dyDescent="0.25">
      <c r="AD14714"/>
    </row>
    <row r="14715" spans="30:30" x14ac:dyDescent="0.25">
      <c r="AD14715"/>
    </row>
    <row r="14716" spans="30:30" x14ac:dyDescent="0.25">
      <c r="AD14716"/>
    </row>
    <row r="14717" spans="30:30" x14ac:dyDescent="0.25">
      <c r="AD14717"/>
    </row>
    <row r="14718" spans="30:30" x14ac:dyDescent="0.25">
      <c r="AD14718"/>
    </row>
    <row r="14719" spans="30:30" x14ac:dyDescent="0.25">
      <c r="AD14719"/>
    </row>
    <row r="14720" spans="30:30" x14ac:dyDescent="0.25">
      <c r="AD14720"/>
    </row>
    <row r="14721" spans="30:30" x14ac:dyDescent="0.25">
      <c r="AD14721"/>
    </row>
    <row r="14722" spans="30:30" x14ac:dyDescent="0.25">
      <c r="AD14722"/>
    </row>
    <row r="14723" spans="30:30" x14ac:dyDescent="0.25">
      <c r="AD14723"/>
    </row>
    <row r="14724" spans="30:30" x14ac:dyDescent="0.25">
      <c r="AD14724"/>
    </row>
    <row r="14725" spans="30:30" x14ac:dyDescent="0.25">
      <c r="AD14725"/>
    </row>
    <row r="14726" spans="30:30" x14ac:dyDescent="0.25">
      <c r="AD14726"/>
    </row>
    <row r="14727" spans="30:30" x14ac:dyDescent="0.25">
      <c r="AD14727"/>
    </row>
    <row r="14728" spans="30:30" x14ac:dyDescent="0.25">
      <c r="AD14728"/>
    </row>
    <row r="14729" spans="30:30" x14ac:dyDescent="0.25">
      <c r="AD14729"/>
    </row>
    <row r="14730" spans="30:30" x14ac:dyDescent="0.25">
      <c r="AD14730"/>
    </row>
    <row r="14731" spans="30:30" x14ac:dyDescent="0.25">
      <c r="AD14731"/>
    </row>
    <row r="14732" spans="30:30" x14ac:dyDescent="0.25">
      <c r="AD14732"/>
    </row>
    <row r="14733" spans="30:30" x14ac:dyDescent="0.25">
      <c r="AD14733"/>
    </row>
    <row r="14734" spans="30:30" x14ac:dyDescent="0.25">
      <c r="AD14734"/>
    </row>
    <row r="14735" spans="30:30" x14ac:dyDescent="0.25">
      <c r="AD14735"/>
    </row>
    <row r="14736" spans="30:30" x14ac:dyDescent="0.25">
      <c r="AD14736"/>
    </row>
    <row r="14737" spans="30:30" x14ac:dyDescent="0.25">
      <c r="AD14737"/>
    </row>
    <row r="14738" spans="30:30" x14ac:dyDescent="0.25">
      <c r="AD14738"/>
    </row>
    <row r="14739" spans="30:30" x14ac:dyDescent="0.25">
      <c r="AD14739"/>
    </row>
    <row r="14740" spans="30:30" x14ac:dyDescent="0.25">
      <c r="AD14740"/>
    </row>
    <row r="14741" spans="30:30" x14ac:dyDescent="0.25">
      <c r="AD14741"/>
    </row>
    <row r="14742" spans="30:30" x14ac:dyDescent="0.25">
      <c r="AD14742"/>
    </row>
    <row r="14743" spans="30:30" x14ac:dyDescent="0.25">
      <c r="AD14743"/>
    </row>
    <row r="14744" spans="30:30" x14ac:dyDescent="0.25">
      <c r="AD14744"/>
    </row>
    <row r="14745" spans="30:30" x14ac:dyDescent="0.25">
      <c r="AD14745"/>
    </row>
    <row r="14746" spans="30:30" x14ac:dyDescent="0.25">
      <c r="AD14746"/>
    </row>
    <row r="14747" spans="30:30" x14ac:dyDescent="0.25">
      <c r="AD14747"/>
    </row>
    <row r="14748" spans="30:30" x14ac:dyDescent="0.25">
      <c r="AD14748"/>
    </row>
    <row r="14749" spans="30:30" x14ac:dyDescent="0.25">
      <c r="AD14749"/>
    </row>
    <row r="14750" spans="30:30" x14ac:dyDescent="0.25">
      <c r="AD14750"/>
    </row>
    <row r="14751" spans="30:30" x14ac:dyDescent="0.25">
      <c r="AD14751"/>
    </row>
    <row r="14752" spans="30:30" x14ac:dyDescent="0.25">
      <c r="AD14752"/>
    </row>
    <row r="14753" spans="30:30" x14ac:dyDescent="0.25">
      <c r="AD14753"/>
    </row>
    <row r="14754" spans="30:30" x14ac:dyDescent="0.25">
      <c r="AD14754"/>
    </row>
    <row r="14755" spans="30:30" x14ac:dyDescent="0.25">
      <c r="AD14755"/>
    </row>
    <row r="14756" spans="30:30" x14ac:dyDescent="0.25">
      <c r="AD14756"/>
    </row>
    <row r="14757" spans="30:30" x14ac:dyDescent="0.25">
      <c r="AD14757"/>
    </row>
    <row r="14758" spans="30:30" x14ac:dyDescent="0.25">
      <c r="AD14758"/>
    </row>
    <row r="14759" spans="30:30" x14ac:dyDescent="0.25">
      <c r="AD14759"/>
    </row>
    <row r="14760" spans="30:30" x14ac:dyDescent="0.25">
      <c r="AD14760"/>
    </row>
    <row r="14761" spans="30:30" x14ac:dyDescent="0.25">
      <c r="AD14761"/>
    </row>
    <row r="14762" spans="30:30" x14ac:dyDescent="0.25">
      <c r="AD14762"/>
    </row>
    <row r="14763" spans="30:30" x14ac:dyDescent="0.25">
      <c r="AD14763"/>
    </row>
    <row r="14764" spans="30:30" x14ac:dyDescent="0.25">
      <c r="AD14764"/>
    </row>
    <row r="14765" spans="30:30" x14ac:dyDescent="0.25">
      <c r="AD14765"/>
    </row>
    <row r="14766" spans="30:30" x14ac:dyDescent="0.25">
      <c r="AD14766"/>
    </row>
    <row r="14767" spans="30:30" x14ac:dyDescent="0.25">
      <c r="AD14767"/>
    </row>
    <row r="14768" spans="30:30" x14ac:dyDescent="0.25">
      <c r="AD14768"/>
    </row>
    <row r="14769" spans="30:30" x14ac:dyDescent="0.25">
      <c r="AD14769"/>
    </row>
    <row r="14770" spans="30:30" x14ac:dyDescent="0.25">
      <c r="AD14770"/>
    </row>
    <row r="14771" spans="30:30" x14ac:dyDescent="0.25">
      <c r="AD14771"/>
    </row>
    <row r="14772" spans="30:30" x14ac:dyDescent="0.25">
      <c r="AD14772"/>
    </row>
    <row r="14773" spans="30:30" x14ac:dyDescent="0.25">
      <c r="AD14773"/>
    </row>
    <row r="14774" spans="30:30" x14ac:dyDescent="0.25">
      <c r="AD14774"/>
    </row>
    <row r="14775" spans="30:30" x14ac:dyDescent="0.25">
      <c r="AD14775"/>
    </row>
    <row r="14776" spans="30:30" x14ac:dyDescent="0.25">
      <c r="AD14776"/>
    </row>
    <row r="14777" spans="30:30" x14ac:dyDescent="0.25">
      <c r="AD14777"/>
    </row>
    <row r="14778" spans="30:30" x14ac:dyDescent="0.25">
      <c r="AD14778"/>
    </row>
    <row r="14779" spans="30:30" x14ac:dyDescent="0.25">
      <c r="AD14779"/>
    </row>
    <row r="14780" spans="30:30" x14ac:dyDescent="0.25">
      <c r="AD14780"/>
    </row>
    <row r="14781" spans="30:30" x14ac:dyDescent="0.25">
      <c r="AD14781"/>
    </row>
    <row r="14782" spans="30:30" x14ac:dyDescent="0.25">
      <c r="AD14782"/>
    </row>
    <row r="14783" spans="30:30" x14ac:dyDescent="0.25">
      <c r="AD14783"/>
    </row>
    <row r="14784" spans="30:30" x14ac:dyDescent="0.25">
      <c r="AD14784"/>
    </row>
    <row r="14785" spans="30:30" x14ac:dyDescent="0.25">
      <c r="AD14785"/>
    </row>
    <row r="14786" spans="30:30" x14ac:dyDescent="0.25">
      <c r="AD14786"/>
    </row>
    <row r="14787" spans="30:30" x14ac:dyDescent="0.25">
      <c r="AD14787"/>
    </row>
    <row r="14788" spans="30:30" x14ac:dyDescent="0.25">
      <c r="AD14788"/>
    </row>
    <row r="14789" spans="30:30" x14ac:dyDescent="0.25">
      <c r="AD14789"/>
    </row>
    <row r="14790" spans="30:30" x14ac:dyDescent="0.25">
      <c r="AD14790"/>
    </row>
    <row r="14791" spans="30:30" x14ac:dyDescent="0.25">
      <c r="AD14791"/>
    </row>
    <row r="14792" spans="30:30" x14ac:dyDescent="0.25">
      <c r="AD14792"/>
    </row>
    <row r="14793" spans="30:30" x14ac:dyDescent="0.25">
      <c r="AD14793"/>
    </row>
    <row r="14794" spans="30:30" x14ac:dyDescent="0.25">
      <c r="AD14794"/>
    </row>
    <row r="14795" spans="30:30" x14ac:dyDescent="0.25">
      <c r="AD14795"/>
    </row>
    <row r="14796" spans="30:30" x14ac:dyDescent="0.25">
      <c r="AD14796"/>
    </row>
    <row r="14797" spans="30:30" x14ac:dyDescent="0.25">
      <c r="AD14797"/>
    </row>
    <row r="14798" spans="30:30" x14ac:dyDescent="0.25">
      <c r="AD14798"/>
    </row>
    <row r="14799" spans="30:30" x14ac:dyDescent="0.25">
      <c r="AD14799"/>
    </row>
    <row r="14800" spans="30:30" x14ac:dyDescent="0.25">
      <c r="AD14800"/>
    </row>
    <row r="14801" spans="30:30" x14ac:dyDescent="0.25">
      <c r="AD14801"/>
    </row>
    <row r="14802" spans="30:30" x14ac:dyDescent="0.25">
      <c r="AD14802"/>
    </row>
    <row r="14803" spans="30:30" x14ac:dyDescent="0.25">
      <c r="AD14803"/>
    </row>
    <row r="14804" spans="30:30" x14ac:dyDescent="0.25">
      <c r="AD14804"/>
    </row>
    <row r="14805" spans="30:30" x14ac:dyDescent="0.25">
      <c r="AD14805"/>
    </row>
    <row r="14806" spans="30:30" x14ac:dyDescent="0.25">
      <c r="AD14806"/>
    </row>
    <row r="14807" spans="30:30" x14ac:dyDescent="0.25">
      <c r="AD14807"/>
    </row>
    <row r="14808" spans="30:30" x14ac:dyDescent="0.25">
      <c r="AD14808"/>
    </row>
    <row r="14809" spans="30:30" x14ac:dyDescent="0.25">
      <c r="AD14809"/>
    </row>
    <row r="14810" spans="30:30" x14ac:dyDescent="0.25">
      <c r="AD14810"/>
    </row>
    <row r="14811" spans="30:30" x14ac:dyDescent="0.25">
      <c r="AD14811"/>
    </row>
    <row r="14812" spans="30:30" x14ac:dyDescent="0.25">
      <c r="AD14812"/>
    </row>
    <row r="14813" spans="30:30" x14ac:dyDescent="0.25">
      <c r="AD14813"/>
    </row>
    <row r="14814" spans="30:30" x14ac:dyDescent="0.25">
      <c r="AD14814"/>
    </row>
    <row r="14815" spans="30:30" x14ac:dyDescent="0.25">
      <c r="AD14815"/>
    </row>
    <row r="14816" spans="30:30" x14ac:dyDescent="0.25">
      <c r="AD14816"/>
    </row>
    <row r="14817" spans="30:30" x14ac:dyDescent="0.25">
      <c r="AD14817"/>
    </row>
    <row r="14818" spans="30:30" x14ac:dyDescent="0.25">
      <c r="AD14818"/>
    </row>
    <row r="14819" spans="30:30" x14ac:dyDescent="0.25">
      <c r="AD14819"/>
    </row>
    <row r="14820" spans="30:30" x14ac:dyDescent="0.25">
      <c r="AD14820"/>
    </row>
    <row r="14821" spans="30:30" x14ac:dyDescent="0.25">
      <c r="AD14821"/>
    </row>
    <row r="14822" spans="30:30" x14ac:dyDescent="0.25">
      <c r="AD14822"/>
    </row>
    <row r="14823" spans="30:30" x14ac:dyDescent="0.25">
      <c r="AD14823"/>
    </row>
    <row r="14824" spans="30:30" x14ac:dyDescent="0.25">
      <c r="AD14824"/>
    </row>
    <row r="14825" spans="30:30" x14ac:dyDescent="0.25">
      <c r="AD14825"/>
    </row>
    <row r="14826" spans="30:30" x14ac:dyDescent="0.25">
      <c r="AD14826"/>
    </row>
    <row r="14827" spans="30:30" x14ac:dyDescent="0.25">
      <c r="AD14827"/>
    </row>
    <row r="14828" spans="30:30" x14ac:dyDescent="0.25">
      <c r="AD14828"/>
    </row>
    <row r="14829" spans="30:30" x14ac:dyDescent="0.25">
      <c r="AD14829"/>
    </row>
    <row r="14830" spans="30:30" x14ac:dyDescent="0.25">
      <c r="AD14830"/>
    </row>
    <row r="14831" spans="30:30" x14ac:dyDescent="0.25">
      <c r="AD14831"/>
    </row>
    <row r="14832" spans="30:30" x14ac:dyDescent="0.25">
      <c r="AD14832"/>
    </row>
    <row r="14833" spans="30:30" x14ac:dyDescent="0.25">
      <c r="AD14833"/>
    </row>
    <row r="14834" spans="30:30" x14ac:dyDescent="0.25">
      <c r="AD14834"/>
    </row>
    <row r="14835" spans="30:30" x14ac:dyDescent="0.25">
      <c r="AD14835"/>
    </row>
    <row r="14836" spans="30:30" x14ac:dyDescent="0.25">
      <c r="AD14836"/>
    </row>
    <row r="14837" spans="30:30" x14ac:dyDescent="0.25">
      <c r="AD14837"/>
    </row>
    <row r="14838" spans="30:30" x14ac:dyDescent="0.25">
      <c r="AD14838"/>
    </row>
    <row r="14839" spans="30:30" x14ac:dyDescent="0.25">
      <c r="AD14839"/>
    </row>
    <row r="14840" spans="30:30" x14ac:dyDescent="0.25">
      <c r="AD14840"/>
    </row>
    <row r="14841" spans="30:30" x14ac:dyDescent="0.25">
      <c r="AD14841"/>
    </row>
    <row r="14842" spans="30:30" x14ac:dyDescent="0.25">
      <c r="AD14842"/>
    </row>
    <row r="14843" spans="30:30" x14ac:dyDescent="0.25">
      <c r="AD14843"/>
    </row>
    <row r="14844" spans="30:30" x14ac:dyDescent="0.25">
      <c r="AD14844"/>
    </row>
    <row r="14845" spans="30:30" x14ac:dyDescent="0.25">
      <c r="AD14845"/>
    </row>
    <row r="14846" spans="30:30" x14ac:dyDescent="0.25">
      <c r="AD14846"/>
    </row>
    <row r="14847" spans="30:30" x14ac:dyDescent="0.25">
      <c r="AD14847"/>
    </row>
    <row r="14848" spans="30:30" x14ac:dyDescent="0.25">
      <c r="AD14848"/>
    </row>
    <row r="14849" spans="30:30" x14ac:dyDescent="0.25">
      <c r="AD14849"/>
    </row>
    <row r="14850" spans="30:30" x14ac:dyDescent="0.25">
      <c r="AD14850"/>
    </row>
    <row r="14851" spans="30:30" x14ac:dyDescent="0.25">
      <c r="AD14851"/>
    </row>
    <row r="14852" spans="30:30" x14ac:dyDescent="0.25">
      <c r="AD14852"/>
    </row>
    <row r="14853" spans="30:30" x14ac:dyDescent="0.25">
      <c r="AD14853"/>
    </row>
    <row r="14854" spans="30:30" x14ac:dyDescent="0.25">
      <c r="AD14854"/>
    </row>
    <row r="14855" spans="30:30" x14ac:dyDescent="0.25">
      <c r="AD14855"/>
    </row>
    <row r="14856" spans="30:30" x14ac:dyDescent="0.25">
      <c r="AD14856"/>
    </row>
    <row r="14857" spans="30:30" x14ac:dyDescent="0.25">
      <c r="AD14857"/>
    </row>
    <row r="14858" spans="30:30" x14ac:dyDescent="0.25">
      <c r="AD14858"/>
    </row>
    <row r="14859" spans="30:30" x14ac:dyDescent="0.25">
      <c r="AD14859"/>
    </row>
    <row r="14860" spans="30:30" x14ac:dyDescent="0.25">
      <c r="AD14860"/>
    </row>
    <row r="14861" spans="30:30" x14ac:dyDescent="0.25">
      <c r="AD14861"/>
    </row>
    <row r="14862" spans="30:30" x14ac:dyDescent="0.25">
      <c r="AD14862"/>
    </row>
    <row r="14863" spans="30:30" x14ac:dyDescent="0.25">
      <c r="AD14863"/>
    </row>
    <row r="14864" spans="30:30" x14ac:dyDescent="0.25">
      <c r="AD14864"/>
    </row>
    <row r="14865" spans="30:30" x14ac:dyDescent="0.25">
      <c r="AD14865"/>
    </row>
    <row r="14866" spans="30:30" x14ac:dyDescent="0.25">
      <c r="AD14866"/>
    </row>
    <row r="14867" spans="30:30" x14ac:dyDescent="0.25">
      <c r="AD14867"/>
    </row>
    <row r="14868" spans="30:30" x14ac:dyDescent="0.25">
      <c r="AD14868"/>
    </row>
    <row r="14869" spans="30:30" x14ac:dyDescent="0.25">
      <c r="AD14869"/>
    </row>
    <row r="14870" spans="30:30" x14ac:dyDescent="0.25">
      <c r="AD14870"/>
    </row>
    <row r="14871" spans="30:30" x14ac:dyDescent="0.25">
      <c r="AD14871"/>
    </row>
    <row r="14872" spans="30:30" x14ac:dyDescent="0.25">
      <c r="AD14872"/>
    </row>
    <row r="14873" spans="30:30" x14ac:dyDescent="0.25">
      <c r="AD14873"/>
    </row>
    <row r="14874" spans="30:30" x14ac:dyDescent="0.25">
      <c r="AD14874"/>
    </row>
    <row r="14875" spans="30:30" x14ac:dyDescent="0.25">
      <c r="AD14875"/>
    </row>
    <row r="14876" spans="30:30" x14ac:dyDescent="0.25">
      <c r="AD14876"/>
    </row>
    <row r="14877" spans="30:30" x14ac:dyDescent="0.25">
      <c r="AD14877"/>
    </row>
    <row r="14878" spans="30:30" x14ac:dyDescent="0.25">
      <c r="AD14878"/>
    </row>
    <row r="14879" spans="30:30" x14ac:dyDescent="0.25">
      <c r="AD14879"/>
    </row>
    <row r="14880" spans="30:30" x14ac:dyDescent="0.25">
      <c r="AD14880"/>
    </row>
    <row r="14881" spans="30:30" x14ac:dyDescent="0.25">
      <c r="AD14881"/>
    </row>
    <row r="14882" spans="30:30" x14ac:dyDescent="0.25">
      <c r="AD14882"/>
    </row>
    <row r="14883" spans="30:30" x14ac:dyDescent="0.25">
      <c r="AD14883"/>
    </row>
    <row r="14884" spans="30:30" x14ac:dyDescent="0.25">
      <c r="AD14884"/>
    </row>
    <row r="14885" spans="30:30" x14ac:dyDescent="0.25">
      <c r="AD14885"/>
    </row>
    <row r="14886" spans="30:30" x14ac:dyDescent="0.25">
      <c r="AD14886"/>
    </row>
    <row r="14887" spans="30:30" x14ac:dyDescent="0.25">
      <c r="AD14887"/>
    </row>
    <row r="14888" spans="30:30" x14ac:dyDescent="0.25">
      <c r="AD14888"/>
    </row>
    <row r="14889" spans="30:30" x14ac:dyDescent="0.25">
      <c r="AD14889"/>
    </row>
    <row r="14890" spans="30:30" x14ac:dyDescent="0.25">
      <c r="AD14890"/>
    </row>
    <row r="14891" spans="30:30" x14ac:dyDescent="0.25">
      <c r="AD14891"/>
    </row>
    <row r="14892" spans="30:30" x14ac:dyDescent="0.25">
      <c r="AD14892"/>
    </row>
    <row r="14893" spans="30:30" x14ac:dyDescent="0.25">
      <c r="AD14893"/>
    </row>
    <row r="14894" spans="30:30" x14ac:dyDescent="0.25">
      <c r="AD14894"/>
    </row>
    <row r="14895" spans="30:30" x14ac:dyDescent="0.25">
      <c r="AD14895"/>
    </row>
    <row r="14896" spans="30:30" x14ac:dyDescent="0.25">
      <c r="AD14896"/>
    </row>
    <row r="14897" spans="30:30" x14ac:dyDescent="0.25">
      <c r="AD14897"/>
    </row>
    <row r="14898" spans="30:30" x14ac:dyDescent="0.25">
      <c r="AD14898"/>
    </row>
    <row r="14899" spans="30:30" x14ac:dyDescent="0.25">
      <c r="AD14899"/>
    </row>
    <row r="14900" spans="30:30" x14ac:dyDescent="0.25">
      <c r="AD14900"/>
    </row>
    <row r="14901" spans="30:30" x14ac:dyDescent="0.25">
      <c r="AD14901"/>
    </row>
    <row r="14902" spans="30:30" x14ac:dyDescent="0.25">
      <c r="AD14902"/>
    </row>
    <row r="14903" spans="30:30" x14ac:dyDescent="0.25">
      <c r="AD14903"/>
    </row>
    <row r="14904" spans="30:30" x14ac:dyDescent="0.25">
      <c r="AD14904"/>
    </row>
    <row r="14905" spans="30:30" x14ac:dyDescent="0.25">
      <c r="AD14905"/>
    </row>
    <row r="14906" spans="30:30" x14ac:dyDescent="0.25">
      <c r="AD14906"/>
    </row>
    <row r="14907" spans="30:30" x14ac:dyDescent="0.25">
      <c r="AD14907"/>
    </row>
    <row r="14908" spans="30:30" x14ac:dyDescent="0.25">
      <c r="AD14908"/>
    </row>
    <row r="14909" spans="30:30" x14ac:dyDescent="0.25">
      <c r="AD14909"/>
    </row>
    <row r="14910" spans="30:30" x14ac:dyDescent="0.25">
      <c r="AD14910"/>
    </row>
    <row r="14911" spans="30:30" x14ac:dyDescent="0.25">
      <c r="AD14911"/>
    </row>
    <row r="14912" spans="30:30" x14ac:dyDescent="0.25">
      <c r="AD14912"/>
    </row>
    <row r="14913" spans="30:30" x14ac:dyDescent="0.25">
      <c r="AD14913"/>
    </row>
    <row r="14914" spans="30:30" x14ac:dyDescent="0.25">
      <c r="AD14914"/>
    </row>
    <row r="14915" spans="30:30" x14ac:dyDescent="0.25">
      <c r="AD14915"/>
    </row>
    <row r="14916" spans="30:30" x14ac:dyDescent="0.25">
      <c r="AD14916"/>
    </row>
    <row r="14917" spans="30:30" x14ac:dyDescent="0.25">
      <c r="AD14917"/>
    </row>
    <row r="14918" spans="30:30" x14ac:dyDescent="0.25">
      <c r="AD14918"/>
    </row>
    <row r="14919" spans="30:30" x14ac:dyDescent="0.25">
      <c r="AD14919"/>
    </row>
    <row r="14920" spans="30:30" x14ac:dyDescent="0.25">
      <c r="AD14920"/>
    </row>
    <row r="14921" spans="30:30" x14ac:dyDescent="0.25">
      <c r="AD14921"/>
    </row>
    <row r="14922" spans="30:30" x14ac:dyDescent="0.25">
      <c r="AD14922"/>
    </row>
    <row r="14923" spans="30:30" x14ac:dyDescent="0.25">
      <c r="AD14923"/>
    </row>
    <row r="14924" spans="30:30" x14ac:dyDescent="0.25">
      <c r="AD14924"/>
    </row>
    <row r="14925" spans="30:30" x14ac:dyDescent="0.25">
      <c r="AD14925"/>
    </row>
    <row r="14926" spans="30:30" x14ac:dyDescent="0.25">
      <c r="AD14926"/>
    </row>
    <row r="14927" spans="30:30" x14ac:dyDescent="0.25">
      <c r="AD14927"/>
    </row>
    <row r="14928" spans="30:30" x14ac:dyDescent="0.25">
      <c r="AD14928"/>
    </row>
    <row r="14929" spans="30:30" x14ac:dyDescent="0.25">
      <c r="AD14929"/>
    </row>
    <row r="14930" spans="30:30" x14ac:dyDescent="0.25">
      <c r="AD14930"/>
    </row>
    <row r="14931" spans="30:30" x14ac:dyDescent="0.25">
      <c r="AD14931"/>
    </row>
    <row r="14932" spans="30:30" x14ac:dyDescent="0.25">
      <c r="AD14932"/>
    </row>
    <row r="14933" spans="30:30" x14ac:dyDescent="0.25">
      <c r="AD14933"/>
    </row>
    <row r="14934" spans="30:30" x14ac:dyDescent="0.25">
      <c r="AD14934"/>
    </row>
    <row r="14935" spans="30:30" x14ac:dyDescent="0.25">
      <c r="AD14935"/>
    </row>
    <row r="14936" spans="30:30" x14ac:dyDescent="0.25">
      <c r="AD14936"/>
    </row>
    <row r="14937" spans="30:30" x14ac:dyDescent="0.25">
      <c r="AD14937"/>
    </row>
    <row r="14938" spans="30:30" x14ac:dyDescent="0.25">
      <c r="AD14938"/>
    </row>
    <row r="14939" spans="30:30" x14ac:dyDescent="0.25">
      <c r="AD14939"/>
    </row>
    <row r="14940" spans="30:30" x14ac:dyDescent="0.25">
      <c r="AD14940"/>
    </row>
    <row r="14941" spans="30:30" x14ac:dyDescent="0.25">
      <c r="AD14941"/>
    </row>
    <row r="14942" spans="30:30" x14ac:dyDescent="0.25">
      <c r="AD14942"/>
    </row>
    <row r="14943" spans="30:30" x14ac:dyDescent="0.25">
      <c r="AD14943"/>
    </row>
    <row r="14944" spans="30:30" x14ac:dyDescent="0.25">
      <c r="AD14944"/>
    </row>
    <row r="14945" spans="30:30" x14ac:dyDescent="0.25">
      <c r="AD14945"/>
    </row>
    <row r="14946" spans="30:30" x14ac:dyDescent="0.25">
      <c r="AD14946"/>
    </row>
    <row r="14947" spans="30:30" x14ac:dyDescent="0.25">
      <c r="AD14947"/>
    </row>
    <row r="14948" spans="30:30" x14ac:dyDescent="0.25">
      <c r="AD14948"/>
    </row>
    <row r="14949" spans="30:30" x14ac:dyDescent="0.25">
      <c r="AD14949"/>
    </row>
    <row r="14950" spans="30:30" x14ac:dyDescent="0.25">
      <c r="AD14950"/>
    </row>
    <row r="14951" spans="30:30" x14ac:dyDescent="0.25">
      <c r="AD14951"/>
    </row>
    <row r="14952" spans="30:30" x14ac:dyDescent="0.25">
      <c r="AD14952"/>
    </row>
    <row r="14953" spans="30:30" x14ac:dyDescent="0.25">
      <c r="AD14953"/>
    </row>
    <row r="14954" spans="30:30" x14ac:dyDescent="0.25">
      <c r="AD14954"/>
    </row>
    <row r="14955" spans="30:30" x14ac:dyDescent="0.25">
      <c r="AD14955"/>
    </row>
    <row r="14956" spans="30:30" x14ac:dyDescent="0.25">
      <c r="AD14956"/>
    </row>
    <row r="14957" spans="30:30" x14ac:dyDescent="0.25">
      <c r="AD14957"/>
    </row>
    <row r="14958" spans="30:30" x14ac:dyDescent="0.25">
      <c r="AD14958"/>
    </row>
    <row r="14959" spans="30:30" x14ac:dyDescent="0.25">
      <c r="AD14959"/>
    </row>
    <row r="14960" spans="30:30" x14ac:dyDescent="0.25">
      <c r="AD14960"/>
    </row>
    <row r="14961" spans="30:30" x14ac:dyDescent="0.25">
      <c r="AD14961"/>
    </row>
    <row r="14962" spans="30:30" x14ac:dyDescent="0.25">
      <c r="AD14962"/>
    </row>
    <row r="14963" spans="30:30" x14ac:dyDescent="0.25">
      <c r="AD14963"/>
    </row>
    <row r="14964" spans="30:30" x14ac:dyDescent="0.25">
      <c r="AD14964"/>
    </row>
    <row r="14965" spans="30:30" x14ac:dyDescent="0.25">
      <c r="AD14965"/>
    </row>
    <row r="14966" spans="30:30" x14ac:dyDescent="0.25">
      <c r="AD14966"/>
    </row>
    <row r="14967" spans="30:30" x14ac:dyDescent="0.25">
      <c r="AD14967"/>
    </row>
    <row r="14968" spans="30:30" x14ac:dyDescent="0.25">
      <c r="AD14968"/>
    </row>
    <row r="14969" spans="30:30" x14ac:dyDescent="0.25">
      <c r="AD14969"/>
    </row>
    <row r="14970" spans="30:30" x14ac:dyDescent="0.25">
      <c r="AD14970"/>
    </row>
    <row r="14971" spans="30:30" x14ac:dyDescent="0.25">
      <c r="AD14971"/>
    </row>
    <row r="14972" spans="30:30" x14ac:dyDescent="0.25">
      <c r="AD14972"/>
    </row>
    <row r="14973" spans="30:30" x14ac:dyDescent="0.25">
      <c r="AD14973"/>
    </row>
    <row r="14974" spans="30:30" x14ac:dyDescent="0.25">
      <c r="AD14974"/>
    </row>
    <row r="14975" spans="30:30" x14ac:dyDescent="0.25">
      <c r="AD14975"/>
    </row>
    <row r="14976" spans="30:30" x14ac:dyDescent="0.25">
      <c r="AD14976"/>
    </row>
    <row r="14977" spans="30:30" x14ac:dyDescent="0.25">
      <c r="AD14977"/>
    </row>
    <row r="14978" spans="30:30" x14ac:dyDescent="0.25">
      <c r="AD14978"/>
    </row>
    <row r="14979" spans="30:30" x14ac:dyDescent="0.25">
      <c r="AD14979"/>
    </row>
    <row r="14980" spans="30:30" x14ac:dyDescent="0.25">
      <c r="AD14980"/>
    </row>
    <row r="14981" spans="30:30" x14ac:dyDescent="0.25">
      <c r="AD14981"/>
    </row>
    <row r="14982" spans="30:30" x14ac:dyDescent="0.25">
      <c r="AD14982"/>
    </row>
    <row r="14983" spans="30:30" x14ac:dyDescent="0.25">
      <c r="AD14983"/>
    </row>
    <row r="14984" spans="30:30" x14ac:dyDescent="0.25">
      <c r="AD14984"/>
    </row>
    <row r="14985" spans="30:30" x14ac:dyDescent="0.25">
      <c r="AD14985"/>
    </row>
    <row r="14986" spans="30:30" x14ac:dyDescent="0.25">
      <c r="AD14986"/>
    </row>
    <row r="14987" spans="30:30" x14ac:dyDescent="0.25">
      <c r="AD14987"/>
    </row>
    <row r="14988" spans="30:30" x14ac:dyDescent="0.25">
      <c r="AD14988"/>
    </row>
    <row r="14989" spans="30:30" x14ac:dyDescent="0.25">
      <c r="AD14989"/>
    </row>
    <row r="14990" spans="30:30" x14ac:dyDescent="0.25">
      <c r="AD14990"/>
    </row>
    <row r="14991" spans="30:30" x14ac:dyDescent="0.25">
      <c r="AD14991"/>
    </row>
    <row r="14992" spans="30:30" x14ac:dyDescent="0.25">
      <c r="AD14992"/>
    </row>
    <row r="14993" spans="30:30" x14ac:dyDescent="0.25">
      <c r="AD14993"/>
    </row>
    <row r="14994" spans="30:30" x14ac:dyDescent="0.25">
      <c r="AD14994"/>
    </row>
    <row r="14995" spans="30:30" x14ac:dyDescent="0.25">
      <c r="AD14995"/>
    </row>
    <row r="14996" spans="30:30" x14ac:dyDescent="0.25">
      <c r="AD14996"/>
    </row>
    <row r="14997" spans="30:30" x14ac:dyDescent="0.25">
      <c r="AD14997"/>
    </row>
    <row r="14998" spans="30:30" x14ac:dyDescent="0.25">
      <c r="AD14998"/>
    </row>
    <row r="14999" spans="30:30" x14ac:dyDescent="0.25">
      <c r="AD14999"/>
    </row>
    <row r="15000" spans="30:30" x14ac:dyDescent="0.25">
      <c r="AD15000"/>
    </row>
    <row r="15001" spans="30:30" x14ac:dyDescent="0.25">
      <c r="AD15001"/>
    </row>
    <row r="15002" spans="30:30" x14ac:dyDescent="0.25">
      <c r="AD15002"/>
    </row>
    <row r="15003" spans="30:30" x14ac:dyDescent="0.25">
      <c r="AD15003"/>
    </row>
    <row r="15004" spans="30:30" x14ac:dyDescent="0.25">
      <c r="AD15004"/>
    </row>
    <row r="15005" spans="30:30" x14ac:dyDescent="0.25">
      <c r="AD15005"/>
    </row>
    <row r="15006" spans="30:30" x14ac:dyDescent="0.25">
      <c r="AD15006"/>
    </row>
    <row r="15007" spans="30:30" x14ac:dyDescent="0.25">
      <c r="AD15007"/>
    </row>
    <row r="15008" spans="30:30" x14ac:dyDescent="0.25">
      <c r="AD15008"/>
    </row>
    <row r="15009" spans="30:30" x14ac:dyDescent="0.25">
      <c r="AD15009"/>
    </row>
    <row r="15010" spans="30:30" x14ac:dyDescent="0.25">
      <c r="AD15010"/>
    </row>
    <row r="15011" spans="30:30" x14ac:dyDescent="0.25">
      <c r="AD15011"/>
    </row>
    <row r="15012" spans="30:30" x14ac:dyDescent="0.25">
      <c r="AD15012"/>
    </row>
    <row r="15013" spans="30:30" x14ac:dyDescent="0.25">
      <c r="AD15013"/>
    </row>
    <row r="15014" spans="30:30" x14ac:dyDescent="0.25">
      <c r="AD15014"/>
    </row>
    <row r="15015" spans="30:30" x14ac:dyDescent="0.25">
      <c r="AD15015"/>
    </row>
    <row r="15016" spans="30:30" x14ac:dyDescent="0.25">
      <c r="AD15016"/>
    </row>
    <row r="15017" spans="30:30" x14ac:dyDescent="0.25">
      <c r="AD15017"/>
    </row>
    <row r="15018" spans="30:30" x14ac:dyDescent="0.25">
      <c r="AD15018"/>
    </row>
    <row r="15019" spans="30:30" x14ac:dyDescent="0.25">
      <c r="AD15019"/>
    </row>
    <row r="15020" spans="30:30" x14ac:dyDescent="0.25">
      <c r="AD15020"/>
    </row>
    <row r="15021" spans="30:30" x14ac:dyDescent="0.25">
      <c r="AD15021"/>
    </row>
    <row r="15022" spans="30:30" x14ac:dyDescent="0.25">
      <c r="AD15022"/>
    </row>
    <row r="15023" spans="30:30" x14ac:dyDescent="0.25">
      <c r="AD15023"/>
    </row>
    <row r="15024" spans="30:30" x14ac:dyDescent="0.25">
      <c r="AD15024"/>
    </row>
    <row r="15025" spans="30:30" x14ac:dyDescent="0.25">
      <c r="AD15025"/>
    </row>
    <row r="15026" spans="30:30" x14ac:dyDescent="0.25">
      <c r="AD15026"/>
    </row>
    <row r="15027" spans="30:30" x14ac:dyDescent="0.25">
      <c r="AD15027"/>
    </row>
    <row r="15028" spans="30:30" x14ac:dyDescent="0.25">
      <c r="AD15028"/>
    </row>
    <row r="15029" spans="30:30" x14ac:dyDescent="0.25">
      <c r="AD15029"/>
    </row>
    <row r="15030" spans="30:30" x14ac:dyDescent="0.25">
      <c r="AD15030"/>
    </row>
    <row r="15031" spans="30:30" x14ac:dyDescent="0.25">
      <c r="AD15031"/>
    </row>
    <row r="15032" spans="30:30" x14ac:dyDescent="0.25">
      <c r="AD15032"/>
    </row>
    <row r="15033" spans="30:30" x14ac:dyDescent="0.25">
      <c r="AD15033"/>
    </row>
    <row r="15034" spans="30:30" x14ac:dyDescent="0.25">
      <c r="AD15034"/>
    </row>
    <row r="15035" spans="30:30" x14ac:dyDescent="0.25">
      <c r="AD15035"/>
    </row>
    <row r="15036" spans="30:30" x14ac:dyDescent="0.25">
      <c r="AD15036"/>
    </row>
    <row r="15037" spans="30:30" x14ac:dyDescent="0.25">
      <c r="AD15037"/>
    </row>
    <row r="15038" spans="30:30" x14ac:dyDescent="0.25">
      <c r="AD15038"/>
    </row>
    <row r="15039" spans="30:30" x14ac:dyDescent="0.25">
      <c r="AD15039"/>
    </row>
    <row r="15040" spans="30:30" x14ac:dyDescent="0.25">
      <c r="AD15040"/>
    </row>
    <row r="15041" spans="30:30" x14ac:dyDescent="0.25">
      <c r="AD15041"/>
    </row>
    <row r="15042" spans="30:30" x14ac:dyDescent="0.25">
      <c r="AD15042"/>
    </row>
    <row r="15043" spans="30:30" x14ac:dyDescent="0.25">
      <c r="AD15043"/>
    </row>
    <row r="15044" spans="30:30" x14ac:dyDescent="0.25">
      <c r="AD15044"/>
    </row>
    <row r="15045" spans="30:30" x14ac:dyDescent="0.25">
      <c r="AD15045"/>
    </row>
    <row r="15046" spans="30:30" x14ac:dyDescent="0.25">
      <c r="AD15046"/>
    </row>
    <row r="15047" spans="30:30" x14ac:dyDescent="0.25">
      <c r="AD15047"/>
    </row>
    <row r="15048" spans="30:30" x14ac:dyDescent="0.25">
      <c r="AD15048"/>
    </row>
    <row r="15049" spans="30:30" x14ac:dyDescent="0.25">
      <c r="AD15049"/>
    </row>
    <row r="15050" spans="30:30" x14ac:dyDescent="0.25">
      <c r="AD15050"/>
    </row>
    <row r="15051" spans="30:30" x14ac:dyDescent="0.25">
      <c r="AD15051"/>
    </row>
    <row r="15052" spans="30:30" x14ac:dyDescent="0.25">
      <c r="AD15052"/>
    </row>
    <row r="15053" spans="30:30" x14ac:dyDescent="0.25">
      <c r="AD15053"/>
    </row>
    <row r="15054" spans="30:30" x14ac:dyDescent="0.25">
      <c r="AD15054"/>
    </row>
    <row r="15055" spans="30:30" x14ac:dyDescent="0.25">
      <c r="AD15055"/>
    </row>
    <row r="15056" spans="30:30" x14ac:dyDescent="0.25">
      <c r="AD15056"/>
    </row>
    <row r="15057" spans="30:30" x14ac:dyDescent="0.25">
      <c r="AD15057"/>
    </row>
    <row r="15058" spans="30:30" x14ac:dyDescent="0.25">
      <c r="AD15058"/>
    </row>
    <row r="15059" spans="30:30" x14ac:dyDescent="0.25">
      <c r="AD15059"/>
    </row>
    <row r="15060" spans="30:30" x14ac:dyDescent="0.25">
      <c r="AD15060"/>
    </row>
    <row r="15061" spans="30:30" x14ac:dyDescent="0.25">
      <c r="AD15061"/>
    </row>
    <row r="15062" spans="30:30" x14ac:dyDescent="0.25">
      <c r="AD15062"/>
    </row>
    <row r="15063" spans="30:30" x14ac:dyDescent="0.25">
      <c r="AD15063"/>
    </row>
    <row r="15064" spans="30:30" x14ac:dyDescent="0.25">
      <c r="AD15064"/>
    </row>
    <row r="15065" spans="30:30" x14ac:dyDescent="0.25">
      <c r="AD15065"/>
    </row>
    <row r="15066" spans="30:30" x14ac:dyDescent="0.25">
      <c r="AD15066"/>
    </row>
    <row r="15067" spans="30:30" x14ac:dyDescent="0.25">
      <c r="AD15067"/>
    </row>
    <row r="15068" spans="30:30" x14ac:dyDescent="0.25">
      <c r="AD15068"/>
    </row>
    <row r="15069" spans="30:30" x14ac:dyDescent="0.25">
      <c r="AD15069"/>
    </row>
    <row r="15070" spans="30:30" x14ac:dyDescent="0.25">
      <c r="AD15070"/>
    </row>
    <row r="15071" spans="30:30" x14ac:dyDescent="0.25">
      <c r="AD15071"/>
    </row>
    <row r="15072" spans="30:30" x14ac:dyDescent="0.25">
      <c r="AD15072"/>
    </row>
    <row r="15073" spans="30:30" x14ac:dyDescent="0.25">
      <c r="AD15073"/>
    </row>
    <row r="15074" spans="30:30" x14ac:dyDescent="0.25">
      <c r="AD15074"/>
    </row>
    <row r="15075" spans="30:30" x14ac:dyDescent="0.25">
      <c r="AD15075"/>
    </row>
    <row r="15076" spans="30:30" x14ac:dyDescent="0.25">
      <c r="AD15076"/>
    </row>
    <row r="15077" spans="30:30" x14ac:dyDescent="0.25">
      <c r="AD15077"/>
    </row>
    <row r="15078" spans="30:30" x14ac:dyDescent="0.25">
      <c r="AD15078"/>
    </row>
    <row r="15079" spans="30:30" x14ac:dyDescent="0.25">
      <c r="AD15079"/>
    </row>
    <row r="15080" spans="30:30" x14ac:dyDescent="0.25">
      <c r="AD15080"/>
    </row>
    <row r="15081" spans="30:30" x14ac:dyDescent="0.25">
      <c r="AD15081"/>
    </row>
    <row r="15082" spans="30:30" x14ac:dyDescent="0.25">
      <c r="AD15082"/>
    </row>
    <row r="15083" spans="30:30" x14ac:dyDescent="0.25">
      <c r="AD15083"/>
    </row>
    <row r="15084" spans="30:30" x14ac:dyDescent="0.25">
      <c r="AD15084"/>
    </row>
    <row r="15085" spans="30:30" x14ac:dyDescent="0.25">
      <c r="AD15085"/>
    </row>
    <row r="15086" spans="30:30" x14ac:dyDescent="0.25">
      <c r="AD15086"/>
    </row>
    <row r="15087" spans="30:30" x14ac:dyDescent="0.25">
      <c r="AD15087"/>
    </row>
    <row r="15088" spans="30:30" x14ac:dyDescent="0.25">
      <c r="AD15088"/>
    </row>
    <row r="15089" spans="30:30" x14ac:dyDescent="0.25">
      <c r="AD15089"/>
    </row>
    <row r="15090" spans="30:30" x14ac:dyDescent="0.25">
      <c r="AD15090"/>
    </row>
    <row r="15091" spans="30:30" x14ac:dyDescent="0.25">
      <c r="AD15091"/>
    </row>
    <row r="15092" spans="30:30" x14ac:dyDescent="0.25">
      <c r="AD15092"/>
    </row>
    <row r="15093" spans="30:30" x14ac:dyDescent="0.25">
      <c r="AD15093"/>
    </row>
    <row r="15094" spans="30:30" x14ac:dyDescent="0.25">
      <c r="AD15094"/>
    </row>
    <row r="15095" spans="30:30" x14ac:dyDescent="0.25">
      <c r="AD15095"/>
    </row>
    <row r="15096" spans="30:30" x14ac:dyDescent="0.25">
      <c r="AD15096"/>
    </row>
    <row r="15097" spans="30:30" x14ac:dyDescent="0.25">
      <c r="AD15097"/>
    </row>
    <row r="15098" spans="30:30" x14ac:dyDescent="0.25">
      <c r="AD15098"/>
    </row>
    <row r="15099" spans="30:30" x14ac:dyDescent="0.25">
      <c r="AD15099"/>
    </row>
    <row r="15100" spans="30:30" x14ac:dyDescent="0.25">
      <c r="AD15100"/>
    </row>
    <row r="15101" spans="30:30" x14ac:dyDescent="0.25">
      <c r="AD15101"/>
    </row>
    <row r="15102" spans="30:30" x14ac:dyDescent="0.25">
      <c r="AD15102"/>
    </row>
    <row r="15103" spans="30:30" x14ac:dyDescent="0.25">
      <c r="AD15103"/>
    </row>
    <row r="15104" spans="30:30" x14ac:dyDescent="0.25">
      <c r="AD15104"/>
    </row>
    <row r="15105" spans="30:30" x14ac:dyDescent="0.25">
      <c r="AD15105"/>
    </row>
    <row r="15106" spans="30:30" x14ac:dyDescent="0.25">
      <c r="AD15106"/>
    </row>
    <row r="15107" spans="30:30" x14ac:dyDescent="0.25">
      <c r="AD15107"/>
    </row>
    <row r="15108" spans="30:30" x14ac:dyDescent="0.25">
      <c r="AD15108"/>
    </row>
    <row r="15109" spans="30:30" x14ac:dyDescent="0.25">
      <c r="AD15109"/>
    </row>
    <row r="15110" spans="30:30" x14ac:dyDescent="0.25">
      <c r="AD15110"/>
    </row>
    <row r="15111" spans="30:30" x14ac:dyDescent="0.25">
      <c r="AD15111"/>
    </row>
    <row r="15112" spans="30:30" x14ac:dyDescent="0.25">
      <c r="AD15112"/>
    </row>
    <row r="15113" spans="30:30" x14ac:dyDescent="0.25">
      <c r="AD15113"/>
    </row>
    <row r="15114" spans="30:30" x14ac:dyDescent="0.25">
      <c r="AD15114"/>
    </row>
    <row r="15115" spans="30:30" x14ac:dyDescent="0.25">
      <c r="AD15115"/>
    </row>
    <row r="15116" spans="30:30" x14ac:dyDescent="0.25">
      <c r="AD15116"/>
    </row>
    <row r="15117" spans="30:30" x14ac:dyDescent="0.25">
      <c r="AD15117"/>
    </row>
    <row r="15118" spans="30:30" x14ac:dyDescent="0.25">
      <c r="AD15118"/>
    </row>
    <row r="15119" spans="30:30" x14ac:dyDescent="0.25">
      <c r="AD15119"/>
    </row>
    <row r="15120" spans="30:30" x14ac:dyDescent="0.25">
      <c r="AD15120"/>
    </row>
    <row r="15121" spans="30:30" x14ac:dyDescent="0.25">
      <c r="AD15121"/>
    </row>
    <row r="15122" spans="30:30" x14ac:dyDescent="0.25">
      <c r="AD15122"/>
    </row>
    <row r="15123" spans="30:30" x14ac:dyDescent="0.25">
      <c r="AD15123"/>
    </row>
    <row r="15124" spans="30:30" x14ac:dyDescent="0.25">
      <c r="AD15124"/>
    </row>
    <row r="15125" spans="30:30" x14ac:dyDescent="0.25">
      <c r="AD15125"/>
    </row>
    <row r="15126" spans="30:30" x14ac:dyDescent="0.25">
      <c r="AD15126"/>
    </row>
    <row r="15127" spans="30:30" x14ac:dyDescent="0.25">
      <c r="AD15127"/>
    </row>
    <row r="15128" spans="30:30" x14ac:dyDescent="0.25">
      <c r="AD15128"/>
    </row>
    <row r="15129" spans="30:30" x14ac:dyDescent="0.25">
      <c r="AD15129"/>
    </row>
    <row r="15130" spans="30:30" x14ac:dyDescent="0.25">
      <c r="AD15130"/>
    </row>
    <row r="15131" spans="30:30" x14ac:dyDescent="0.25">
      <c r="AD15131"/>
    </row>
    <row r="15132" spans="30:30" x14ac:dyDescent="0.25">
      <c r="AD15132"/>
    </row>
    <row r="15133" spans="30:30" x14ac:dyDescent="0.25">
      <c r="AD15133"/>
    </row>
    <row r="15134" spans="30:30" x14ac:dyDescent="0.25">
      <c r="AD15134"/>
    </row>
    <row r="15135" spans="30:30" x14ac:dyDescent="0.25">
      <c r="AD15135"/>
    </row>
    <row r="15136" spans="30:30" x14ac:dyDescent="0.25">
      <c r="AD15136"/>
    </row>
    <row r="15137" spans="30:30" x14ac:dyDescent="0.25">
      <c r="AD15137"/>
    </row>
    <row r="15138" spans="30:30" x14ac:dyDescent="0.25">
      <c r="AD15138"/>
    </row>
    <row r="15139" spans="30:30" x14ac:dyDescent="0.25">
      <c r="AD15139"/>
    </row>
    <row r="15140" spans="30:30" x14ac:dyDescent="0.25">
      <c r="AD15140"/>
    </row>
    <row r="15141" spans="30:30" x14ac:dyDescent="0.25">
      <c r="AD15141"/>
    </row>
    <row r="15142" spans="30:30" x14ac:dyDescent="0.25">
      <c r="AD15142"/>
    </row>
    <row r="15143" spans="30:30" x14ac:dyDescent="0.25">
      <c r="AD15143"/>
    </row>
    <row r="15144" spans="30:30" x14ac:dyDescent="0.25">
      <c r="AD15144"/>
    </row>
    <row r="15145" spans="30:30" x14ac:dyDescent="0.25">
      <c r="AD15145"/>
    </row>
    <row r="15146" spans="30:30" x14ac:dyDescent="0.25">
      <c r="AD15146"/>
    </row>
    <row r="15147" spans="30:30" x14ac:dyDescent="0.25">
      <c r="AD15147"/>
    </row>
    <row r="15148" spans="30:30" x14ac:dyDescent="0.25">
      <c r="AD15148"/>
    </row>
    <row r="15149" spans="30:30" x14ac:dyDescent="0.25">
      <c r="AD15149"/>
    </row>
    <row r="15150" spans="30:30" x14ac:dyDescent="0.25">
      <c r="AD15150"/>
    </row>
    <row r="15151" spans="30:30" x14ac:dyDescent="0.25">
      <c r="AD15151"/>
    </row>
    <row r="15152" spans="30:30" x14ac:dyDescent="0.25">
      <c r="AD15152"/>
    </row>
    <row r="15153" spans="30:30" x14ac:dyDescent="0.25">
      <c r="AD15153"/>
    </row>
    <row r="15154" spans="30:30" x14ac:dyDescent="0.25">
      <c r="AD15154"/>
    </row>
    <row r="15155" spans="30:30" x14ac:dyDescent="0.25">
      <c r="AD15155"/>
    </row>
    <row r="15156" spans="30:30" x14ac:dyDescent="0.25">
      <c r="AD15156"/>
    </row>
    <row r="15157" spans="30:30" x14ac:dyDescent="0.25">
      <c r="AD15157"/>
    </row>
    <row r="15158" spans="30:30" x14ac:dyDescent="0.25">
      <c r="AD15158"/>
    </row>
    <row r="15159" spans="30:30" x14ac:dyDescent="0.25">
      <c r="AD15159"/>
    </row>
    <row r="15160" spans="30:30" x14ac:dyDescent="0.25">
      <c r="AD15160"/>
    </row>
    <row r="15161" spans="30:30" x14ac:dyDescent="0.25">
      <c r="AD15161"/>
    </row>
    <row r="15162" spans="30:30" x14ac:dyDescent="0.25">
      <c r="AD15162"/>
    </row>
    <row r="15163" spans="30:30" x14ac:dyDescent="0.25">
      <c r="AD15163"/>
    </row>
    <row r="15164" spans="30:30" x14ac:dyDescent="0.25">
      <c r="AD15164"/>
    </row>
    <row r="15165" spans="30:30" x14ac:dyDescent="0.25">
      <c r="AD15165"/>
    </row>
    <row r="15166" spans="30:30" x14ac:dyDescent="0.25">
      <c r="AD15166"/>
    </row>
    <row r="15167" spans="30:30" x14ac:dyDescent="0.25">
      <c r="AD15167"/>
    </row>
    <row r="15168" spans="30:30" x14ac:dyDescent="0.25">
      <c r="AD15168"/>
    </row>
    <row r="15169" spans="30:30" x14ac:dyDescent="0.25">
      <c r="AD15169"/>
    </row>
    <row r="15170" spans="30:30" x14ac:dyDescent="0.25">
      <c r="AD15170"/>
    </row>
    <row r="15171" spans="30:30" x14ac:dyDescent="0.25">
      <c r="AD15171"/>
    </row>
    <row r="15172" spans="30:30" x14ac:dyDescent="0.25">
      <c r="AD15172"/>
    </row>
    <row r="15173" spans="30:30" x14ac:dyDescent="0.25">
      <c r="AD15173"/>
    </row>
    <row r="15174" spans="30:30" x14ac:dyDescent="0.25">
      <c r="AD15174"/>
    </row>
    <row r="15175" spans="30:30" x14ac:dyDescent="0.25">
      <c r="AD15175"/>
    </row>
    <row r="15176" spans="30:30" x14ac:dyDescent="0.25">
      <c r="AD15176"/>
    </row>
    <row r="15177" spans="30:30" x14ac:dyDescent="0.25">
      <c r="AD15177"/>
    </row>
    <row r="15178" spans="30:30" x14ac:dyDescent="0.25">
      <c r="AD15178"/>
    </row>
    <row r="15179" spans="30:30" x14ac:dyDescent="0.25">
      <c r="AD15179"/>
    </row>
    <row r="15180" spans="30:30" x14ac:dyDescent="0.25">
      <c r="AD15180"/>
    </row>
    <row r="15181" spans="30:30" x14ac:dyDescent="0.25">
      <c r="AD15181"/>
    </row>
    <row r="15182" spans="30:30" x14ac:dyDescent="0.25">
      <c r="AD15182"/>
    </row>
    <row r="15183" spans="30:30" x14ac:dyDescent="0.25">
      <c r="AD15183"/>
    </row>
    <row r="15184" spans="30:30" x14ac:dyDescent="0.25">
      <c r="AD15184"/>
    </row>
    <row r="15185" spans="30:30" x14ac:dyDescent="0.25">
      <c r="AD15185"/>
    </row>
    <row r="15186" spans="30:30" x14ac:dyDescent="0.25">
      <c r="AD15186"/>
    </row>
    <row r="15187" spans="30:30" x14ac:dyDescent="0.25">
      <c r="AD15187"/>
    </row>
    <row r="15188" spans="30:30" x14ac:dyDescent="0.25">
      <c r="AD15188"/>
    </row>
    <row r="15189" spans="30:30" x14ac:dyDescent="0.25">
      <c r="AD15189"/>
    </row>
    <row r="15190" spans="30:30" x14ac:dyDescent="0.25">
      <c r="AD15190"/>
    </row>
    <row r="15191" spans="30:30" x14ac:dyDescent="0.25">
      <c r="AD15191"/>
    </row>
    <row r="15192" spans="30:30" x14ac:dyDescent="0.25">
      <c r="AD15192"/>
    </row>
    <row r="15193" spans="30:30" x14ac:dyDescent="0.25">
      <c r="AD15193"/>
    </row>
    <row r="15194" spans="30:30" x14ac:dyDescent="0.25">
      <c r="AD15194"/>
    </row>
    <row r="15195" spans="30:30" x14ac:dyDescent="0.25">
      <c r="AD15195"/>
    </row>
    <row r="15196" spans="30:30" x14ac:dyDescent="0.25">
      <c r="AD15196"/>
    </row>
    <row r="15197" spans="30:30" x14ac:dyDescent="0.25">
      <c r="AD15197"/>
    </row>
    <row r="15198" spans="30:30" x14ac:dyDescent="0.25">
      <c r="AD15198"/>
    </row>
    <row r="15199" spans="30:30" x14ac:dyDescent="0.25">
      <c r="AD15199"/>
    </row>
    <row r="15200" spans="30:30" x14ac:dyDescent="0.25">
      <c r="AD15200"/>
    </row>
    <row r="15201" spans="30:30" x14ac:dyDescent="0.25">
      <c r="AD15201"/>
    </row>
    <row r="15202" spans="30:30" x14ac:dyDescent="0.25">
      <c r="AD15202"/>
    </row>
    <row r="15203" spans="30:30" x14ac:dyDescent="0.25">
      <c r="AD15203"/>
    </row>
    <row r="15204" spans="30:30" x14ac:dyDescent="0.25">
      <c r="AD15204"/>
    </row>
    <row r="15205" spans="30:30" x14ac:dyDescent="0.25">
      <c r="AD15205"/>
    </row>
    <row r="15206" spans="30:30" x14ac:dyDescent="0.25">
      <c r="AD15206"/>
    </row>
    <row r="15207" spans="30:30" x14ac:dyDescent="0.25">
      <c r="AD15207"/>
    </row>
    <row r="15208" spans="30:30" x14ac:dyDescent="0.25">
      <c r="AD15208"/>
    </row>
    <row r="15209" spans="30:30" x14ac:dyDescent="0.25">
      <c r="AD15209"/>
    </row>
    <row r="15210" spans="30:30" x14ac:dyDescent="0.25">
      <c r="AD15210"/>
    </row>
    <row r="15211" spans="30:30" x14ac:dyDescent="0.25">
      <c r="AD15211"/>
    </row>
    <row r="15212" spans="30:30" x14ac:dyDescent="0.25">
      <c r="AD15212"/>
    </row>
    <row r="15213" spans="30:30" x14ac:dyDescent="0.25">
      <c r="AD15213"/>
    </row>
    <row r="15214" spans="30:30" x14ac:dyDescent="0.25">
      <c r="AD15214"/>
    </row>
    <row r="15215" spans="30:30" x14ac:dyDescent="0.25">
      <c r="AD15215"/>
    </row>
    <row r="15216" spans="30:30" x14ac:dyDescent="0.25">
      <c r="AD15216"/>
    </row>
    <row r="15217" spans="30:30" x14ac:dyDescent="0.25">
      <c r="AD15217"/>
    </row>
    <row r="15218" spans="30:30" x14ac:dyDescent="0.25">
      <c r="AD15218"/>
    </row>
    <row r="15219" spans="30:30" x14ac:dyDescent="0.25">
      <c r="AD15219"/>
    </row>
    <row r="15220" spans="30:30" x14ac:dyDescent="0.25">
      <c r="AD15220"/>
    </row>
    <row r="15221" spans="30:30" x14ac:dyDescent="0.25">
      <c r="AD15221"/>
    </row>
    <row r="15222" spans="30:30" x14ac:dyDescent="0.25">
      <c r="AD15222"/>
    </row>
    <row r="15223" spans="30:30" x14ac:dyDescent="0.25">
      <c r="AD15223"/>
    </row>
    <row r="15224" spans="30:30" x14ac:dyDescent="0.25">
      <c r="AD15224"/>
    </row>
    <row r="15225" spans="30:30" x14ac:dyDescent="0.25">
      <c r="AD15225"/>
    </row>
    <row r="15226" spans="30:30" x14ac:dyDescent="0.25">
      <c r="AD15226"/>
    </row>
    <row r="15227" spans="30:30" x14ac:dyDescent="0.25">
      <c r="AD15227"/>
    </row>
    <row r="15228" spans="30:30" x14ac:dyDescent="0.25">
      <c r="AD15228"/>
    </row>
    <row r="15229" spans="30:30" x14ac:dyDescent="0.25">
      <c r="AD15229"/>
    </row>
    <row r="15230" spans="30:30" x14ac:dyDescent="0.25">
      <c r="AD15230"/>
    </row>
    <row r="15231" spans="30:30" x14ac:dyDescent="0.25">
      <c r="AD15231"/>
    </row>
    <row r="15232" spans="30:30" x14ac:dyDescent="0.25">
      <c r="AD15232"/>
    </row>
    <row r="15233" spans="30:30" x14ac:dyDescent="0.25">
      <c r="AD15233"/>
    </row>
    <row r="15234" spans="30:30" x14ac:dyDescent="0.25">
      <c r="AD15234"/>
    </row>
    <row r="15235" spans="30:30" x14ac:dyDescent="0.25">
      <c r="AD15235"/>
    </row>
    <row r="15236" spans="30:30" x14ac:dyDescent="0.25">
      <c r="AD15236"/>
    </row>
    <row r="15237" spans="30:30" x14ac:dyDescent="0.25">
      <c r="AD15237"/>
    </row>
    <row r="15238" spans="30:30" x14ac:dyDescent="0.25">
      <c r="AD15238"/>
    </row>
    <row r="15239" spans="30:30" x14ac:dyDescent="0.25">
      <c r="AD15239"/>
    </row>
    <row r="15240" spans="30:30" x14ac:dyDescent="0.25">
      <c r="AD15240"/>
    </row>
    <row r="15241" spans="30:30" x14ac:dyDescent="0.25">
      <c r="AD15241"/>
    </row>
    <row r="15242" spans="30:30" x14ac:dyDescent="0.25">
      <c r="AD15242"/>
    </row>
    <row r="15243" spans="30:30" x14ac:dyDescent="0.25">
      <c r="AD15243"/>
    </row>
    <row r="15244" spans="30:30" x14ac:dyDescent="0.25">
      <c r="AD15244"/>
    </row>
    <row r="15245" spans="30:30" x14ac:dyDescent="0.25">
      <c r="AD15245"/>
    </row>
    <row r="15246" spans="30:30" x14ac:dyDescent="0.25">
      <c r="AD15246"/>
    </row>
    <row r="15247" spans="30:30" x14ac:dyDescent="0.25">
      <c r="AD15247"/>
    </row>
    <row r="15248" spans="30:30" x14ac:dyDescent="0.25">
      <c r="AD15248"/>
    </row>
    <row r="15249" spans="30:30" x14ac:dyDescent="0.25">
      <c r="AD15249"/>
    </row>
    <row r="15250" spans="30:30" x14ac:dyDescent="0.25">
      <c r="AD15250"/>
    </row>
    <row r="15251" spans="30:30" x14ac:dyDescent="0.25">
      <c r="AD15251"/>
    </row>
    <row r="15252" spans="30:30" x14ac:dyDescent="0.25">
      <c r="AD15252"/>
    </row>
    <row r="15253" spans="30:30" x14ac:dyDescent="0.25">
      <c r="AD15253"/>
    </row>
    <row r="15254" spans="30:30" x14ac:dyDescent="0.25">
      <c r="AD15254"/>
    </row>
    <row r="15255" spans="30:30" x14ac:dyDescent="0.25">
      <c r="AD15255"/>
    </row>
    <row r="15256" spans="30:30" x14ac:dyDescent="0.25">
      <c r="AD15256"/>
    </row>
    <row r="15257" spans="30:30" x14ac:dyDescent="0.25">
      <c r="AD15257"/>
    </row>
    <row r="15258" spans="30:30" x14ac:dyDescent="0.25">
      <c r="AD15258"/>
    </row>
    <row r="15259" spans="30:30" x14ac:dyDescent="0.25">
      <c r="AD15259"/>
    </row>
    <row r="15260" spans="30:30" x14ac:dyDescent="0.25">
      <c r="AD15260"/>
    </row>
    <row r="15261" spans="30:30" x14ac:dyDescent="0.25">
      <c r="AD15261"/>
    </row>
    <row r="15262" spans="30:30" x14ac:dyDescent="0.25">
      <c r="AD15262"/>
    </row>
    <row r="15263" spans="30:30" x14ac:dyDescent="0.25">
      <c r="AD15263"/>
    </row>
    <row r="15264" spans="30:30" x14ac:dyDescent="0.25">
      <c r="AD15264"/>
    </row>
    <row r="15265" spans="30:30" x14ac:dyDescent="0.25">
      <c r="AD15265"/>
    </row>
    <row r="15266" spans="30:30" x14ac:dyDescent="0.25">
      <c r="AD15266"/>
    </row>
    <row r="15267" spans="30:30" x14ac:dyDescent="0.25">
      <c r="AD15267"/>
    </row>
    <row r="15268" spans="30:30" x14ac:dyDescent="0.25">
      <c r="AD15268"/>
    </row>
    <row r="15269" spans="30:30" x14ac:dyDescent="0.25">
      <c r="AD15269"/>
    </row>
    <row r="15270" spans="30:30" x14ac:dyDescent="0.25">
      <c r="AD15270"/>
    </row>
    <row r="15271" spans="30:30" x14ac:dyDescent="0.25">
      <c r="AD15271"/>
    </row>
    <row r="15272" spans="30:30" x14ac:dyDescent="0.25">
      <c r="AD15272"/>
    </row>
    <row r="15273" spans="30:30" x14ac:dyDescent="0.25">
      <c r="AD15273"/>
    </row>
    <row r="15274" spans="30:30" x14ac:dyDescent="0.25">
      <c r="AD15274"/>
    </row>
    <row r="15275" spans="30:30" x14ac:dyDescent="0.25">
      <c r="AD15275"/>
    </row>
    <row r="15276" spans="30:30" x14ac:dyDescent="0.25">
      <c r="AD15276"/>
    </row>
    <row r="15277" spans="30:30" x14ac:dyDescent="0.25">
      <c r="AD15277"/>
    </row>
    <row r="15278" spans="30:30" x14ac:dyDescent="0.25">
      <c r="AD15278"/>
    </row>
    <row r="15279" spans="30:30" x14ac:dyDescent="0.25">
      <c r="AD15279"/>
    </row>
    <row r="15280" spans="30:30" x14ac:dyDescent="0.25">
      <c r="AD15280"/>
    </row>
    <row r="15281" spans="30:30" x14ac:dyDescent="0.25">
      <c r="AD15281"/>
    </row>
    <row r="15282" spans="30:30" x14ac:dyDescent="0.25">
      <c r="AD15282"/>
    </row>
    <row r="15283" spans="30:30" x14ac:dyDescent="0.25">
      <c r="AD15283"/>
    </row>
    <row r="15284" spans="30:30" x14ac:dyDescent="0.25">
      <c r="AD15284"/>
    </row>
    <row r="15285" spans="30:30" x14ac:dyDescent="0.25">
      <c r="AD15285"/>
    </row>
    <row r="15286" spans="30:30" x14ac:dyDescent="0.25">
      <c r="AD15286"/>
    </row>
    <row r="15287" spans="30:30" x14ac:dyDescent="0.25">
      <c r="AD15287"/>
    </row>
    <row r="15288" spans="30:30" x14ac:dyDescent="0.25">
      <c r="AD15288"/>
    </row>
    <row r="15289" spans="30:30" x14ac:dyDescent="0.25">
      <c r="AD15289"/>
    </row>
    <row r="15290" spans="30:30" x14ac:dyDescent="0.25">
      <c r="AD15290"/>
    </row>
    <row r="15291" spans="30:30" x14ac:dyDescent="0.25">
      <c r="AD15291"/>
    </row>
    <row r="15292" spans="30:30" x14ac:dyDescent="0.25">
      <c r="AD15292"/>
    </row>
    <row r="15293" spans="30:30" x14ac:dyDescent="0.25">
      <c r="AD15293"/>
    </row>
    <row r="15294" spans="30:30" x14ac:dyDescent="0.25">
      <c r="AD15294"/>
    </row>
    <row r="15295" spans="30:30" x14ac:dyDescent="0.25">
      <c r="AD15295"/>
    </row>
    <row r="15296" spans="30:30" x14ac:dyDescent="0.25">
      <c r="AD15296"/>
    </row>
    <row r="15297" spans="30:30" x14ac:dyDescent="0.25">
      <c r="AD15297"/>
    </row>
    <row r="15298" spans="30:30" x14ac:dyDescent="0.25">
      <c r="AD15298"/>
    </row>
    <row r="15299" spans="30:30" x14ac:dyDescent="0.25">
      <c r="AD15299"/>
    </row>
    <row r="15300" spans="30:30" x14ac:dyDescent="0.25">
      <c r="AD15300"/>
    </row>
    <row r="15301" spans="30:30" x14ac:dyDescent="0.25">
      <c r="AD15301"/>
    </row>
    <row r="15302" spans="30:30" x14ac:dyDescent="0.25">
      <c r="AD15302"/>
    </row>
    <row r="15303" spans="30:30" x14ac:dyDescent="0.25">
      <c r="AD15303"/>
    </row>
    <row r="15304" spans="30:30" x14ac:dyDescent="0.25">
      <c r="AD15304"/>
    </row>
    <row r="15305" spans="30:30" x14ac:dyDescent="0.25">
      <c r="AD15305"/>
    </row>
    <row r="15306" spans="30:30" x14ac:dyDescent="0.25">
      <c r="AD15306"/>
    </row>
    <row r="15307" spans="30:30" x14ac:dyDescent="0.25">
      <c r="AD15307"/>
    </row>
    <row r="15308" spans="30:30" x14ac:dyDescent="0.25">
      <c r="AD15308"/>
    </row>
    <row r="15309" spans="30:30" x14ac:dyDescent="0.25">
      <c r="AD15309"/>
    </row>
    <row r="15310" spans="30:30" x14ac:dyDescent="0.25">
      <c r="AD15310"/>
    </row>
    <row r="15311" spans="30:30" x14ac:dyDescent="0.25">
      <c r="AD15311"/>
    </row>
    <row r="15312" spans="30:30" x14ac:dyDescent="0.25">
      <c r="AD15312"/>
    </row>
    <row r="15313" spans="30:30" x14ac:dyDescent="0.25">
      <c r="AD15313"/>
    </row>
    <row r="15314" spans="30:30" x14ac:dyDescent="0.25">
      <c r="AD15314"/>
    </row>
    <row r="15315" spans="30:30" x14ac:dyDescent="0.25">
      <c r="AD15315"/>
    </row>
    <row r="15316" spans="30:30" x14ac:dyDescent="0.25">
      <c r="AD15316"/>
    </row>
    <row r="15317" spans="30:30" x14ac:dyDescent="0.25">
      <c r="AD15317"/>
    </row>
    <row r="15318" spans="30:30" x14ac:dyDescent="0.25">
      <c r="AD15318"/>
    </row>
    <row r="15319" spans="30:30" x14ac:dyDescent="0.25">
      <c r="AD15319"/>
    </row>
    <row r="15320" spans="30:30" x14ac:dyDescent="0.25">
      <c r="AD15320"/>
    </row>
    <row r="15321" spans="30:30" x14ac:dyDescent="0.25">
      <c r="AD15321"/>
    </row>
    <row r="15322" spans="30:30" x14ac:dyDescent="0.25">
      <c r="AD15322"/>
    </row>
    <row r="15323" spans="30:30" x14ac:dyDescent="0.25">
      <c r="AD15323"/>
    </row>
    <row r="15324" spans="30:30" x14ac:dyDescent="0.25">
      <c r="AD15324"/>
    </row>
    <row r="15325" spans="30:30" x14ac:dyDescent="0.25">
      <c r="AD15325"/>
    </row>
    <row r="15326" spans="30:30" x14ac:dyDescent="0.25">
      <c r="AD15326"/>
    </row>
    <row r="15327" spans="30:30" x14ac:dyDescent="0.25">
      <c r="AD15327"/>
    </row>
    <row r="15328" spans="30:30" x14ac:dyDescent="0.25">
      <c r="AD15328"/>
    </row>
    <row r="15329" spans="30:30" x14ac:dyDescent="0.25">
      <c r="AD15329"/>
    </row>
    <row r="15330" spans="30:30" x14ac:dyDescent="0.25">
      <c r="AD15330"/>
    </row>
    <row r="15331" spans="30:30" x14ac:dyDescent="0.25">
      <c r="AD15331"/>
    </row>
    <row r="15332" spans="30:30" x14ac:dyDescent="0.25">
      <c r="AD15332"/>
    </row>
    <row r="15333" spans="30:30" x14ac:dyDescent="0.25">
      <c r="AD15333"/>
    </row>
    <row r="15334" spans="30:30" x14ac:dyDescent="0.25">
      <c r="AD15334"/>
    </row>
    <row r="15335" spans="30:30" x14ac:dyDescent="0.25">
      <c r="AD15335"/>
    </row>
    <row r="15336" spans="30:30" x14ac:dyDescent="0.25">
      <c r="AD15336"/>
    </row>
    <row r="15337" spans="30:30" x14ac:dyDescent="0.25">
      <c r="AD15337"/>
    </row>
    <row r="15338" spans="30:30" x14ac:dyDescent="0.25">
      <c r="AD15338"/>
    </row>
    <row r="15339" spans="30:30" x14ac:dyDescent="0.25">
      <c r="AD15339"/>
    </row>
    <row r="15340" spans="30:30" x14ac:dyDescent="0.25">
      <c r="AD15340"/>
    </row>
    <row r="15341" spans="30:30" x14ac:dyDescent="0.25">
      <c r="AD15341"/>
    </row>
    <row r="15342" spans="30:30" x14ac:dyDescent="0.25">
      <c r="AD15342"/>
    </row>
    <row r="15343" spans="30:30" x14ac:dyDescent="0.25">
      <c r="AD15343"/>
    </row>
    <row r="15344" spans="30:30" x14ac:dyDescent="0.25">
      <c r="AD15344"/>
    </row>
    <row r="15345" spans="30:30" x14ac:dyDescent="0.25">
      <c r="AD15345"/>
    </row>
    <row r="15346" spans="30:30" x14ac:dyDescent="0.25">
      <c r="AD15346"/>
    </row>
    <row r="15347" spans="30:30" x14ac:dyDescent="0.25">
      <c r="AD15347"/>
    </row>
    <row r="15348" spans="30:30" x14ac:dyDescent="0.25">
      <c r="AD15348"/>
    </row>
    <row r="15349" spans="30:30" x14ac:dyDescent="0.25">
      <c r="AD15349"/>
    </row>
    <row r="15350" spans="30:30" x14ac:dyDescent="0.25">
      <c r="AD15350"/>
    </row>
    <row r="15351" spans="30:30" x14ac:dyDescent="0.25">
      <c r="AD15351"/>
    </row>
    <row r="15352" spans="30:30" x14ac:dyDescent="0.25">
      <c r="AD15352"/>
    </row>
    <row r="15353" spans="30:30" x14ac:dyDescent="0.25">
      <c r="AD15353"/>
    </row>
    <row r="15354" spans="30:30" x14ac:dyDescent="0.25">
      <c r="AD15354"/>
    </row>
    <row r="15355" spans="30:30" x14ac:dyDescent="0.25">
      <c r="AD15355"/>
    </row>
    <row r="15356" spans="30:30" x14ac:dyDescent="0.25">
      <c r="AD15356"/>
    </row>
    <row r="15357" spans="30:30" x14ac:dyDescent="0.25">
      <c r="AD15357"/>
    </row>
    <row r="15358" spans="30:30" x14ac:dyDescent="0.25">
      <c r="AD15358"/>
    </row>
    <row r="15359" spans="30:30" x14ac:dyDescent="0.25">
      <c r="AD15359"/>
    </row>
    <row r="15360" spans="30:30" x14ac:dyDescent="0.25">
      <c r="AD15360"/>
    </row>
    <row r="15361" spans="30:30" x14ac:dyDescent="0.25">
      <c r="AD15361"/>
    </row>
    <row r="15362" spans="30:30" x14ac:dyDescent="0.25">
      <c r="AD15362"/>
    </row>
    <row r="15363" spans="30:30" x14ac:dyDescent="0.25">
      <c r="AD15363"/>
    </row>
    <row r="15364" spans="30:30" x14ac:dyDescent="0.25">
      <c r="AD15364"/>
    </row>
    <row r="15365" spans="30:30" x14ac:dyDescent="0.25">
      <c r="AD15365"/>
    </row>
    <row r="15366" spans="30:30" x14ac:dyDescent="0.25">
      <c r="AD15366"/>
    </row>
    <row r="15367" spans="30:30" x14ac:dyDescent="0.25">
      <c r="AD15367"/>
    </row>
    <row r="15368" spans="30:30" x14ac:dyDescent="0.25">
      <c r="AD15368"/>
    </row>
    <row r="15369" spans="30:30" x14ac:dyDescent="0.25">
      <c r="AD15369"/>
    </row>
    <row r="15370" spans="30:30" x14ac:dyDescent="0.25">
      <c r="AD15370"/>
    </row>
    <row r="15371" spans="30:30" x14ac:dyDescent="0.25">
      <c r="AD15371"/>
    </row>
    <row r="15372" spans="30:30" x14ac:dyDescent="0.25">
      <c r="AD15372"/>
    </row>
    <row r="15373" spans="30:30" x14ac:dyDescent="0.25">
      <c r="AD15373"/>
    </row>
    <row r="15374" spans="30:30" x14ac:dyDescent="0.25">
      <c r="AD15374"/>
    </row>
    <row r="15375" spans="30:30" x14ac:dyDescent="0.25">
      <c r="AD15375"/>
    </row>
    <row r="15376" spans="30:30" x14ac:dyDescent="0.25">
      <c r="AD15376"/>
    </row>
    <row r="15377" spans="30:30" x14ac:dyDescent="0.25">
      <c r="AD15377"/>
    </row>
    <row r="15378" spans="30:30" x14ac:dyDescent="0.25">
      <c r="AD15378"/>
    </row>
    <row r="15379" spans="30:30" x14ac:dyDescent="0.25">
      <c r="AD15379"/>
    </row>
    <row r="15380" spans="30:30" x14ac:dyDescent="0.25">
      <c r="AD15380"/>
    </row>
    <row r="15381" spans="30:30" x14ac:dyDescent="0.25">
      <c r="AD15381"/>
    </row>
    <row r="15382" spans="30:30" x14ac:dyDescent="0.25">
      <c r="AD15382"/>
    </row>
    <row r="15383" spans="30:30" x14ac:dyDescent="0.25">
      <c r="AD15383"/>
    </row>
    <row r="15384" spans="30:30" x14ac:dyDescent="0.25">
      <c r="AD15384"/>
    </row>
    <row r="15385" spans="30:30" x14ac:dyDescent="0.25">
      <c r="AD15385"/>
    </row>
    <row r="15386" spans="30:30" x14ac:dyDescent="0.25">
      <c r="AD15386"/>
    </row>
    <row r="15387" spans="30:30" x14ac:dyDescent="0.25">
      <c r="AD15387"/>
    </row>
    <row r="15388" spans="30:30" x14ac:dyDescent="0.25">
      <c r="AD15388"/>
    </row>
    <row r="15389" spans="30:30" x14ac:dyDescent="0.25">
      <c r="AD15389"/>
    </row>
    <row r="15390" spans="30:30" x14ac:dyDescent="0.25">
      <c r="AD15390"/>
    </row>
    <row r="15391" spans="30:30" x14ac:dyDescent="0.25">
      <c r="AD15391"/>
    </row>
    <row r="15392" spans="30:30" x14ac:dyDescent="0.25">
      <c r="AD15392"/>
    </row>
    <row r="15393" spans="30:30" x14ac:dyDescent="0.25">
      <c r="AD15393"/>
    </row>
    <row r="15394" spans="30:30" x14ac:dyDescent="0.25">
      <c r="AD15394"/>
    </row>
    <row r="15395" spans="30:30" x14ac:dyDescent="0.25">
      <c r="AD15395"/>
    </row>
    <row r="15396" spans="30:30" x14ac:dyDescent="0.25">
      <c r="AD15396"/>
    </row>
    <row r="15397" spans="30:30" x14ac:dyDescent="0.25">
      <c r="AD15397"/>
    </row>
    <row r="15398" spans="30:30" x14ac:dyDescent="0.25">
      <c r="AD15398"/>
    </row>
    <row r="15399" spans="30:30" x14ac:dyDescent="0.25">
      <c r="AD15399"/>
    </row>
    <row r="15400" spans="30:30" x14ac:dyDescent="0.25">
      <c r="AD15400"/>
    </row>
    <row r="15401" spans="30:30" x14ac:dyDescent="0.25">
      <c r="AD15401"/>
    </row>
    <row r="15402" spans="30:30" x14ac:dyDescent="0.25">
      <c r="AD15402"/>
    </row>
    <row r="15403" spans="30:30" x14ac:dyDescent="0.25">
      <c r="AD15403"/>
    </row>
    <row r="15404" spans="30:30" x14ac:dyDescent="0.25">
      <c r="AD15404"/>
    </row>
    <row r="15405" spans="30:30" x14ac:dyDescent="0.25">
      <c r="AD15405"/>
    </row>
    <row r="15406" spans="30:30" x14ac:dyDescent="0.25">
      <c r="AD15406"/>
    </row>
    <row r="15407" spans="30:30" x14ac:dyDescent="0.25">
      <c r="AD15407"/>
    </row>
    <row r="15408" spans="30:30" x14ac:dyDescent="0.25">
      <c r="AD15408"/>
    </row>
    <row r="15409" spans="30:30" x14ac:dyDescent="0.25">
      <c r="AD15409"/>
    </row>
    <row r="15410" spans="30:30" x14ac:dyDescent="0.25">
      <c r="AD15410"/>
    </row>
    <row r="15411" spans="30:30" x14ac:dyDescent="0.25">
      <c r="AD15411"/>
    </row>
    <row r="15412" spans="30:30" x14ac:dyDescent="0.25">
      <c r="AD15412"/>
    </row>
    <row r="15413" spans="30:30" x14ac:dyDescent="0.25">
      <c r="AD15413"/>
    </row>
    <row r="15414" spans="30:30" x14ac:dyDescent="0.25">
      <c r="AD15414"/>
    </row>
    <row r="15415" spans="30:30" x14ac:dyDescent="0.25">
      <c r="AD15415"/>
    </row>
    <row r="15416" spans="30:30" x14ac:dyDescent="0.25">
      <c r="AD15416"/>
    </row>
    <row r="15417" spans="30:30" x14ac:dyDescent="0.25">
      <c r="AD15417"/>
    </row>
    <row r="15418" spans="30:30" x14ac:dyDescent="0.25">
      <c r="AD15418"/>
    </row>
    <row r="15419" spans="30:30" x14ac:dyDescent="0.25">
      <c r="AD15419"/>
    </row>
    <row r="15420" spans="30:30" x14ac:dyDescent="0.25">
      <c r="AD15420"/>
    </row>
    <row r="15421" spans="30:30" x14ac:dyDescent="0.25">
      <c r="AD15421"/>
    </row>
    <row r="15422" spans="30:30" x14ac:dyDescent="0.25">
      <c r="AD15422"/>
    </row>
    <row r="15423" spans="30:30" x14ac:dyDescent="0.25">
      <c r="AD15423"/>
    </row>
    <row r="15424" spans="30:30" x14ac:dyDescent="0.25">
      <c r="AD15424"/>
    </row>
    <row r="15425" spans="30:30" x14ac:dyDescent="0.25">
      <c r="AD15425"/>
    </row>
    <row r="15426" spans="30:30" x14ac:dyDescent="0.25">
      <c r="AD15426"/>
    </row>
    <row r="15427" spans="30:30" x14ac:dyDescent="0.25">
      <c r="AD15427"/>
    </row>
    <row r="15428" spans="30:30" x14ac:dyDescent="0.25">
      <c r="AD15428"/>
    </row>
    <row r="15429" spans="30:30" x14ac:dyDescent="0.25">
      <c r="AD15429"/>
    </row>
    <row r="15430" spans="30:30" x14ac:dyDescent="0.25">
      <c r="AD15430"/>
    </row>
    <row r="15431" spans="30:30" x14ac:dyDescent="0.25">
      <c r="AD15431"/>
    </row>
    <row r="15432" spans="30:30" x14ac:dyDescent="0.25">
      <c r="AD15432"/>
    </row>
    <row r="15433" spans="30:30" x14ac:dyDescent="0.25">
      <c r="AD15433"/>
    </row>
    <row r="15434" spans="30:30" x14ac:dyDescent="0.25">
      <c r="AD15434"/>
    </row>
    <row r="15435" spans="30:30" x14ac:dyDescent="0.25">
      <c r="AD15435"/>
    </row>
    <row r="15436" spans="30:30" x14ac:dyDescent="0.25">
      <c r="AD15436"/>
    </row>
    <row r="15437" spans="30:30" x14ac:dyDescent="0.25">
      <c r="AD15437"/>
    </row>
    <row r="15438" spans="30:30" x14ac:dyDescent="0.25">
      <c r="AD15438"/>
    </row>
    <row r="15439" spans="30:30" x14ac:dyDescent="0.25">
      <c r="AD15439"/>
    </row>
    <row r="15440" spans="30:30" x14ac:dyDescent="0.25">
      <c r="AD15440"/>
    </row>
    <row r="15441" spans="30:30" x14ac:dyDescent="0.25">
      <c r="AD15441"/>
    </row>
    <row r="15442" spans="30:30" x14ac:dyDescent="0.25">
      <c r="AD15442"/>
    </row>
    <row r="15443" spans="30:30" x14ac:dyDescent="0.25">
      <c r="AD15443"/>
    </row>
    <row r="15444" spans="30:30" x14ac:dyDescent="0.25">
      <c r="AD15444"/>
    </row>
    <row r="15445" spans="30:30" x14ac:dyDescent="0.25">
      <c r="AD15445"/>
    </row>
    <row r="15446" spans="30:30" x14ac:dyDescent="0.25">
      <c r="AD15446"/>
    </row>
    <row r="15447" spans="30:30" x14ac:dyDescent="0.25">
      <c r="AD15447"/>
    </row>
    <row r="15448" spans="30:30" x14ac:dyDescent="0.25">
      <c r="AD15448"/>
    </row>
    <row r="15449" spans="30:30" x14ac:dyDescent="0.25">
      <c r="AD15449"/>
    </row>
    <row r="15450" spans="30:30" x14ac:dyDescent="0.25">
      <c r="AD15450"/>
    </row>
    <row r="15451" spans="30:30" x14ac:dyDescent="0.25">
      <c r="AD15451"/>
    </row>
    <row r="15452" spans="30:30" x14ac:dyDescent="0.25">
      <c r="AD15452"/>
    </row>
    <row r="15453" spans="30:30" x14ac:dyDescent="0.25">
      <c r="AD15453"/>
    </row>
    <row r="15454" spans="30:30" x14ac:dyDescent="0.25">
      <c r="AD15454"/>
    </row>
    <row r="15455" spans="30:30" x14ac:dyDescent="0.25">
      <c r="AD15455"/>
    </row>
    <row r="15456" spans="30:30" x14ac:dyDescent="0.25">
      <c r="AD15456"/>
    </row>
    <row r="15457" spans="30:30" x14ac:dyDescent="0.25">
      <c r="AD15457"/>
    </row>
    <row r="15458" spans="30:30" x14ac:dyDescent="0.25">
      <c r="AD15458"/>
    </row>
    <row r="15459" spans="30:30" x14ac:dyDescent="0.25">
      <c r="AD15459"/>
    </row>
    <row r="15460" spans="30:30" x14ac:dyDescent="0.25">
      <c r="AD15460"/>
    </row>
    <row r="15461" spans="30:30" x14ac:dyDescent="0.25">
      <c r="AD15461"/>
    </row>
    <row r="15462" spans="30:30" x14ac:dyDescent="0.25">
      <c r="AD15462"/>
    </row>
    <row r="15463" spans="30:30" x14ac:dyDescent="0.25">
      <c r="AD15463"/>
    </row>
    <row r="15464" spans="30:30" x14ac:dyDescent="0.25">
      <c r="AD15464"/>
    </row>
    <row r="15465" spans="30:30" x14ac:dyDescent="0.25">
      <c r="AD15465"/>
    </row>
    <row r="15466" spans="30:30" x14ac:dyDescent="0.25">
      <c r="AD15466"/>
    </row>
    <row r="15467" spans="30:30" x14ac:dyDescent="0.25">
      <c r="AD15467"/>
    </row>
    <row r="15468" spans="30:30" x14ac:dyDescent="0.25">
      <c r="AD15468"/>
    </row>
    <row r="15469" spans="30:30" x14ac:dyDescent="0.25">
      <c r="AD15469"/>
    </row>
    <row r="15470" spans="30:30" x14ac:dyDescent="0.25">
      <c r="AD15470"/>
    </row>
    <row r="15471" spans="30:30" x14ac:dyDescent="0.25">
      <c r="AD15471"/>
    </row>
    <row r="15472" spans="30:30" x14ac:dyDescent="0.25">
      <c r="AD15472"/>
    </row>
    <row r="15473" spans="30:30" x14ac:dyDescent="0.25">
      <c r="AD15473"/>
    </row>
    <row r="15474" spans="30:30" x14ac:dyDescent="0.25">
      <c r="AD15474"/>
    </row>
    <row r="15475" spans="30:30" x14ac:dyDescent="0.25">
      <c r="AD15475"/>
    </row>
    <row r="15476" spans="30:30" x14ac:dyDescent="0.25">
      <c r="AD15476"/>
    </row>
    <row r="15477" spans="30:30" x14ac:dyDescent="0.25">
      <c r="AD15477"/>
    </row>
    <row r="15478" spans="30:30" x14ac:dyDescent="0.25">
      <c r="AD15478"/>
    </row>
    <row r="15479" spans="30:30" x14ac:dyDescent="0.25">
      <c r="AD15479"/>
    </row>
    <row r="15480" spans="30:30" x14ac:dyDescent="0.25">
      <c r="AD15480"/>
    </row>
    <row r="15481" spans="30:30" x14ac:dyDescent="0.25">
      <c r="AD15481"/>
    </row>
    <row r="15482" spans="30:30" x14ac:dyDescent="0.25">
      <c r="AD15482"/>
    </row>
    <row r="15483" spans="30:30" x14ac:dyDescent="0.25">
      <c r="AD15483"/>
    </row>
    <row r="15484" spans="30:30" x14ac:dyDescent="0.25">
      <c r="AD15484"/>
    </row>
    <row r="15485" spans="30:30" x14ac:dyDescent="0.25">
      <c r="AD15485"/>
    </row>
    <row r="15486" spans="30:30" x14ac:dyDescent="0.25">
      <c r="AD15486"/>
    </row>
    <row r="15487" spans="30:30" x14ac:dyDescent="0.25">
      <c r="AD15487"/>
    </row>
    <row r="15488" spans="30:30" x14ac:dyDescent="0.25">
      <c r="AD15488"/>
    </row>
    <row r="15489" spans="30:30" x14ac:dyDescent="0.25">
      <c r="AD15489"/>
    </row>
    <row r="15490" spans="30:30" x14ac:dyDescent="0.25">
      <c r="AD15490"/>
    </row>
    <row r="15491" spans="30:30" x14ac:dyDescent="0.25">
      <c r="AD15491"/>
    </row>
    <row r="15492" spans="30:30" x14ac:dyDescent="0.25">
      <c r="AD15492"/>
    </row>
    <row r="15493" spans="30:30" x14ac:dyDescent="0.25">
      <c r="AD15493"/>
    </row>
    <row r="15494" spans="30:30" x14ac:dyDescent="0.25">
      <c r="AD15494"/>
    </row>
    <row r="15495" spans="30:30" x14ac:dyDescent="0.25">
      <c r="AD15495"/>
    </row>
    <row r="15496" spans="30:30" x14ac:dyDescent="0.25">
      <c r="AD15496"/>
    </row>
    <row r="15497" spans="30:30" x14ac:dyDescent="0.25">
      <c r="AD15497"/>
    </row>
    <row r="15498" spans="30:30" x14ac:dyDescent="0.25">
      <c r="AD15498"/>
    </row>
    <row r="15499" spans="30:30" x14ac:dyDescent="0.25">
      <c r="AD15499"/>
    </row>
    <row r="15500" spans="30:30" x14ac:dyDescent="0.25">
      <c r="AD15500"/>
    </row>
    <row r="15501" spans="30:30" x14ac:dyDescent="0.25">
      <c r="AD15501"/>
    </row>
    <row r="15502" spans="30:30" x14ac:dyDescent="0.25">
      <c r="AD15502"/>
    </row>
    <row r="15503" spans="30:30" x14ac:dyDescent="0.25">
      <c r="AD15503"/>
    </row>
    <row r="15504" spans="30:30" x14ac:dyDescent="0.25">
      <c r="AD15504"/>
    </row>
    <row r="15505" spans="30:30" x14ac:dyDescent="0.25">
      <c r="AD15505"/>
    </row>
    <row r="15506" spans="30:30" x14ac:dyDescent="0.25">
      <c r="AD15506"/>
    </row>
    <row r="15507" spans="30:30" x14ac:dyDescent="0.25">
      <c r="AD15507"/>
    </row>
    <row r="15508" spans="30:30" x14ac:dyDescent="0.25">
      <c r="AD15508"/>
    </row>
    <row r="15509" spans="30:30" x14ac:dyDescent="0.25">
      <c r="AD15509"/>
    </row>
    <row r="15510" spans="30:30" x14ac:dyDescent="0.25">
      <c r="AD15510"/>
    </row>
    <row r="15511" spans="30:30" x14ac:dyDescent="0.25">
      <c r="AD15511"/>
    </row>
    <row r="15512" spans="30:30" x14ac:dyDescent="0.25">
      <c r="AD15512"/>
    </row>
    <row r="15513" spans="30:30" x14ac:dyDescent="0.25">
      <c r="AD15513"/>
    </row>
    <row r="15514" spans="30:30" x14ac:dyDescent="0.25">
      <c r="AD15514"/>
    </row>
    <row r="15515" spans="30:30" x14ac:dyDescent="0.25">
      <c r="AD15515"/>
    </row>
    <row r="15516" spans="30:30" x14ac:dyDescent="0.25">
      <c r="AD15516"/>
    </row>
    <row r="15517" spans="30:30" x14ac:dyDescent="0.25">
      <c r="AD15517"/>
    </row>
    <row r="15518" spans="30:30" x14ac:dyDescent="0.25">
      <c r="AD15518"/>
    </row>
    <row r="15519" spans="30:30" x14ac:dyDescent="0.25">
      <c r="AD15519"/>
    </row>
    <row r="15520" spans="30:30" x14ac:dyDescent="0.25">
      <c r="AD15520"/>
    </row>
    <row r="15521" spans="30:30" x14ac:dyDescent="0.25">
      <c r="AD15521"/>
    </row>
    <row r="15522" spans="30:30" x14ac:dyDescent="0.25">
      <c r="AD15522"/>
    </row>
    <row r="15523" spans="30:30" x14ac:dyDescent="0.25">
      <c r="AD15523"/>
    </row>
    <row r="15524" spans="30:30" x14ac:dyDescent="0.25">
      <c r="AD15524"/>
    </row>
    <row r="15525" spans="30:30" x14ac:dyDescent="0.25">
      <c r="AD15525"/>
    </row>
    <row r="15526" spans="30:30" x14ac:dyDescent="0.25">
      <c r="AD15526"/>
    </row>
    <row r="15527" spans="30:30" x14ac:dyDescent="0.25">
      <c r="AD15527"/>
    </row>
    <row r="15528" spans="30:30" x14ac:dyDescent="0.25">
      <c r="AD15528"/>
    </row>
    <row r="15529" spans="30:30" x14ac:dyDescent="0.25">
      <c r="AD15529"/>
    </row>
    <row r="15530" spans="30:30" x14ac:dyDescent="0.25">
      <c r="AD15530"/>
    </row>
    <row r="15531" spans="30:30" x14ac:dyDescent="0.25">
      <c r="AD15531"/>
    </row>
    <row r="15532" spans="30:30" x14ac:dyDescent="0.25">
      <c r="AD15532"/>
    </row>
    <row r="15533" spans="30:30" x14ac:dyDescent="0.25">
      <c r="AD15533"/>
    </row>
    <row r="15534" spans="30:30" x14ac:dyDescent="0.25">
      <c r="AD15534"/>
    </row>
    <row r="15535" spans="30:30" x14ac:dyDescent="0.25">
      <c r="AD15535"/>
    </row>
    <row r="15536" spans="30:30" x14ac:dyDescent="0.25">
      <c r="AD15536"/>
    </row>
    <row r="15537" spans="30:30" x14ac:dyDescent="0.25">
      <c r="AD15537"/>
    </row>
    <row r="15538" spans="30:30" x14ac:dyDescent="0.25">
      <c r="AD15538"/>
    </row>
    <row r="15539" spans="30:30" x14ac:dyDescent="0.25">
      <c r="AD15539"/>
    </row>
    <row r="15540" spans="30:30" x14ac:dyDescent="0.25">
      <c r="AD15540"/>
    </row>
    <row r="15541" spans="30:30" x14ac:dyDescent="0.25">
      <c r="AD15541"/>
    </row>
    <row r="15542" spans="30:30" x14ac:dyDescent="0.25">
      <c r="AD15542"/>
    </row>
    <row r="15543" spans="30:30" x14ac:dyDescent="0.25">
      <c r="AD15543"/>
    </row>
    <row r="15544" spans="30:30" x14ac:dyDescent="0.25">
      <c r="AD15544"/>
    </row>
    <row r="15545" spans="30:30" x14ac:dyDescent="0.25">
      <c r="AD15545"/>
    </row>
    <row r="15546" spans="30:30" x14ac:dyDescent="0.25">
      <c r="AD15546"/>
    </row>
    <row r="15547" spans="30:30" x14ac:dyDescent="0.25">
      <c r="AD15547"/>
    </row>
    <row r="15548" spans="30:30" x14ac:dyDescent="0.25">
      <c r="AD15548"/>
    </row>
    <row r="15549" spans="30:30" x14ac:dyDescent="0.25">
      <c r="AD15549"/>
    </row>
    <row r="15550" spans="30:30" x14ac:dyDescent="0.25">
      <c r="AD15550"/>
    </row>
    <row r="15551" spans="30:30" x14ac:dyDescent="0.25">
      <c r="AD15551"/>
    </row>
    <row r="15552" spans="30:30" x14ac:dyDescent="0.25">
      <c r="AD15552"/>
    </row>
    <row r="15553" spans="30:30" x14ac:dyDescent="0.25">
      <c r="AD15553"/>
    </row>
    <row r="15554" spans="30:30" x14ac:dyDescent="0.25">
      <c r="AD15554"/>
    </row>
    <row r="15555" spans="30:30" x14ac:dyDescent="0.25">
      <c r="AD15555"/>
    </row>
    <row r="15556" spans="30:30" x14ac:dyDescent="0.25">
      <c r="AD15556"/>
    </row>
    <row r="15557" spans="30:30" x14ac:dyDescent="0.25">
      <c r="AD15557"/>
    </row>
    <row r="15558" spans="30:30" x14ac:dyDescent="0.25">
      <c r="AD15558"/>
    </row>
    <row r="15559" spans="30:30" x14ac:dyDescent="0.25">
      <c r="AD15559"/>
    </row>
    <row r="15560" spans="30:30" x14ac:dyDescent="0.25">
      <c r="AD15560"/>
    </row>
    <row r="15561" spans="30:30" x14ac:dyDescent="0.25">
      <c r="AD15561"/>
    </row>
    <row r="15562" spans="30:30" x14ac:dyDescent="0.25">
      <c r="AD15562"/>
    </row>
    <row r="15563" spans="30:30" x14ac:dyDescent="0.25">
      <c r="AD15563"/>
    </row>
    <row r="15564" spans="30:30" x14ac:dyDescent="0.25">
      <c r="AD15564"/>
    </row>
    <row r="15565" spans="30:30" x14ac:dyDescent="0.25">
      <c r="AD15565"/>
    </row>
    <row r="15566" spans="30:30" x14ac:dyDescent="0.25">
      <c r="AD15566"/>
    </row>
    <row r="15567" spans="30:30" x14ac:dyDescent="0.25">
      <c r="AD15567"/>
    </row>
    <row r="15568" spans="30:30" x14ac:dyDescent="0.25">
      <c r="AD15568"/>
    </row>
    <row r="15569" spans="30:30" x14ac:dyDescent="0.25">
      <c r="AD15569"/>
    </row>
    <row r="15570" spans="30:30" x14ac:dyDescent="0.25">
      <c r="AD15570"/>
    </row>
    <row r="15571" spans="30:30" x14ac:dyDescent="0.25">
      <c r="AD15571"/>
    </row>
    <row r="15572" spans="30:30" x14ac:dyDescent="0.25">
      <c r="AD15572"/>
    </row>
    <row r="15573" spans="30:30" x14ac:dyDescent="0.25">
      <c r="AD15573"/>
    </row>
    <row r="15574" spans="30:30" x14ac:dyDescent="0.25">
      <c r="AD15574"/>
    </row>
    <row r="15575" spans="30:30" x14ac:dyDescent="0.25">
      <c r="AD15575"/>
    </row>
    <row r="15576" spans="30:30" x14ac:dyDescent="0.25">
      <c r="AD15576"/>
    </row>
    <row r="15577" spans="30:30" x14ac:dyDescent="0.25">
      <c r="AD15577"/>
    </row>
    <row r="15578" spans="30:30" x14ac:dyDescent="0.25">
      <c r="AD15578"/>
    </row>
    <row r="15579" spans="30:30" x14ac:dyDescent="0.25">
      <c r="AD15579"/>
    </row>
    <row r="15580" spans="30:30" x14ac:dyDescent="0.25">
      <c r="AD15580"/>
    </row>
    <row r="15581" spans="30:30" x14ac:dyDescent="0.25">
      <c r="AD15581"/>
    </row>
    <row r="15582" spans="30:30" x14ac:dyDescent="0.25">
      <c r="AD15582"/>
    </row>
    <row r="15583" spans="30:30" x14ac:dyDescent="0.25">
      <c r="AD15583"/>
    </row>
    <row r="15584" spans="30:30" x14ac:dyDescent="0.25">
      <c r="AD15584"/>
    </row>
    <row r="15585" spans="30:30" x14ac:dyDescent="0.25">
      <c r="AD15585"/>
    </row>
    <row r="15586" spans="30:30" x14ac:dyDescent="0.25">
      <c r="AD15586"/>
    </row>
    <row r="15587" spans="30:30" x14ac:dyDescent="0.25">
      <c r="AD15587"/>
    </row>
    <row r="15588" spans="30:30" x14ac:dyDescent="0.25">
      <c r="AD15588"/>
    </row>
    <row r="15589" spans="30:30" x14ac:dyDescent="0.25">
      <c r="AD15589"/>
    </row>
    <row r="15590" spans="30:30" x14ac:dyDescent="0.25">
      <c r="AD15590"/>
    </row>
    <row r="15591" spans="30:30" x14ac:dyDescent="0.25">
      <c r="AD15591"/>
    </row>
    <row r="15592" spans="30:30" x14ac:dyDescent="0.25">
      <c r="AD15592"/>
    </row>
    <row r="15593" spans="30:30" x14ac:dyDescent="0.25">
      <c r="AD15593"/>
    </row>
    <row r="15594" spans="30:30" x14ac:dyDescent="0.25">
      <c r="AD15594"/>
    </row>
    <row r="15595" spans="30:30" x14ac:dyDescent="0.25">
      <c r="AD15595"/>
    </row>
    <row r="15596" spans="30:30" x14ac:dyDescent="0.25">
      <c r="AD15596"/>
    </row>
    <row r="15597" spans="30:30" x14ac:dyDescent="0.25">
      <c r="AD15597"/>
    </row>
    <row r="15598" spans="30:30" x14ac:dyDescent="0.25">
      <c r="AD15598"/>
    </row>
    <row r="15599" spans="30:30" x14ac:dyDescent="0.25">
      <c r="AD15599"/>
    </row>
    <row r="15600" spans="30:30" x14ac:dyDescent="0.25">
      <c r="AD15600"/>
    </row>
    <row r="15601" spans="30:30" x14ac:dyDescent="0.25">
      <c r="AD15601"/>
    </row>
    <row r="15602" spans="30:30" x14ac:dyDescent="0.25">
      <c r="AD15602"/>
    </row>
    <row r="15603" spans="30:30" x14ac:dyDescent="0.25">
      <c r="AD15603"/>
    </row>
    <row r="15604" spans="30:30" x14ac:dyDescent="0.25">
      <c r="AD15604"/>
    </row>
    <row r="15605" spans="30:30" x14ac:dyDescent="0.25">
      <c r="AD15605"/>
    </row>
    <row r="15606" spans="30:30" x14ac:dyDescent="0.25">
      <c r="AD15606"/>
    </row>
    <row r="15607" spans="30:30" x14ac:dyDescent="0.25">
      <c r="AD15607"/>
    </row>
    <row r="15608" spans="30:30" x14ac:dyDescent="0.25">
      <c r="AD15608"/>
    </row>
    <row r="15609" spans="30:30" x14ac:dyDescent="0.25">
      <c r="AD15609"/>
    </row>
    <row r="15610" spans="30:30" x14ac:dyDescent="0.25">
      <c r="AD15610"/>
    </row>
    <row r="15611" spans="30:30" x14ac:dyDescent="0.25">
      <c r="AD15611"/>
    </row>
    <row r="15612" spans="30:30" x14ac:dyDescent="0.25">
      <c r="AD15612"/>
    </row>
    <row r="15613" spans="30:30" x14ac:dyDescent="0.25">
      <c r="AD15613"/>
    </row>
    <row r="15614" spans="30:30" x14ac:dyDescent="0.25">
      <c r="AD15614"/>
    </row>
    <row r="15615" spans="30:30" x14ac:dyDescent="0.25">
      <c r="AD15615"/>
    </row>
    <row r="15616" spans="30:30" x14ac:dyDescent="0.25">
      <c r="AD15616"/>
    </row>
    <row r="15617" spans="30:30" x14ac:dyDescent="0.25">
      <c r="AD15617"/>
    </row>
    <row r="15618" spans="30:30" x14ac:dyDescent="0.25">
      <c r="AD15618"/>
    </row>
    <row r="15619" spans="30:30" x14ac:dyDescent="0.25">
      <c r="AD15619"/>
    </row>
    <row r="15620" spans="30:30" x14ac:dyDescent="0.25">
      <c r="AD15620"/>
    </row>
    <row r="15621" spans="30:30" x14ac:dyDescent="0.25">
      <c r="AD15621"/>
    </row>
    <row r="15622" spans="30:30" x14ac:dyDescent="0.25">
      <c r="AD15622"/>
    </row>
    <row r="15623" spans="30:30" x14ac:dyDescent="0.25">
      <c r="AD15623"/>
    </row>
    <row r="15624" spans="30:30" x14ac:dyDescent="0.25">
      <c r="AD15624"/>
    </row>
    <row r="15625" spans="30:30" x14ac:dyDescent="0.25">
      <c r="AD15625"/>
    </row>
    <row r="15626" spans="30:30" x14ac:dyDescent="0.25">
      <c r="AD15626"/>
    </row>
    <row r="15627" spans="30:30" x14ac:dyDescent="0.25">
      <c r="AD15627"/>
    </row>
    <row r="15628" spans="30:30" x14ac:dyDescent="0.25">
      <c r="AD15628"/>
    </row>
    <row r="15629" spans="30:30" x14ac:dyDescent="0.25">
      <c r="AD15629"/>
    </row>
    <row r="15630" spans="30:30" x14ac:dyDescent="0.25">
      <c r="AD15630"/>
    </row>
    <row r="15631" spans="30:30" x14ac:dyDescent="0.25">
      <c r="AD15631"/>
    </row>
    <row r="15632" spans="30:30" x14ac:dyDescent="0.25">
      <c r="AD15632"/>
    </row>
    <row r="15633" spans="30:30" x14ac:dyDescent="0.25">
      <c r="AD15633"/>
    </row>
    <row r="15634" spans="30:30" x14ac:dyDescent="0.25">
      <c r="AD15634"/>
    </row>
    <row r="15635" spans="30:30" x14ac:dyDescent="0.25">
      <c r="AD15635"/>
    </row>
    <row r="15636" spans="30:30" x14ac:dyDescent="0.25">
      <c r="AD15636"/>
    </row>
    <row r="15637" spans="30:30" x14ac:dyDescent="0.25">
      <c r="AD15637"/>
    </row>
    <row r="15638" spans="30:30" x14ac:dyDescent="0.25">
      <c r="AD15638"/>
    </row>
    <row r="15639" spans="30:30" x14ac:dyDescent="0.25">
      <c r="AD15639"/>
    </row>
    <row r="15640" spans="30:30" x14ac:dyDescent="0.25">
      <c r="AD15640"/>
    </row>
    <row r="15641" spans="30:30" x14ac:dyDescent="0.25">
      <c r="AD15641"/>
    </row>
    <row r="15642" spans="30:30" x14ac:dyDescent="0.25">
      <c r="AD15642"/>
    </row>
    <row r="15643" spans="30:30" x14ac:dyDescent="0.25">
      <c r="AD15643"/>
    </row>
    <row r="15644" spans="30:30" x14ac:dyDescent="0.25">
      <c r="AD15644"/>
    </row>
    <row r="15645" spans="30:30" x14ac:dyDescent="0.25">
      <c r="AD15645"/>
    </row>
    <row r="15646" spans="30:30" x14ac:dyDescent="0.25">
      <c r="AD15646"/>
    </row>
    <row r="15647" spans="30:30" x14ac:dyDescent="0.25">
      <c r="AD15647"/>
    </row>
    <row r="15648" spans="30:30" x14ac:dyDescent="0.25">
      <c r="AD15648"/>
    </row>
    <row r="15649" spans="30:30" x14ac:dyDescent="0.25">
      <c r="AD15649"/>
    </row>
    <row r="15650" spans="30:30" x14ac:dyDescent="0.25">
      <c r="AD15650"/>
    </row>
    <row r="15651" spans="30:30" x14ac:dyDescent="0.25">
      <c r="AD15651"/>
    </row>
    <row r="15652" spans="30:30" x14ac:dyDescent="0.25">
      <c r="AD15652"/>
    </row>
    <row r="15653" spans="30:30" x14ac:dyDescent="0.25">
      <c r="AD15653"/>
    </row>
    <row r="15654" spans="30:30" x14ac:dyDescent="0.25">
      <c r="AD15654"/>
    </row>
    <row r="15655" spans="30:30" x14ac:dyDescent="0.25">
      <c r="AD15655"/>
    </row>
    <row r="15656" spans="30:30" x14ac:dyDescent="0.25">
      <c r="AD15656"/>
    </row>
    <row r="15657" spans="30:30" x14ac:dyDescent="0.25">
      <c r="AD15657"/>
    </row>
    <row r="15658" spans="30:30" x14ac:dyDescent="0.25">
      <c r="AD15658"/>
    </row>
    <row r="15659" spans="30:30" x14ac:dyDescent="0.25">
      <c r="AD15659"/>
    </row>
    <row r="15660" spans="30:30" x14ac:dyDescent="0.25">
      <c r="AD15660"/>
    </row>
    <row r="15661" spans="30:30" x14ac:dyDescent="0.25">
      <c r="AD15661"/>
    </row>
    <row r="15662" spans="30:30" x14ac:dyDescent="0.25">
      <c r="AD15662"/>
    </row>
    <row r="15663" spans="30:30" x14ac:dyDescent="0.25">
      <c r="AD15663"/>
    </row>
    <row r="15664" spans="30:30" x14ac:dyDescent="0.25">
      <c r="AD15664"/>
    </row>
    <row r="15665" spans="30:30" x14ac:dyDescent="0.25">
      <c r="AD15665"/>
    </row>
    <row r="15666" spans="30:30" x14ac:dyDescent="0.25">
      <c r="AD15666"/>
    </row>
    <row r="15667" spans="30:30" x14ac:dyDescent="0.25">
      <c r="AD15667"/>
    </row>
    <row r="15668" spans="30:30" x14ac:dyDescent="0.25">
      <c r="AD15668"/>
    </row>
    <row r="15669" spans="30:30" x14ac:dyDescent="0.25">
      <c r="AD15669"/>
    </row>
    <row r="15670" spans="30:30" x14ac:dyDescent="0.25">
      <c r="AD15670"/>
    </row>
    <row r="15671" spans="30:30" x14ac:dyDescent="0.25">
      <c r="AD15671"/>
    </row>
    <row r="15672" spans="30:30" x14ac:dyDescent="0.25">
      <c r="AD15672"/>
    </row>
    <row r="15673" spans="30:30" x14ac:dyDescent="0.25">
      <c r="AD15673"/>
    </row>
    <row r="15674" spans="30:30" x14ac:dyDescent="0.25">
      <c r="AD15674"/>
    </row>
    <row r="15675" spans="30:30" x14ac:dyDescent="0.25">
      <c r="AD15675"/>
    </row>
    <row r="15676" spans="30:30" x14ac:dyDescent="0.25">
      <c r="AD15676"/>
    </row>
    <row r="15677" spans="30:30" x14ac:dyDescent="0.25">
      <c r="AD15677"/>
    </row>
    <row r="15678" spans="30:30" x14ac:dyDescent="0.25">
      <c r="AD15678"/>
    </row>
    <row r="15679" spans="30:30" x14ac:dyDescent="0.25">
      <c r="AD15679"/>
    </row>
    <row r="15680" spans="30:30" x14ac:dyDescent="0.25">
      <c r="AD15680"/>
    </row>
    <row r="15681" spans="30:30" x14ac:dyDescent="0.25">
      <c r="AD15681"/>
    </row>
    <row r="15682" spans="30:30" x14ac:dyDescent="0.25">
      <c r="AD15682"/>
    </row>
    <row r="15683" spans="30:30" x14ac:dyDescent="0.25">
      <c r="AD15683"/>
    </row>
    <row r="15684" spans="30:30" x14ac:dyDescent="0.25">
      <c r="AD15684"/>
    </row>
    <row r="15685" spans="30:30" x14ac:dyDescent="0.25">
      <c r="AD15685"/>
    </row>
    <row r="15686" spans="30:30" x14ac:dyDescent="0.25">
      <c r="AD15686"/>
    </row>
    <row r="15687" spans="30:30" x14ac:dyDescent="0.25">
      <c r="AD15687"/>
    </row>
    <row r="15688" spans="30:30" x14ac:dyDescent="0.25">
      <c r="AD15688"/>
    </row>
    <row r="15689" spans="30:30" x14ac:dyDescent="0.25">
      <c r="AD15689"/>
    </row>
    <row r="15690" spans="30:30" x14ac:dyDescent="0.25">
      <c r="AD15690"/>
    </row>
    <row r="15691" spans="30:30" x14ac:dyDescent="0.25">
      <c r="AD15691"/>
    </row>
    <row r="15692" spans="30:30" x14ac:dyDescent="0.25">
      <c r="AD15692"/>
    </row>
    <row r="15693" spans="30:30" x14ac:dyDescent="0.25">
      <c r="AD15693"/>
    </row>
    <row r="15694" spans="30:30" x14ac:dyDescent="0.25">
      <c r="AD15694"/>
    </row>
    <row r="15695" spans="30:30" x14ac:dyDescent="0.25">
      <c r="AD15695"/>
    </row>
    <row r="15696" spans="30:30" x14ac:dyDescent="0.25">
      <c r="AD15696"/>
    </row>
    <row r="15697" spans="30:30" x14ac:dyDescent="0.25">
      <c r="AD15697"/>
    </row>
    <row r="15698" spans="30:30" x14ac:dyDescent="0.25">
      <c r="AD15698"/>
    </row>
    <row r="15699" spans="30:30" x14ac:dyDescent="0.25">
      <c r="AD15699"/>
    </row>
    <row r="15700" spans="30:30" x14ac:dyDescent="0.25">
      <c r="AD15700"/>
    </row>
    <row r="15701" spans="30:30" x14ac:dyDescent="0.25">
      <c r="AD15701"/>
    </row>
    <row r="15702" spans="30:30" x14ac:dyDescent="0.25">
      <c r="AD15702"/>
    </row>
    <row r="15703" spans="30:30" x14ac:dyDescent="0.25">
      <c r="AD15703"/>
    </row>
    <row r="15704" spans="30:30" x14ac:dyDescent="0.25">
      <c r="AD15704"/>
    </row>
    <row r="15705" spans="30:30" x14ac:dyDescent="0.25">
      <c r="AD15705"/>
    </row>
    <row r="15706" spans="30:30" x14ac:dyDescent="0.25">
      <c r="AD15706"/>
    </row>
    <row r="15707" spans="30:30" x14ac:dyDescent="0.25">
      <c r="AD15707"/>
    </row>
    <row r="15708" spans="30:30" x14ac:dyDescent="0.25">
      <c r="AD15708"/>
    </row>
    <row r="15709" spans="30:30" x14ac:dyDescent="0.25">
      <c r="AD15709"/>
    </row>
    <row r="15710" spans="30:30" x14ac:dyDescent="0.25">
      <c r="AD15710"/>
    </row>
    <row r="15711" spans="30:30" x14ac:dyDescent="0.25">
      <c r="AD15711"/>
    </row>
    <row r="15712" spans="30:30" x14ac:dyDescent="0.25">
      <c r="AD15712"/>
    </row>
    <row r="15713" spans="30:30" x14ac:dyDescent="0.25">
      <c r="AD15713"/>
    </row>
    <row r="15714" spans="30:30" x14ac:dyDescent="0.25">
      <c r="AD15714"/>
    </row>
    <row r="15715" spans="30:30" x14ac:dyDescent="0.25">
      <c r="AD15715"/>
    </row>
    <row r="15716" spans="30:30" x14ac:dyDescent="0.25">
      <c r="AD15716"/>
    </row>
    <row r="15717" spans="30:30" x14ac:dyDescent="0.25">
      <c r="AD15717"/>
    </row>
    <row r="15718" spans="30:30" x14ac:dyDescent="0.25">
      <c r="AD15718"/>
    </row>
    <row r="15719" spans="30:30" x14ac:dyDescent="0.25">
      <c r="AD15719"/>
    </row>
    <row r="15720" spans="30:30" x14ac:dyDescent="0.25">
      <c r="AD15720"/>
    </row>
    <row r="15721" spans="30:30" x14ac:dyDescent="0.25">
      <c r="AD15721"/>
    </row>
    <row r="15722" spans="30:30" x14ac:dyDescent="0.25">
      <c r="AD15722"/>
    </row>
    <row r="15723" spans="30:30" x14ac:dyDescent="0.25">
      <c r="AD15723"/>
    </row>
    <row r="15724" spans="30:30" x14ac:dyDescent="0.25">
      <c r="AD15724"/>
    </row>
    <row r="15725" spans="30:30" x14ac:dyDescent="0.25">
      <c r="AD15725"/>
    </row>
    <row r="15726" spans="30:30" x14ac:dyDescent="0.25">
      <c r="AD15726"/>
    </row>
    <row r="15727" spans="30:30" x14ac:dyDescent="0.25">
      <c r="AD15727"/>
    </row>
    <row r="15728" spans="30:30" x14ac:dyDescent="0.25">
      <c r="AD15728"/>
    </row>
    <row r="15729" spans="30:30" x14ac:dyDescent="0.25">
      <c r="AD15729"/>
    </row>
    <row r="15730" spans="30:30" x14ac:dyDescent="0.25">
      <c r="AD15730"/>
    </row>
    <row r="15731" spans="30:30" x14ac:dyDescent="0.25">
      <c r="AD15731"/>
    </row>
    <row r="15732" spans="30:30" x14ac:dyDescent="0.25">
      <c r="AD15732"/>
    </row>
    <row r="15733" spans="30:30" x14ac:dyDescent="0.25">
      <c r="AD15733"/>
    </row>
    <row r="15734" spans="30:30" x14ac:dyDescent="0.25">
      <c r="AD15734"/>
    </row>
    <row r="15735" spans="30:30" x14ac:dyDescent="0.25">
      <c r="AD15735"/>
    </row>
    <row r="15736" spans="30:30" x14ac:dyDescent="0.25">
      <c r="AD15736"/>
    </row>
    <row r="15737" spans="30:30" x14ac:dyDescent="0.25">
      <c r="AD15737"/>
    </row>
    <row r="15738" spans="30:30" x14ac:dyDescent="0.25">
      <c r="AD15738"/>
    </row>
    <row r="15739" spans="30:30" x14ac:dyDescent="0.25">
      <c r="AD15739"/>
    </row>
    <row r="15740" spans="30:30" x14ac:dyDescent="0.25">
      <c r="AD15740"/>
    </row>
    <row r="15741" spans="30:30" x14ac:dyDescent="0.25">
      <c r="AD15741"/>
    </row>
    <row r="15742" spans="30:30" x14ac:dyDescent="0.25">
      <c r="AD15742"/>
    </row>
    <row r="15743" spans="30:30" x14ac:dyDescent="0.25">
      <c r="AD15743"/>
    </row>
    <row r="15744" spans="30:30" x14ac:dyDescent="0.25">
      <c r="AD15744"/>
    </row>
    <row r="15745" spans="30:30" x14ac:dyDescent="0.25">
      <c r="AD15745"/>
    </row>
    <row r="15746" spans="30:30" x14ac:dyDescent="0.25">
      <c r="AD15746"/>
    </row>
    <row r="15747" spans="30:30" x14ac:dyDescent="0.25">
      <c r="AD15747"/>
    </row>
    <row r="15748" spans="30:30" x14ac:dyDescent="0.25">
      <c r="AD15748"/>
    </row>
    <row r="15749" spans="30:30" x14ac:dyDescent="0.25">
      <c r="AD15749"/>
    </row>
    <row r="15750" spans="30:30" x14ac:dyDescent="0.25">
      <c r="AD15750"/>
    </row>
    <row r="15751" spans="30:30" x14ac:dyDescent="0.25">
      <c r="AD15751"/>
    </row>
    <row r="15752" spans="30:30" x14ac:dyDescent="0.25">
      <c r="AD15752"/>
    </row>
    <row r="15753" spans="30:30" x14ac:dyDescent="0.25">
      <c r="AD15753"/>
    </row>
    <row r="15754" spans="30:30" x14ac:dyDescent="0.25">
      <c r="AD15754"/>
    </row>
    <row r="15755" spans="30:30" x14ac:dyDescent="0.25">
      <c r="AD15755"/>
    </row>
    <row r="15756" spans="30:30" x14ac:dyDescent="0.25">
      <c r="AD15756"/>
    </row>
    <row r="15757" spans="30:30" x14ac:dyDescent="0.25">
      <c r="AD15757"/>
    </row>
    <row r="15758" spans="30:30" x14ac:dyDescent="0.25">
      <c r="AD15758"/>
    </row>
    <row r="15759" spans="30:30" x14ac:dyDescent="0.25">
      <c r="AD15759"/>
    </row>
    <row r="15760" spans="30:30" x14ac:dyDescent="0.25">
      <c r="AD15760"/>
    </row>
    <row r="15761" spans="30:30" x14ac:dyDescent="0.25">
      <c r="AD15761"/>
    </row>
    <row r="15762" spans="30:30" x14ac:dyDescent="0.25">
      <c r="AD15762"/>
    </row>
    <row r="15763" spans="30:30" x14ac:dyDescent="0.25">
      <c r="AD15763"/>
    </row>
    <row r="15764" spans="30:30" x14ac:dyDescent="0.25">
      <c r="AD15764"/>
    </row>
    <row r="15765" spans="30:30" x14ac:dyDescent="0.25">
      <c r="AD15765"/>
    </row>
    <row r="15766" spans="30:30" x14ac:dyDescent="0.25">
      <c r="AD15766"/>
    </row>
    <row r="15767" spans="30:30" x14ac:dyDescent="0.25">
      <c r="AD15767"/>
    </row>
    <row r="15768" spans="30:30" x14ac:dyDescent="0.25">
      <c r="AD15768"/>
    </row>
    <row r="15769" spans="30:30" x14ac:dyDescent="0.25">
      <c r="AD15769"/>
    </row>
    <row r="15770" spans="30:30" x14ac:dyDescent="0.25">
      <c r="AD15770"/>
    </row>
    <row r="15771" spans="30:30" x14ac:dyDescent="0.25">
      <c r="AD15771"/>
    </row>
    <row r="15772" spans="30:30" x14ac:dyDescent="0.25">
      <c r="AD15772"/>
    </row>
    <row r="15773" spans="30:30" x14ac:dyDescent="0.25">
      <c r="AD15773"/>
    </row>
    <row r="15774" spans="30:30" x14ac:dyDescent="0.25">
      <c r="AD15774"/>
    </row>
    <row r="15775" spans="30:30" x14ac:dyDescent="0.25">
      <c r="AD15775"/>
    </row>
    <row r="15776" spans="30:30" x14ac:dyDescent="0.25">
      <c r="AD15776"/>
    </row>
    <row r="15777" spans="30:30" x14ac:dyDescent="0.25">
      <c r="AD15777"/>
    </row>
    <row r="15778" spans="30:30" x14ac:dyDescent="0.25">
      <c r="AD15778"/>
    </row>
    <row r="15779" spans="30:30" x14ac:dyDescent="0.25">
      <c r="AD15779"/>
    </row>
    <row r="15780" spans="30:30" x14ac:dyDescent="0.25">
      <c r="AD15780"/>
    </row>
    <row r="15781" spans="30:30" x14ac:dyDescent="0.25">
      <c r="AD15781"/>
    </row>
    <row r="15782" spans="30:30" x14ac:dyDescent="0.25">
      <c r="AD15782"/>
    </row>
    <row r="15783" spans="30:30" x14ac:dyDescent="0.25">
      <c r="AD15783"/>
    </row>
    <row r="15784" spans="30:30" x14ac:dyDescent="0.25">
      <c r="AD15784"/>
    </row>
    <row r="15785" spans="30:30" x14ac:dyDescent="0.25">
      <c r="AD15785"/>
    </row>
    <row r="15786" spans="30:30" x14ac:dyDescent="0.25">
      <c r="AD15786"/>
    </row>
    <row r="15787" spans="30:30" x14ac:dyDescent="0.25">
      <c r="AD15787"/>
    </row>
    <row r="15788" spans="30:30" x14ac:dyDescent="0.25">
      <c r="AD15788"/>
    </row>
    <row r="15789" spans="30:30" x14ac:dyDescent="0.25">
      <c r="AD15789"/>
    </row>
    <row r="15790" spans="30:30" x14ac:dyDescent="0.25">
      <c r="AD15790"/>
    </row>
    <row r="15791" spans="30:30" x14ac:dyDescent="0.25">
      <c r="AD15791"/>
    </row>
    <row r="15792" spans="30:30" x14ac:dyDescent="0.25">
      <c r="AD15792"/>
    </row>
    <row r="15793" spans="30:30" x14ac:dyDescent="0.25">
      <c r="AD15793"/>
    </row>
    <row r="15794" spans="30:30" x14ac:dyDescent="0.25">
      <c r="AD15794"/>
    </row>
    <row r="15795" spans="30:30" x14ac:dyDescent="0.25">
      <c r="AD15795"/>
    </row>
    <row r="15796" spans="30:30" x14ac:dyDescent="0.25">
      <c r="AD15796"/>
    </row>
    <row r="15797" spans="30:30" x14ac:dyDescent="0.25">
      <c r="AD15797"/>
    </row>
    <row r="15798" spans="30:30" x14ac:dyDescent="0.25">
      <c r="AD15798"/>
    </row>
    <row r="15799" spans="30:30" x14ac:dyDescent="0.25">
      <c r="AD15799"/>
    </row>
    <row r="15800" spans="30:30" x14ac:dyDescent="0.25">
      <c r="AD15800"/>
    </row>
    <row r="15801" spans="30:30" x14ac:dyDescent="0.25">
      <c r="AD15801"/>
    </row>
    <row r="15802" spans="30:30" x14ac:dyDescent="0.25">
      <c r="AD15802"/>
    </row>
    <row r="15803" spans="30:30" x14ac:dyDescent="0.25">
      <c r="AD15803"/>
    </row>
    <row r="15804" spans="30:30" x14ac:dyDescent="0.25">
      <c r="AD15804"/>
    </row>
    <row r="15805" spans="30:30" x14ac:dyDescent="0.25">
      <c r="AD15805"/>
    </row>
    <row r="15806" spans="30:30" x14ac:dyDescent="0.25">
      <c r="AD15806"/>
    </row>
    <row r="15807" spans="30:30" x14ac:dyDescent="0.25">
      <c r="AD15807"/>
    </row>
    <row r="15808" spans="30:30" x14ac:dyDescent="0.25">
      <c r="AD15808"/>
    </row>
    <row r="15809" spans="30:30" x14ac:dyDescent="0.25">
      <c r="AD15809"/>
    </row>
    <row r="15810" spans="30:30" x14ac:dyDescent="0.25">
      <c r="AD15810"/>
    </row>
    <row r="15811" spans="30:30" x14ac:dyDescent="0.25">
      <c r="AD15811"/>
    </row>
    <row r="15812" spans="30:30" x14ac:dyDescent="0.25">
      <c r="AD15812"/>
    </row>
    <row r="15813" spans="30:30" x14ac:dyDescent="0.25">
      <c r="AD15813"/>
    </row>
    <row r="15814" spans="30:30" x14ac:dyDescent="0.25">
      <c r="AD15814"/>
    </row>
    <row r="15815" spans="30:30" x14ac:dyDescent="0.25">
      <c r="AD15815"/>
    </row>
    <row r="15816" spans="30:30" x14ac:dyDescent="0.25">
      <c r="AD15816"/>
    </row>
    <row r="15817" spans="30:30" x14ac:dyDescent="0.25">
      <c r="AD15817"/>
    </row>
    <row r="15818" spans="30:30" x14ac:dyDescent="0.25">
      <c r="AD15818"/>
    </row>
    <row r="15819" spans="30:30" x14ac:dyDescent="0.25">
      <c r="AD15819"/>
    </row>
    <row r="15820" spans="30:30" x14ac:dyDescent="0.25">
      <c r="AD15820"/>
    </row>
    <row r="15821" spans="30:30" x14ac:dyDescent="0.25">
      <c r="AD15821"/>
    </row>
    <row r="15822" spans="30:30" x14ac:dyDescent="0.25">
      <c r="AD15822"/>
    </row>
    <row r="15823" spans="30:30" x14ac:dyDescent="0.25">
      <c r="AD15823"/>
    </row>
    <row r="15824" spans="30:30" x14ac:dyDescent="0.25">
      <c r="AD15824"/>
    </row>
    <row r="15825" spans="30:30" x14ac:dyDescent="0.25">
      <c r="AD15825"/>
    </row>
    <row r="15826" spans="30:30" x14ac:dyDescent="0.25">
      <c r="AD15826"/>
    </row>
    <row r="15827" spans="30:30" x14ac:dyDescent="0.25">
      <c r="AD15827"/>
    </row>
    <row r="15828" spans="30:30" x14ac:dyDescent="0.25">
      <c r="AD15828"/>
    </row>
    <row r="15829" spans="30:30" x14ac:dyDescent="0.25">
      <c r="AD15829"/>
    </row>
    <row r="15830" spans="30:30" x14ac:dyDescent="0.25">
      <c r="AD15830"/>
    </row>
    <row r="15831" spans="30:30" x14ac:dyDescent="0.25">
      <c r="AD15831"/>
    </row>
    <row r="15832" spans="30:30" x14ac:dyDescent="0.25">
      <c r="AD15832"/>
    </row>
    <row r="15833" spans="30:30" x14ac:dyDescent="0.25">
      <c r="AD15833"/>
    </row>
    <row r="15834" spans="30:30" x14ac:dyDescent="0.25">
      <c r="AD15834"/>
    </row>
    <row r="15835" spans="30:30" x14ac:dyDescent="0.25">
      <c r="AD15835"/>
    </row>
    <row r="15836" spans="30:30" x14ac:dyDescent="0.25">
      <c r="AD15836"/>
    </row>
    <row r="15837" spans="30:30" x14ac:dyDescent="0.25">
      <c r="AD15837"/>
    </row>
    <row r="15838" spans="30:30" x14ac:dyDescent="0.25">
      <c r="AD15838"/>
    </row>
    <row r="15839" spans="30:30" x14ac:dyDescent="0.25">
      <c r="AD15839"/>
    </row>
    <row r="15840" spans="30:30" x14ac:dyDescent="0.25">
      <c r="AD15840"/>
    </row>
    <row r="15841" spans="30:30" x14ac:dyDescent="0.25">
      <c r="AD15841"/>
    </row>
    <row r="15842" spans="30:30" x14ac:dyDescent="0.25">
      <c r="AD15842"/>
    </row>
    <row r="15843" spans="30:30" x14ac:dyDescent="0.25">
      <c r="AD15843"/>
    </row>
    <row r="15844" spans="30:30" x14ac:dyDescent="0.25">
      <c r="AD15844"/>
    </row>
    <row r="15845" spans="30:30" x14ac:dyDescent="0.25">
      <c r="AD15845"/>
    </row>
    <row r="15846" spans="30:30" x14ac:dyDescent="0.25">
      <c r="AD15846"/>
    </row>
    <row r="15847" spans="30:30" x14ac:dyDescent="0.25">
      <c r="AD15847"/>
    </row>
    <row r="15848" spans="30:30" x14ac:dyDescent="0.25">
      <c r="AD15848"/>
    </row>
    <row r="15849" spans="30:30" x14ac:dyDescent="0.25">
      <c r="AD15849"/>
    </row>
    <row r="15850" spans="30:30" x14ac:dyDescent="0.25">
      <c r="AD15850"/>
    </row>
    <row r="15851" spans="30:30" x14ac:dyDescent="0.25">
      <c r="AD15851"/>
    </row>
    <row r="15852" spans="30:30" x14ac:dyDescent="0.25">
      <c r="AD15852"/>
    </row>
    <row r="15853" spans="30:30" x14ac:dyDescent="0.25">
      <c r="AD15853"/>
    </row>
    <row r="15854" spans="30:30" x14ac:dyDescent="0.25">
      <c r="AD15854"/>
    </row>
    <row r="15855" spans="30:30" x14ac:dyDescent="0.25">
      <c r="AD15855"/>
    </row>
    <row r="15856" spans="30:30" x14ac:dyDescent="0.25">
      <c r="AD15856"/>
    </row>
    <row r="15857" spans="30:30" x14ac:dyDescent="0.25">
      <c r="AD15857"/>
    </row>
    <row r="15858" spans="30:30" x14ac:dyDescent="0.25">
      <c r="AD15858"/>
    </row>
    <row r="15859" spans="30:30" x14ac:dyDescent="0.25">
      <c r="AD15859"/>
    </row>
    <row r="15860" spans="30:30" x14ac:dyDescent="0.25">
      <c r="AD15860"/>
    </row>
    <row r="15861" spans="30:30" x14ac:dyDescent="0.25">
      <c r="AD15861"/>
    </row>
    <row r="15862" spans="30:30" x14ac:dyDescent="0.25">
      <c r="AD15862"/>
    </row>
    <row r="15863" spans="30:30" x14ac:dyDescent="0.25">
      <c r="AD15863"/>
    </row>
    <row r="15864" spans="30:30" x14ac:dyDescent="0.25">
      <c r="AD15864"/>
    </row>
    <row r="15865" spans="30:30" x14ac:dyDescent="0.25">
      <c r="AD15865"/>
    </row>
    <row r="15866" spans="30:30" x14ac:dyDescent="0.25">
      <c r="AD15866"/>
    </row>
    <row r="15867" spans="30:30" x14ac:dyDescent="0.25">
      <c r="AD15867"/>
    </row>
    <row r="15868" spans="30:30" x14ac:dyDescent="0.25">
      <c r="AD15868"/>
    </row>
    <row r="15869" spans="30:30" x14ac:dyDescent="0.25">
      <c r="AD15869"/>
    </row>
    <row r="15870" spans="30:30" x14ac:dyDescent="0.25">
      <c r="AD15870"/>
    </row>
    <row r="15871" spans="30:30" x14ac:dyDescent="0.25">
      <c r="AD15871"/>
    </row>
    <row r="15872" spans="30:30" x14ac:dyDescent="0.25">
      <c r="AD15872"/>
    </row>
    <row r="15873" spans="30:30" x14ac:dyDescent="0.25">
      <c r="AD15873"/>
    </row>
    <row r="15874" spans="30:30" x14ac:dyDescent="0.25">
      <c r="AD15874"/>
    </row>
    <row r="15875" spans="30:30" x14ac:dyDescent="0.25">
      <c r="AD15875"/>
    </row>
    <row r="15876" spans="30:30" x14ac:dyDescent="0.25">
      <c r="AD15876"/>
    </row>
    <row r="15877" spans="30:30" x14ac:dyDescent="0.25">
      <c r="AD15877"/>
    </row>
    <row r="15878" spans="30:30" x14ac:dyDescent="0.25">
      <c r="AD15878"/>
    </row>
    <row r="15879" spans="30:30" x14ac:dyDescent="0.25">
      <c r="AD15879"/>
    </row>
    <row r="15880" spans="30:30" x14ac:dyDescent="0.25">
      <c r="AD15880"/>
    </row>
    <row r="15881" spans="30:30" x14ac:dyDescent="0.25">
      <c r="AD15881"/>
    </row>
    <row r="15882" spans="30:30" x14ac:dyDescent="0.25">
      <c r="AD15882"/>
    </row>
    <row r="15883" spans="30:30" x14ac:dyDescent="0.25">
      <c r="AD15883"/>
    </row>
    <row r="15884" spans="30:30" x14ac:dyDescent="0.25">
      <c r="AD15884"/>
    </row>
    <row r="15885" spans="30:30" x14ac:dyDescent="0.25">
      <c r="AD15885"/>
    </row>
    <row r="15886" spans="30:30" x14ac:dyDescent="0.25">
      <c r="AD15886"/>
    </row>
    <row r="15887" spans="30:30" x14ac:dyDescent="0.25">
      <c r="AD15887"/>
    </row>
    <row r="15888" spans="30:30" x14ac:dyDescent="0.25">
      <c r="AD15888"/>
    </row>
    <row r="15889" spans="30:30" x14ac:dyDescent="0.25">
      <c r="AD15889"/>
    </row>
    <row r="15890" spans="30:30" x14ac:dyDescent="0.25">
      <c r="AD15890"/>
    </row>
    <row r="15891" spans="30:30" x14ac:dyDescent="0.25">
      <c r="AD15891"/>
    </row>
    <row r="15892" spans="30:30" x14ac:dyDescent="0.25">
      <c r="AD15892"/>
    </row>
    <row r="15893" spans="30:30" x14ac:dyDescent="0.25">
      <c r="AD15893"/>
    </row>
    <row r="15894" spans="30:30" x14ac:dyDescent="0.25">
      <c r="AD15894"/>
    </row>
    <row r="15895" spans="30:30" x14ac:dyDescent="0.25">
      <c r="AD15895"/>
    </row>
    <row r="15896" spans="30:30" x14ac:dyDescent="0.25">
      <c r="AD15896"/>
    </row>
    <row r="15897" spans="30:30" x14ac:dyDescent="0.25">
      <c r="AD15897"/>
    </row>
    <row r="15898" spans="30:30" x14ac:dyDescent="0.25">
      <c r="AD15898"/>
    </row>
    <row r="15899" spans="30:30" x14ac:dyDescent="0.25">
      <c r="AD15899"/>
    </row>
    <row r="15900" spans="30:30" x14ac:dyDescent="0.25">
      <c r="AD15900"/>
    </row>
    <row r="15901" spans="30:30" x14ac:dyDescent="0.25">
      <c r="AD15901"/>
    </row>
    <row r="15902" spans="30:30" x14ac:dyDescent="0.25">
      <c r="AD15902"/>
    </row>
    <row r="15903" spans="30:30" x14ac:dyDescent="0.25">
      <c r="AD15903"/>
    </row>
    <row r="15904" spans="30:30" x14ac:dyDescent="0.25">
      <c r="AD15904"/>
    </row>
    <row r="15905" spans="30:30" x14ac:dyDescent="0.25">
      <c r="AD15905"/>
    </row>
    <row r="15906" spans="30:30" x14ac:dyDescent="0.25">
      <c r="AD15906"/>
    </row>
    <row r="15907" spans="30:30" x14ac:dyDescent="0.25">
      <c r="AD15907"/>
    </row>
    <row r="15908" spans="30:30" x14ac:dyDescent="0.25">
      <c r="AD15908"/>
    </row>
    <row r="15909" spans="30:30" x14ac:dyDescent="0.25">
      <c r="AD15909"/>
    </row>
    <row r="15910" spans="30:30" x14ac:dyDescent="0.25">
      <c r="AD15910"/>
    </row>
    <row r="15911" spans="30:30" x14ac:dyDescent="0.25">
      <c r="AD15911"/>
    </row>
    <row r="15912" spans="30:30" x14ac:dyDescent="0.25">
      <c r="AD15912"/>
    </row>
    <row r="15913" spans="30:30" x14ac:dyDescent="0.25">
      <c r="AD15913"/>
    </row>
    <row r="15914" spans="30:30" x14ac:dyDescent="0.25">
      <c r="AD15914"/>
    </row>
    <row r="15915" spans="30:30" x14ac:dyDescent="0.25">
      <c r="AD15915"/>
    </row>
    <row r="15916" spans="30:30" x14ac:dyDescent="0.25">
      <c r="AD15916"/>
    </row>
    <row r="15917" spans="30:30" x14ac:dyDescent="0.25">
      <c r="AD15917"/>
    </row>
    <row r="15918" spans="30:30" x14ac:dyDescent="0.25">
      <c r="AD15918"/>
    </row>
    <row r="15919" spans="30:30" x14ac:dyDescent="0.25">
      <c r="AD15919"/>
    </row>
    <row r="15920" spans="30:30" x14ac:dyDescent="0.25">
      <c r="AD15920"/>
    </row>
    <row r="15921" spans="30:30" x14ac:dyDescent="0.25">
      <c r="AD15921"/>
    </row>
    <row r="15922" spans="30:30" x14ac:dyDescent="0.25">
      <c r="AD15922"/>
    </row>
    <row r="15923" spans="30:30" x14ac:dyDescent="0.25">
      <c r="AD15923"/>
    </row>
    <row r="15924" spans="30:30" x14ac:dyDescent="0.25">
      <c r="AD15924"/>
    </row>
    <row r="15925" spans="30:30" x14ac:dyDescent="0.25">
      <c r="AD15925"/>
    </row>
    <row r="15926" spans="30:30" x14ac:dyDescent="0.25">
      <c r="AD15926"/>
    </row>
    <row r="15927" spans="30:30" x14ac:dyDescent="0.25">
      <c r="AD15927"/>
    </row>
    <row r="15928" spans="30:30" x14ac:dyDescent="0.25">
      <c r="AD15928"/>
    </row>
    <row r="15929" spans="30:30" x14ac:dyDescent="0.25">
      <c r="AD15929"/>
    </row>
    <row r="15930" spans="30:30" x14ac:dyDescent="0.25">
      <c r="AD15930"/>
    </row>
    <row r="15931" spans="30:30" x14ac:dyDescent="0.25">
      <c r="AD15931"/>
    </row>
    <row r="15932" spans="30:30" x14ac:dyDescent="0.25">
      <c r="AD15932"/>
    </row>
    <row r="15933" spans="30:30" x14ac:dyDescent="0.25">
      <c r="AD15933"/>
    </row>
    <row r="15934" spans="30:30" x14ac:dyDescent="0.25">
      <c r="AD15934"/>
    </row>
    <row r="15935" spans="30:30" x14ac:dyDescent="0.25">
      <c r="AD15935"/>
    </row>
    <row r="15936" spans="30:30" x14ac:dyDescent="0.25">
      <c r="AD15936"/>
    </row>
    <row r="15937" spans="30:30" x14ac:dyDescent="0.25">
      <c r="AD15937"/>
    </row>
    <row r="15938" spans="30:30" x14ac:dyDescent="0.25">
      <c r="AD15938"/>
    </row>
    <row r="15939" spans="30:30" x14ac:dyDescent="0.25">
      <c r="AD15939"/>
    </row>
    <row r="15940" spans="30:30" x14ac:dyDescent="0.25">
      <c r="AD15940"/>
    </row>
    <row r="15941" spans="30:30" x14ac:dyDescent="0.25">
      <c r="AD15941"/>
    </row>
    <row r="15942" spans="30:30" x14ac:dyDescent="0.25">
      <c r="AD15942"/>
    </row>
    <row r="15943" spans="30:30" x14ac:dyDescent="0.25">
      <c r="AD15943"/>
    </row>
    <row r="15944" spans="30:30" x14ac:dyDescent="0.25">
      <c r="AD15944"/>
    </row>
    <row r="15945" spans="30:30" x14ac:dyDescent="0.25">
      <c r="AD15945"/>
    </row>
    <row r="15946" spans="30:30" x14ac:dyDescent="0.25">
      <c r="AD15946"/>
    </row>
    <row r="15947" spans="30:30" x14ac:dyDescent="0.25">
      <c r="AD15947"/>
    </row>
    <row r="15948" spans="30:30" x14ac:dyDescent="0.25">
      <c r="AD15948"/>
    </row>
    <row r="15949" spans="30:30" x14ac:dyDescent="0.25">
      <c r="AD15949"/>
    </row>
    <row r="15950" spans="30:30" x14ac:dyDescent="0.25">
      <c r="AD15950"/>
    </row>
    <row r="15951" spans="30:30" x14ac:dyDescent="0.25">
      <c r="AD15951"/>
    </row>
    <row r="15952" spans="30:30" x14ac:dyDescent="0.25">
      <c r="AD15952"/>
    </row>
    <row r="15953" spans="30:30" x14ac:dyDescent="0.25">
      <c r="AD15953"/>
    </row>
    <row r="15954" spans="30:30" x14ac:dyDescent="0.25">
      <c r="AD15954"/>
    </row>
    <row r="15955" spans="30:30" x14ac:dyDescent="0.25">
      <c r="AD15955"/>
    </row>
    <row r="15956" spans="30:30" x14ac:dyDescent="0.25">
      <c r="AD15956"/>
    </row>
    <row r="15957" spans="30:30" x14ac:dyDescent="0.25">
      <c r="AD15957"/>
    </row>
    <row r="15958" spans="30:30" x14ac:dyDescent="0.25">
      <c r="AD15958"/>
    </row>
    <row r="15959" spans="30:30" x14ac:dyDescent="0.25">
      <c r="AD15959"/>
    </row>
    <row r="15960" spans="30:30" x14ac:dyDescent="0.25">
      <c r="AD15960"/>
    </row>
    <row r="15961" spans="30:30" x14ac:dyDescent="0.25">
      <c r="AD15961"/>
    </row>
    <row r="15962" spans="30:30" x14ac:dyDescent="0.25">
      <c r="AD15962"/>
    </row>
    <row r="15963" spans="30:30" x14ac:dyDescent="0.25">
      <c r="AD15963"/>
    </row>
    <row r="15964" spans="30:30" x14ac:dyDescent="0.25">
      <c r="AD15964"/>
    </row>
    <row r="15965" spans="30:30" x14ac:dyDescent="0.25">
      <c r="AD15965"/>
    </row>
    <row r="15966" spans="30:30" x14ac:dyDescent="0.25">
      <c r="AD15966"/>
    </row>
    <row r="15967" spans="30:30" x14ac:dyDescent="0.25">
      <c r="AD15967"/>
    </row>
    <row r="15968" spans="30:30" x14ac:dyDescent="0.25">
      <c r="AD15968"/>
    </row>
    <row r="15969" spans="30:30" x14ac:dyDescent="0.25">
      <c r="AD15969"/>
    </row>
    <row r="15970" spans="30:30" x14ac:dyDescent="0.25">
      <c r="AD15970"/>
    </row>
    <row r="15971" spans="30:30" x14ac:dyDescent="0.25">
      <c r="AD15971"/>
    </row>
    <row r="15972" spans="30:30" x14ac:dyDescent="0.25">
      <c r="AD15972"/>
    </row>
    <row r="15973" spans="30:30" x14ac:dyDescent="0.25">
      <c r="AD15973"/>
    </row>
    <row r="15974" spans="30:30" x14ac:dyDescent="0.25">
      <c r="AD15974"/>
    </row>
    <row r="15975" spans="30:30" x14ac:dyDescent="0.25">
      <c r="AD15975"/>
    </row>
    <row r="15976" spans="30:30" x14ac:dyDescent="0.25">
      <c r="AD15976"/>
    </row>
    <row r="15977" spans="30:30" x14ac:dyDescent="0.25">
      <c r="AD15977"/>
    </row>
    <row r="15978" spans="30:30" x14ac:dyDescent="0.25">
      <c r="AD15978"/>
    </row>
    <row r="15979" spans="30:30" x14ac:dyDescent="0.25">
      <c r="AD15979"/>
    </row>
    <row r="15980" spans="30:30" x14ac:dyDescent="0.25">
      <c r="AD15980"/>
    </row>
    <row r="15981" spans="30:30" x14ac:dyDescent="0.25">
      <c r="AD15981"/>
    </row>
    <row r="15982" spans="30:30" x14ac:dyDescent="0.25">
      <c r="AD15982"/>
    </row>
    <row r="15983" spans="30:30" x14ac:dyDescent="0.25">
      <c r="AD15983"/>
    </row>
    <row r="15984" spans="30:30" x14ac:dyDescent="0.25">
      <c r="AD15984"/>
    </row>
    <row r="15985" spans="30:30" x14ac:dyDescent="0.25">
      <c r="AD15985"/>
    </row>
    <row r="15986" spans="30:30" x14ac:dyDescent="0.25">
      <c r="AD15986"/>
    </row>
    <row r="15987" spans="30:30" x14ac:dyDescent="0.25">
      <c r="AD15987"/>
    </row>
    <row r="15988" spans="30:30" x14ac:dyDescent="0.25">
      <c r="AD15988"/>
    </row>
    <row r="15989" spans="30:30" x14ac:dyDescent="0.25">
      <c r="AD15989"/>
    </row>
    <row r="15990" spans="30:30" x14ac:dyDescent="0.25">
      <c r="AD15990"/>
    </row>
    <row r="15991" spans="30:30" x14ac:dyDescent="0.25">
      <c r="AD15991"/>
    </row>
    <row r="15992" spans="30:30" x14ac:dyDescent="0.25">
      <c r="AD15992"/>
    </row>
    <row r="15993" spans="30:30" x14ac:dyDescent="0.25">
      <c r="AD15993"/>
    </row>
    <row r="15994" spans="30:30" x14ac:dyDescent="0.25">
      <c r="AD15994"/>
    </row>
    <row r="15995" spans="30:30" x14ac:dyDescent="0.25">
      <c r="AD15995"/>
    </row>
    <row r="15996" spans="30:30" x14ac:dyDescent="0.25">
      <c r="AD15996"/>
    </row>
    <row r="15997" spans="30:30" x14ac:dyDescent="0.25">
      <c r="AD15997"/>
    </row>
    <row r="15998" spans="30:30" x14ac:dyDescent="0.25">
      <c r="AD15998"/>
    </row>
    <row r="15999" spans="30:30" x14ac:dyDescent="0.25">
      <c r="AD15999"/>
    </row>
    <row r="16000" spans="30:30" x14ac:dyDescent="0.25">
      <c r="AD16000"/>
    </row>
    <row r="16001" spans="30:30" x14ac:dyDescent="0.25">
      <c r="AD16001"/>
    </row>
    <row r="16002" spans="30:30" x14ac:dyDescent="0.25">
      <c r="AD16002"/>
    </row>
    <row r="16003" spans="30:30" x14ac:dyDescent="0.25">
      <c r="AD16003"/>
    </row>
    <row r="16004" spans="30:30" x14ac:dyDescent="0.25">
      <c r="AD16004"/>
    </row>
    <row r="16005" spans="30:30" x14ac:dyDescent="0.25">
      <c r="AD16005"/>
    </row>
    <row r="16006" spans="30:30" x14ac:dyDescent="0.25">
      <c r="AD16006"/>
    </row>
    <row r="16007" spans="30:30" x14ac:dyDescent="0.25">
      <c r="AD16007"/>
    </row>
    <row r="16008" spans="30:30" x14ac:dyDescent="0.25">
      <c r="AD16008"/>
    </row>
    <row r="16009" spans="30:30" x14ac:dyDescent="0.25">
      <c r="AD16009"/>
    </row>
    <row r="16010" spans="30:30" x14ac:dyDescent="0.25">
      <c r="AD16010"/>
    </row>
    <row r="16011" spans="30:30" x14ac:dyDescent="0.25">
      <c r="AD16011"/>
    </row>
    <row r="16012" spans="30:30" x14ac:dyDescent="0.25">
      <c r="AD16012"/>
    </row>
    <row r="16013" spans="30:30" x14ac:dyDescent="0.25">
      <c r="AD16013"/>
    </row>
    <row r="16014" spans="30:30" x14ac:dyDescent="0.25">
      <c r="AD16014"/>
    </row>
    <row r="16015" spans="30:30" x14ac:dyDescent="0.25">
      <c r="AD16015"/>
    </row>
    <row r="16016" spans="30:30" x14ac:dyDescent="0.25">
      <c r="AD16016"/>
    </row>
    <row r="16017" spans="30:30" x14ac:dyDescent="0.25">
      <c r="AD16017"/>
    </row>
    <row r="16018" spans="30:30" x14ac:dyDescent="0.25">
      <c r="AD16018"/>
    </row>
    <row r="16019" spans="30:30" x14ac:dyDescent="0.25">
      <c r="AD16019"/>
    </row>
    <row r="16020" spans="30:30" x14ac:dyDescent="0.25">
      <c r="AD16020"/>
    </row>
    <row r="16021" spans="30:30" x14ac:dyDescent="0.25">
      <c r="AD16021"/>
    </row>
    <row r="16022" spans="30:30" x14ac:dyDescent="0.25">
      <c r="AD16022"/>
    </row>
    <row r="16023" spans="30:30" x14ac:dyDescent="0.25">
      <c r="AD16023"/>
    </row>
    <row r="16024" spans="30:30" x14ac:dyDescent="0.25">
      <c r="AD16024"/>
    </row>
    <row r="16025" spans="30:30" x14ac:dyDescent="0.25">
      <c r="AD16025"/>
    </row>
    <row r="16026" spans="30:30" x14ac:dyDescent="0.25">
      <c r="AD16026"/>
    </row>
    <row r="16027" spans="30:30" x14ac:dyDescent="0.25">
      <c r="AD16027"/>
    </row>
    <row r="16028" spans="30:30" x14ac:dyDescent="0.25">
      <c r="AD16028"/>
    </row>
    <row r="16029" spans="30:30" x14ac:dyDescent="0.25">
      <c r="AD16029"/>
    </row>
    <row r="16030" spans="30:30" x14ac:dyDescent="0.25">
      <c r="AD16030"/>
    </row>
    <row r="16031" spans="30:30" x14ac:dyDescent="0.25">
      <c r="AD16031"/>
    </row>
    <row r="16032" spans="30:30" x14ac:dyDescent="0.25">
      <c r="AD16032"/>
    </row>
    <row r="16033" spans="30:30" x14ac:dyDescent="0.25">
      <c r="AD16033"/>
    </row>
    <row r="16034" spans="30:30" x14ac:dyDescent="0.25">
      <c r="AD16034"/>
    </row>
    <row r="16035" spans="30:30" x14ac:dyDescent="0.25">
      <c r="AD16035"/>
    </row>
    <row r="16036" spans="30:30" x14ac:dyDescent="0.25">
      <c r="AD16036"/>
    </row>
    <row r="16037" spans="30:30" x14ac:dyDescent="0.25">
      <c r="AD16037"/>
    </row>
    <row r="16038" spans="30:30" x14ac:dyDescent="0.25">
      <c r="AD16038"/>
    </row>
    <row r="16039" spans="30:30" x14ac:dyDescent="0.25">
      <c r="AD16039"/>
    </row>
    <row r="16040" spans="30:30" x14ac:dyDescent="0.25">
      <c r="AD16040"/>
    </row>
    <row r="16041" spans="30:30" x14ac:dyDescent="0.25">
      <c r="AD16041"/>
    </row>
    <row r="16042" spans="30:30" x14ac:dyDescent="0.25">
      <c r="AD16042"/>
    </row>
    <row r="16043" spans="30:30" x14ac:dyDescent="0.25">
      <c r="AD16043"/>
    </row>
    <row r="16044" spans="30:30" x14ac:dyDescent="0.25">
      <c r="AD16044"/>
    </row>
    <row r="16045" spans="30:30" x14ac:dyDescent="0.25">
      <c r="AD16045"/>
    </row>
    <row r="16046" spans="30:30" x14ac:dyDescent="0.25">
      <c r="AD16046"/>
    </row>
    <row r="16047" spans="30:30" x14ac:dyDescent="0.25">
      <c r="AD16047"/>
    </row>
    <row r="16048" spans="30:30" x14ac:dyDescent="0.25">
      <c r="AD16048"/>
    </row>
    <row r="16049" spans="30:30" x14ac:dyDescent="0.25">
      <c r="AD16049"/>
    </row>
    <row r="16050" spans="30:30" x14ac:dyDescent="0.25">
      <c r="AD16050"/>
    </row>
    <row r="16051" spans="30:30" x14ac:dyDescent="0.25">
      <c r="AD16051"/>
    </row>
    <row r="16052" spans="30:30" x14ac:dyDescent="0.25">
      <c r="AD16052"/>
    </row>
    <row r="16053" spans="30:30" x14ac:dyDescent="0.25">
      <c r="AD16053"/>
    </row>
    <row r="16054" spans="30:30" x14ac:dyDescent="0.25">
      <c r="AD16054"/>
    </row>
    <row r="16055" spans="30:30" x14ac:dyDescent="0.25">
      <c r="AD16055"/>
    </row>
    <row r="16056" spans="30:30" x14ac:dyDescent="0.25">
      <c r="AD16056"/>
    </row>
    <row r="16057" spans="30:30" x14ac:dyDescent="0.25">
      <c r="AD16057"/>
    </row>
    <row r="16058" spans="30:30" x14ac:dyDescent="0.25">
      <c r="AD16058"/>
    </row>
    <row r="16059" spans="30:30" x14ac:dyDescent="0.25">
      <c r="AD16059"/>
    </row>
    <row r="16060" spans="30:30" x14ac:dyDescent="0.25">
      <c r="AD16060"/>
    </row>
    <row r="16061" spans="30:30" x14ac:dyDescent="0.25">
      <c r="AD16061"/>
    </row>
    <row r="16062" spans="30:30" x14ac:dyDescent="0.25">
      <c r="AD16062"/>
    </row>
    <row r="16063" spans="30:30" x14ac:dyDescent="0.25">
      <c r="AD16063"/>
    </row>
    <row r="16064" spans="30:30" x14ac:dyDescent="0.25">
      <c r="AD16064"/>
    </row>
    <row r="16065" spans="30:30" x14ac:dyDescent="0.25">
      <c r="AD16065"/>
    </row>
    <row r="16066" spans="30:30" x14ac:dyDescent="0.25">
      <c r="AD16066"/>
    </row>
    <row r="16067" spans="30:30" x14ac:dyDescent="0.25">
      <c r="AD16067"/>
    </row>
    <row r="16068" spans="30:30" x14ac:dyDescent="0.25">
      <c r="AD16068"/>
    </row>
    <row r="16069" spans="30:30" x14ac:dyDescent="0.25">
      <c r="AD16069"/>
    </row>
    <row r="16070" spans="30:30" x14ac:dyDescent="0.25">
      <c r="AD16070"/>
    </row>
    <row r="16071" spans="30:30" x14ac:dyDescent="0.25">
      <c r="AD16071"/>
    </row>
    <row r="16072" spans="30:30" x14ac:dyDescent="0.25">
      <c r="AD16072"/>
    </row>
    <row r="16073" spans="30:30" x14ac:dyDescent="0.25">
      <c r="AD16073"/>
    </row>
    <row r="16074" spans="30:30" x14ac:dyDescent="0.25">
      <c r="AD16074"/>
    </row>
    <row r="16075" spans="30:30" x14ac:dyDescent="0.25">
      <c r="AD16075"/>
    </row>
    <row r="16076" spans="30:30" x14ac:dyDescent="0.25">
      <c r="AD16076"/>
    </row>
    <row r="16077" spans="30:30" x14ac:dyDescent="0.25">
      <c r="AD16077"/>
    </row>
    <row r="16078" spans="30:30" x14ac:dyDescent="0.25">
      <c r="AD16078"/>
    </row>
    <row r="16079" spans="30:30" x14ac:dyDescent="0.25">
      <c r="AD16079"/>
    </row>
    <row r="16080" spans="30:30" x14ac:dyDescent="0.25">
      <c r="AD16080"/>
    </row>
    <row r="16081" spans="30:30" x14ac:dyDescent="0.25">
      <c r="AD16081"/>
    </row>
    <row r="16082" spans="30:30" x14ac:dyDescent="0.25">
      <c r="AD16082"/>
    </row>
    <row r="16083" spans="30:30" x14ac:dyDescent="0.25">
      <c r="AD16083"/>
    </row>
    <row r="16084" spans="30:30" x14ac:dyDescent="0.25">
      <c r="AD16084"/>
    </row>
    <row r="16085" spans="30:30" x14ac:dyDescent="0.25">
      <c r="AD16085"/>
    </row>
    <row r="16086" spans="30:30" x14ac:dyDescent="0.25">
      <c r="AD16086"/>
    </row>
    <row r="16087" spans="30:30" x14ac:dyDescent="0.25">
      <c r="AD16087"/>
    </row>
    <row r="16088" spans="30:30" x14ac:dyDescent="0.25">
      <c r="AD16088"/>
    </row>
    <row r="16089" spans="30:30" x14ac:dyDescent="0.25">
      <c r="AD16089"/>
    </row>
    <row r="16090" spans="30:30" x14ac:dyDescent="0.25">
      <c r="AD16090"/>
    </row>
    <row r="16091" spans="30:30" x14ac:dyDescent="0.25">
      <c r="AD16091"/>
    </row>
    <row r="16092" spans="30:30" x14ac:dyDescent="0.25">
      <c r="AD16092"/>
    </row>
    <row r="16093" spans="30:30" x14ac:dyDescent="0.25">
      <c r="AD16093"/>
    </row>
    <row r="16094" spans="30:30" x14ac:dyDescent="0.25">
      <c r="AD16094"/>
    </row>
    <row r="16095" spans="30:30" x14ac:dyDescent="0.25">
      <c r="AD16095"/>
    </row>
    <row r="16096" spans="30:30" x14ac:dyDescent="0.25">
      <c r="AD16096"/>
    </row>
    <row r="16097" spans="30:30" x14ac:dyDescent="0.25">
      <c r="AD16097"/>
    </row>
    <row r="16098" spans="30:30" x14ac:dyDescent="0.25">
      <c r="AD16098"/>
    </row>
    <row r="16099" spans="30:30" x14ac:dyDescent="0.25">
      <c r="AD16099"/>
    </row>
    <row r="16100" spans="30:30" x14ac:dyDescent="0.25">
      <c r="AD16100"/>
    </row>
    <row r="16101" spans="30:30" x14ac:dyDescent="0.25">
      <c r="AD16101"/>
    </row>
    <row r="16102" spans="30:30" x14ac:dyDescent="0.25">
      <c r="AD16102"/>
    </row>
    <row r="16103" spans="30:30" x14ac:dyDescent="0.25">
      <c r="AD16103"/>
    </row>
    <row r="16104" spans="30:30" x14ac:dyDescent="0.25">
      <c r="AD16104"/>
    </row>
    <row r="16105" spans="30:30" x14ac:dyDescent="0.25">
      <c r="AD16105"/>
    </row>
    <row r="16106" spans="30:30" x14ac:dyDescent="0.25">
      <c r="AD16106"/>
    </row>
    <row r="16107" spans="30:30" x14ac:dyDescent="0.25">
      <c r="AD16107"/>
    </row>
    <row r="16108" spans="30:30" x14ac:dyDescent="0.25">
      <c r="AD16108"/>
    </row>
    <row r="16109" spans="30:30" x14ac:dyDescent="0.25">
      <c r="AD16109"/>
    </row>
    <row r="16110" spans="30:30" x14ac:dyDescent="0.25">
      <c r="AD16110"/>
    </row>
    <row r="16111" spans="30:30" x14ac:dyDescent="0.25">
      <c r="AD16111"/>
    </row>
    <row r="16112" spans="30:30" x14ac:dyDescent="0.25">
      <c r="AD16112"/>
    </row>
    <row r="16113" spans="30:30" x14ac:dyDescent="0.25">
      <c r="AD16113"/>
    </row>
    <row r="16114" spans="30:30" x14ac:dyDescent="0.25">
      <c r="AD16114"/>
    </row>
    <row r="16115" spans="30:30" x14ac:dyDescent="0.25">
      <c r="AD16115"/>
    </row>
    <row r="16116" spans="30:30" x14ac:dyDescent="0.25">
      <c r="AD16116"/>
    </row>
    <row r="16117" spans="30:30" x14ac:dyDescent="0.25">
      <c r="AD16117"/>
    </row>
    <row r="16118" spans="30:30" x14ac:dyDescent="0.25">
      <c r="AD16118"/>
    </row>
    <row r="16119" spans="30:30" x14ac:dyDescent="0.25">
      <c r="AD16119"/>
    </row>
    <row r="16120" spans="30:30" x14ac:dyDescent="0.25">
      <c r="AD16120"/>
    </row>
    <row r="16121" spans="30:30" x14ac:dyDescent="0.25">
      <c r="AD16121"/>
    </row>
    <row r="16122" spans="30:30" x14ac:dyDescent="0.25">
      <c r="AD16122"/>
    </row>
    <row r="16123" spans="30:30" x14ac:dyDescent="0.25">
      <c r="AD16123"/>
    </row>
    <row r="16124" spans="30:30" x14ac:dyDescent="0.25">
      <c r="AD16124"/>
    </row>
    <row r="16125" spans="30:30" x14ac:dyDescent="0.25">
      <c r="AD16125"/>
    </row>
    <row r="16126" spans="30:30" x14ac:dyDescent="0.25">
      <c r="AD16126"/>
    </row>
    <row r="16127" spans="30:30" x14ac:dyDescent="0.25">
      <c r="AD16127"/>
    </row>
    <row r="16128" spans="30:30" x14ac:dyDescent="0.25">
      <c r="AD16128"/>
    </row>
    <row r="16129" spans="30:30" x14ac:dyDescent="0.25">
      <c r="AD16129"/>
    </row>
    <row r="16130" spans="30:30" x14ac:dyDescent="0.25">
      <c r="AD16130"/>
    </row>
    <row r="16131" spans="30:30" x14ac:dyDescent="0.25">
      <c r="AD16131"/>
    </row>
    <row r="16132" spans="30:30" x14ac:dyDescent="0.25">
      <c r="AD16132"/>
    </row>
    <row r="16133" spans="30:30" x14ac:dyDescent="0.25">
      <c r="AD16133"/>
    </row>
    <row r="16134" spans="30:30" x14ac:dyDescent="0.25">
      <c r="AD16134"/>
    </row>
    <row r="16135" spans="30:30" x14ac:dyDescent="0.25">
      <c r="AD16135"/>
    </row>
    <row r="16136" spans="30:30" x14ac:dyDescent="0.25">
      <c r="AD16136"/>
    </row>
    <row r="16137" spans="30:30" x14ac:dyDescent="0.25">
      <c r="AD16137"/>
    </row>
    <row r="16138" spans="30:30" x14ac:dyDescent="0.25">
      <c r="AD16138"/>
    </row>
    <row r="16139" spans="30:30" x14ac:dyDescent="0.25">
      <c r="AD16139"/>
    </row>
    <row r="16140" spans="30:30" x14ac:dyDescent="0.25">
      <c r="AD16140"/>
    </row>
    <row r="16141" spans="30:30" x14ac:dyDescent="0.25">
      <c r="AD16141"/>
    </row>
    <row r="16142" spans="30:30" x14ac:dyDescent="0.25">
      <c r="AD16142"/>
    </row>
    <row r="16143" spans="30:30" x14ac:dyDescent="0.25">
      <c r="AD16143"/>
    </row>
    <row r="16144" spans="30:30" x14ac:dyDescent="0.25">
      <c r="AD16144"/>
    </row>
    <row r="16145" spans="30:30" x14ac:dyDescent="0.25">
      <c r="AD16145"/>
    </row>
    <row r="16146" spans="30:30" x14ac:dyDescent="0.25">
      <c r="AD16146"/>
    </row>
    <row r="16147" spans="30:30" x14ac:dyDescent="0.25">
      <c r="AD16147"/>
    </row>
    <row r="16148" spans="30:30" x14ac:dyDescent="0.25">
      <c r="AD16148"/>
    </row>
    <row r="16149" spans="30:30" x14ac:dyDescent="0.25">
      <c r="AD16149"/>
    </row>
    <row r="16150" spans="30:30" x14ac:dyDescent="0.25">
      <c r="AD16150"/>
    </row>
    <row r="16151" spans="30:30" x14ac:dyDescent="0.25">
      <c r="AD16151"/>
    </row>
    <row r="16152" spans="30:30" x14ac:dyDescent="0.25">
      <c r="AD16152"/>
    </row>
    <row r="16153" spans="30:30" x14ac:dyDescent="0.25">
      <c r="AD16153"/>
    </row>
    <row r="16154" spans="30:30" x14ac:dyDescent="0.25">
      <c r="AD16154"/>
    </row>
    <row r="16155" spans="30:30" x14ac:dyDescent="0.25">
      <c r="AD16155"/>
    </row>
    <row r="16156" spans="30:30" x14ac:dyDescent="0.25">
      <c r="AD16156"/>
    </row>
    <row r="16157" spans="30:30" x14ac:dyDescent="0.25">
      <c r="AD16157"/>
    </row>
    <row r="16158" spans="30:30" x14ac:dyDescent="0.25">
      <c r="AD16158"/>
    </row>
    <row r="16159" spans="30:30" x14ac:dyDescent="0.25">
      <c r="AD16159"/>
    </row>
    <row r="16160" spans="30:30" x14ac:dyDescent="0.25">
      <c r="AD16160"/>
    </row>
    <row r="16161" spans="30:30" x14ac:dyDescent="0.25">
      <c r="AD16161"/>
    </row>
    <row r="16162" spans="30:30" x14ac:dyDescent="0.25">
      <c r="AD16162"/>
    </row>
    <row r="16163" spans="30:30" x14ac:dyDescent="0.25">
      <c r="AD16163"/>
    </row>
    <row r="16164" spans="30:30" x14ac:dyDescent="0.25">
      <c r="AD16164"/>
    </row>
    <row r="16165" spans="30:30" x14ac:dyDescent="0.25">
      <c r="AD16165"/>
    </row>
    <row r="16166" spans="30:30" x14ac:dyDescent="0.25">
      <c r="AD16166"/>
    </row>
    <row r="16167" spans="30:30" x14ac:dyDescent="0.25">
      <c r="AD16167"/>
    </row>
    <row r="16168" spans="30:30" x14ac:dyDescent="0.25">
      <c r="AD16168"/>
    </row>
    <row r="16169" spans="30:30" x14ac:dyDescent="0.25">
      <c r="AD16169"/>
    </row>
    <row r="16170" spans="30:30" x14ac:dyDescent="0.25">
      <c r="AD16170"/>
    </row>
    <row r="16171" spans="30:30" x14ac:dyDescent="0.25">
      <c r="AD16171"/>
    </row>
    <row r="16172" spans="30:30" x14ac:dyDescent="0.25">
      <c r="AD16172"/>
    </row>
    <row r="16173" spans="30:30" x14ac:dyDescent="0.25">
      <c r="AD16173"/>
    </row>
    <row r="16174" spans="30:30" x14ac:dyDescent="0.25">
      <c r="AD16174"/>
    </row>
    <row r="16175" spans="30:30" x14ac:dyDescent="0.25">
      <c r="AD16175"/>
    </row>
    <row r="16176" spans="30:30" x14ac:dyDescent="0.25">
      <c r="AD16176"/>
    </row>
    <row r="16177" spans="30:30" x14ac:dyDescent="0.25">
      <c r="AD16177"/>
    </row>
    <row r="16178" spans="30:30" x14ac:dyDescent="0.25">
      <c r="AD16178"/>
    </row>
    <row r="16179" spans="30:30" x14ac:dyDescent="0.25">
      <c r="AD16179"/>
    </row>
    <row r="16180" spans="30:30" x14ac:dyDescent="0.25">
      <c r="AD16180"/>
    </row>
    <row r="16181" spans="30:30" x14ac:dyDescent="0.25">
      <c r="AD16181"/>
    </row>
    <row r="16182" spans="30:30" x14ac:dyDescent="0.25">
      <c r="AD16182"/>
    </row>
    <row r="16183" spans="30:30" x14ac:dyDescent="0.25">
      <c r="AD16183"/>
    </row>
    <row r="16184" spans="30:30" x14ac:dyDescent="0.25">
      <c r="AD16184"/>
    </row>
    <row r="16185" spans="30:30" x14ac:dyDescent="0.25">
      <c r="AD16185"/>
    </row>
    <row r="16186" spans="30:30" x14ac:dyDescent="0.25">
      <c r="AD16186"/>
    </row>
    <row r="16187" spans="30:30" x14ac:dyDescent="0.25">
      <c r="AD16187"/>
    </row>
    <row r="16188" spans="30:30" x14ac:dyDescent="0.25">
      <c r="AD16188"/>
    </row>
    <row r="16189" spans="30:30" x14ac:dyDescent="0.25">
      <c r="AD16189"/>
    </row>
    <row r="16190" spans="30:30" x14ac:dyDescent="0.25">
      <c r="AD16190"/>
    </row>
    <row r="16191" spans="30:30" x14ac:dyDescent="0.25">
      <c r="AD16191"/>
    </row>
    <row r="16192" spans="30:30" x14ac:dyDescent="0.25">
      <c r="AD16192"/>
    </row>
    <row r="16193" spans="30:30" x14ac:dyDescent="0.25">
      <c r="AD16193"/>
    </row>
    <row r="16194" spans="30:30" x14ac:dyDescent="0.25">
      <c r="AD16194"/>
    </row>
    <row r="16195" spans="30:30" x14ac:dyDescent="0.25">
      <c r="AD16195"/>
    </row>
    <row r="16196" spans="30:30" x14ac:dyDescent="0.25">
      <c r="AD16196"/>
    </row>
    <row r="16197" spans="30:30" x14ac:dyDescent="0.25">
      <c r="AD16197"/>
    </row>
    <row r="16198" spans="30:30" x14ac:dyDescent="0.25">
      <c r="AD16198"/>
    </row>
    <row r="16199" spans="30:30" x14ac:dyDescent="0.25">
      <c r="AD16199"/>
    </row>
    <row r="16200" spans="30:30" x14ac:dyDescent="0.25">
      <c r="AD16200"/>
    </row>
    <row r="16201" spans="30:30" x14ac:dyDescent="0.25">
      <c r="AD16201"/>
    </row>
    <row r="16202" spans="30:30" x14ac:dyDescent="0.25">
      <c r="AD16202"/>
    </row>
    <row r="16203" spans="30:30" x14ac:dyDescent="0.25">
      <c r="AD16203"/>
    </row>
    <row r="16204" spans="30:30" x14ac:dyDescent="0.25">
      <c r="AD16204"/>
    </row>
    <row r="16205" spans="30:30" x14ac:dyDescent="0.25">
      <c r="AD16205"/>
    </row>
    <row r="16206" spans="30:30" x14ac:dyDescent="0.25">
      <c r="AD16206"/>
    </row>
    <row r="16207" spans="30:30" x14ac:dyDescent="0.25">
      <c r="AD16207"/>
    </row>
    <row r="16208" spans="30:30" x14ac:dyDescent="0.25">
      <c r="AD16208"/>
    </row>
    <row r="16209" spans="30:30" x14ac:dyDescent="0.25">
      <c r="AD16209"/>
    </row>
    <row r="16210" spans="30:30" x14ac:dyDescent="0.25">
      <c r="AD16210"/>
    </row>
    <row r="16211" spans="30:30" x14ac:dyDescent="0.25">
      <c r="AD16211"/>
    </row>
    <row r="16212" spans="30:30" x14ac:dyDescent="0.25">
      <c r="AD16212"/>
    </row>
    <row r="16213" spans="30:30" x14ac:dyDescent="0.25">
      <c r="AD16213"/>
    </row>
    <row r="16214" spans="30:30" x14ac:dyDescent="0.25">
      <c r="AD16214"/>
    </row>
    <row r="16215" spans="30:30" x14ac:dyDescent="0.25">
      <c r="AD16215"/>
    </row>
    <row r="16216" spans="30:30" x14ac:dyDescent="0.25">
      <c r="AD16216"/>
    </row>
    <row r="16217" spans="30:30" x14ac:dyDescent="0.25">
      <c r="AD16217"/>
    </row>
    <row r="16218" spans="30:30" x14ac:dyDescent="0.25">
      <c r="AD16218"/>
    </row>
    <row r="16219" spans="30:30" x14ac:dyDescent="0.25">
      <c r="AD16219"/>
    </row>
    <row r="16220" spans="30:30" x14ac:dyDescent="0.25">
      <c r="AD16220"/>
    </row>
    <row r="16221" spans="30:30" x14ac:dyDescent="0.25">
      <c r="AD16221"/>
    </row>
    <row r="16222" spans="30:30" x14ac:dyDescent="0.25">
      <c r="AD16222"/>
    </row>
    <row r="16223" spans="30:30" x14ac:dyDescent="0.25">
      <c r="AD16223"/>
    </row>
    <row r="16224" spans="30:30" x14ac:dyDescent="0.25">
      <c r="AD16224"/>
    </row>
    <row r="16225" spans="30:30" x14ac:dyDescent="0.25">
      <c r="AD16225"/>
    </row>
    <row r="16226" spans="30:30" x14ac:dyDescent="0.25">
      <c r="AD16226"/>
    </row>
    <row r="16227" spans="30:30" x14ac:dyDescent="0.25">
      <c r="AD16227"/>
    </row>
    <row r="16228" spans="30:30" x14ac:dyDescent="0.25">
      <c r="AD16228"/>
    </row>
    <row r="16229" spans="30:30" x14ac:dyDescent="0.25">
      <c r="AD16229"/>
    </row>
    <row r="16230" spans="30:30" x14ac:dyDescent="0.25">
      <c r="AD16230"/>
    </row>
    <row r="16231" spans="30:30" x14ac:dyDescent="0.25">
      <c r="AD16231"/>
    </row>
    <row r="16232" spans="30:30" x14ac:dyDescent="0.25">
      <c r="AD16232"/>
    </row>
    <row r="16233" spans="30:30" x14ac:dyDescent="0.25">
      <c r="AD16233"/>
    </row>
    <row r="16234" spans="30:30" x14ac:dyDescent="0.25">
      <c r="AD16234"/>
    </row>
    <row r="16235" spans="30:30" x14ac:dyDescent="0.25">
      <c r="AD16235"/>
    </row>
    <row r="16236" spans="30:30" x14ac:dyDescent="0.25">
      <c r="AD16236"/>
    </row>
    <row r="16237" spans="30:30" x14ac:dyDescent="0.25">
      <c r="AD16237"/>
    </row>
    <row r="16238" spans="30:30" x14ac:dyDescent="0.25">
      <c r="AD16238"/>
    </row>
    <row r="16239" spans="30:30" x14ac:dyDescent="0.25">
      <c r="AD16239"/>
    </row>
    <row r="16240" spans="30:30" x14ac:dyDescent="0.25">
      <c r="AD16240"/>
    </row>
    <row r="16241" spans="30:30" x14ac:dyDescent="0.25">
      <c r="AD16241"/>
    </row>
    <row r="16242" spans="30:30" x14ac:dyDescent="0.25">
      <c r="AD16242"/>
    </row>
    <row r="16243" spans="30:30" x14ac:dyDescent="0.25">
      <c r="AD16243"/>
    </row>
    <row r="16244" spans="30:30" x14ac:dyDescent="0.25">
      <c r="AD16244"/>
    </row>
    <row r="16245" spans="30:30" x14ac:dyDescent="0.25">
      <c r="AD16245"/>
    </row>
    <row r="16246" spans="30:30" x14ac:dyDescent="0.25">
      <c r="AD16246"/>
    </row>
    <row r="16247" spans="30:30" x14ac:dyDescent="0.25">
      <c r="AD16247"/>
    </row>
    <row r="16248" spans="30:30" x14ac:dyDescent="0.25">
      <c r="AD16248"/>
    </row>
    <row r="16249" spans="30:30" x14ac:dyDescent="0.25">
      <c r="AD16249"/>
    </row>
    <row r="16250" spans="30:30" x14ac:dyDescent="0.25">
      <c r="AD16250"/>
    </row>
    <row r="16251" spans="30:30" x14ac:dyDescent="0.25">
      <c r="AD16251"/>
    </row>
    <row r="16252" spans="30:30" x14ac:dyDescent="0.25">
      <c r="AD16252"/>
    </row>
    <row r="16253" spans="30:30" x14ac:dyDescent="0.25">
      <c r="AD16253"/>
    </row>
    <row r="16254" spans="30:30" x14ac:dyDescent="0.25">
      <c r="AD16254"/>
    </row>
    <row r="16255" spans="30:30" x14ac:dyDescent="0.25">
      <c r="AD16255"/>
    </row>
    <row r="16256" spans="30:30" x14ac:dyDescent="0.25">
      <c r="AD16256"/>
    </row>
    <row r="16257" spans="30:30" x14ac:dyDescent="0.25">
      <c r="AD16257"/>
    </row>
    <row r="16258" spans="30:30" x14ac:dyDescent="0.25">
      <c r="AD16258"/>
    </row>
    <row r="16259" spans="30:30" x14ac:dyDescent="0.25">
      <c r="AD16259"/>
    </row>
    <row r="16260" spans="30:30" x14ac:dyDescent="0.25">
      <c r="AD16260"/>
    </row>
    <row r="16261" spans="30:30" x14ac:dyDescent="0.25">
      <c r="AD16261"/>
    </row>
    <row r="16262" spans="30:30" x14ac:dyDescent="0.25">
      <c r="AD16262"/>
    </row>
    <row r="16263" spans="30:30" x14ac:dyDescent="0.25">
      <c r="AD16263"/>
    </row>
    <row r="16264" spans="30:30" x14ac:dyDescent="0.25">
      <c r="AD16264"/>
    </row>
    <row r="16265" spans="30:30" x14ac:dyDescent="0.25">
      <c r="AD16265"/>
    </row>
    <row r="16266" spans="30:30" x14ac:dyDescent="0.25">
      <c r="AD16266"/>
    </row>
    <row r="16267" spans="30:30" x14ac:dyDescent="0.25">
      <c r="AD16267"/>
    </row>
    <row r="16268" spans="30:30" x14ac:dyDescent="0.25">
      <c r="AD16268"/>
    </row>
    <row r="16269" spans="30:30" x14ac:dyDescent="0.25">
      <c r="AD16269"/>
    </row>
    <row r="16270" spans="30:30" x14ac:dyDescent="0.25">
      <c r="AD16270"/>
    </row>
    <row r="16271" spans="30:30" x14ac:dyDescent="0.25">
      <c r="AD16271"/>
    </row>
    <row r="16272" spans="30:30" x14ac:dyDescent="0.25">
      <c r="AD16272"/>
    </row>
    <row r="16273" spans="30:30" x14ac:dyDescent="0.25">
      <c r="AD16273"/>
    </row>
    <row r="16274" spans="30:30" x14ac:dyDescent="0.25">
      <c r="AD16274"/>
    </row>
    <row r="16275" spans="30:30" x14ac:dyDescent="0.25">
      <c r="AD16275"/>
    </row>
    <row r="16276" spans="30:30" x14ac:dyDescent="0.25">
      <c r="AD16276"/>
    </row>
    <row r="16277" spans="30:30" x14ac:dyDescent="0.25">
      <c r="AD16277"/>
    </row>
    <row r="16278" spans="30:30" x14ac:dyDescent="0.25">
      <c r="AD16278"/>
    </row>
    <row r="16279" spans="30:30" x14ac:dyDescent="0.25">
      <c r="AD16279"/>
    </row>
    <row r="16280" spans="30:30" x14ac:dyDescent="0.25">
      <c r="AD16280"/>
    </row>
    <row r="16281" spans="30:30" x14ac:dyDescent="0.25">
      <c r="AD16281"/>
    </row>
    <row r="16282" spans="30:30" x14ac:dyDescent="0.25">
      <c r="AD16282"/>
    </row>
    <row r="16283" spans="30:30" x14ac:dyDescent="0.25">
      <c r="AD16283"/>
    </row>
    <row r="16284" spans="30:30" x14ac:dyDescent="0.25">
      <c r="AD16284"/>
    </row>
    <row r="16285" spans="30:30" x14ac:dyDescent="0.25">
      <c r="AD16285"/>
    </row>
    <row r="16286" spans="30:30" x14ac:dyDescent="0.25">
      <c r="AD16286"/>
    </row>
    <row r="16287" spans="30:30" x14ac:dyDescent="0.25">
      <c r="AD16287"/>
    </row>
    <row r="16288" spans="30:30" x14ac:dyDescent="0.25">
      <c r="AD16288"/>
    </row>
    <row r="16289" spans="30:30" x14ac:dyDescent="0.25">
      <c r="AD16289"/>
    </row>
    <row r="16290" spans="30:30" x14ac:dyDescent="0.25">
      <c r="AD16290"/>
    </row>
    <row r="16291" spans="30:30" x14ac:dyDescent="0.25">
      <c r="AD16291"/>
    </row>
    <row r="16292" spans="30:30" x14ac:dyDescent="0.25">
      <c r="AD16292"/>
    </row>
    <row r="16293" spans="30:30" x14ac:dyDescent="0.25">
      <c r="AD16293"/>
    </row>
    <row r="16294" spans="30:30" x14ac:dyDescent="0.25">
      <c r="AD16294"/>
    </row>
    <row r="16295" spans="30:30" x14ac:dyDescent="0.25">
      <c r="AD16295"/>
    </row>
    <row r="16296" spans="30:30" x14ac:dyDescent="0.25">
      <c r="AD16296"/>
    </row>
    <row r="16297" spans="30:30" x14ac:dyDescent="0.25">
      <c r="AD16297"/>
    </row>
    <row r="16298" spans="30:30" x14ac:dyDescent="0.25">
      <c r="AD16298"/>
    </row>
    <row r="16299" spans="30:30" x14ac:dyDescent="0.25">
      <c r="AD16299"/>
    </row>
    <row r="16300" spans="30:30" x14ac:dyDescent="0.25">
      <c r="AD16300"/>
    </row>
    <row r="16301" spans="30:30" x14ac:dyDescent="0.25">
      <c r="AD16301"/>
    </row>
    <row r="16302" spans="30:30" x14ac:dyDescent="0.25">
      <c r="AD16302"/>
    </row>
    <row r="16303" spans="30:30" x14ac:dyDescent="0.25">
      <c r="AD16303"/>
    </row>
    <row r="16304" spans="30:30" x14ac:dyDescent="0.25">
      <c r="AD16304"/>
    </row>
    <row r="16305" spans="30:30" x14ac:dyDescent="0.25">
      <c r="AD16305"/>
    </row>
    <row r="16306" spans="30:30" x14ac:dyDescent="0.25">
      <c r="AD16306"/>
    </row>
    <row r="16307" spans="30:30" x14ac:dyDescent="0.25">
      <c r="AD16307"/>
    </row>
    <row r="16308" spans="30:30" x14ac:dyDescent="0.25">
      <c r="AD16308"/>
    </row>
    <row r="16309" spans="30:30" x14ac:dyDescent="0.25">
      <c r="AD16309"/>
    </row>
    <row r="16310" spans="30:30" x14ac:dyDescent="0.25">
      <c r="AD16310"/>
    </row>
    <row r="16311" spans="30:30" x14ac:dyDescent="0.25">
      <c r="AD16311"/>
    </row>
    <row r="16312" spans="30:30" x14ac:dyDescent="0.25">
      <c r="AD16312"/>
    </row>
    <row r="16313" spans="30:30" x14ac:dyDescent="0.25">
      <c r="AD16313"/>
    </row>
    <row r="16314" spans="30:30" x14ac:dyDescent="0.25">
      <c r="AD16314"/>
    </row>
    <row r="16315" spans="30:30" x14ac:dyDescent="0.25">
      <c r="AD16315"/>
    </row>
    <row r="16316" spans="30:30" x14ac:dyDescent="0.25">
      <c r="AD16316"/>
    </row>
    <row r="16317" spans="30:30" x14ac:dyDescent="0.25">
      <c r="AD16317"/>
    </row>
    <row r="16318" spans="30:30" x14ac:dyDescent="0.25">
      <c r="AD16318"/>
    </row>
    <row r="16319" spans="30:30" x14ac:dyDescent="0.25">
      <c r="AD16319"/>
    </row>
    <row r="16320" spans="30:30" x14ac:dyDescent="0.25">
      <c r="AD16320"/>
    </row>
    <row r="16321" spans="30:30" x14ac:dyDescent="0.25">
      <c r="AD16321"/>
    </row>
    <row r="16322" spans="30:30" x14ac:dyDescent="0.25">
      <c r="AD16322"/>
    </row>
    <row r="16323" spans="30:30" x14ac:dyDescent="0.25">
      <c r="AD16323"/>
    </row>
    <row r="16324" spans="30:30" x14ac:dyDescent="0.25">
      <c r="AD16324"/>
    </row>
    <row r="16325" spans="30:30" x14ac:dyDescent="0.25">
      <c r="AD16325"/>
    </row>
    <row r="16326" spans="30:30" x14ac:dyDescent="0.25">
      <c r="AD16326"/>
    </row>
    <row r="16327" spans="30:30" x14ac:dyDescent="0.25">
      <c r="AD16327"/>
    </row>
    <row r="16328" spans="30:30" x14ac:dyDescent="0.25">
      <c r="AD16328"/>
    </row>
    <row r="16329" spans="30:30" x14ac:dyDescent="0.25">
      <c r="AD16329"/>
    </row>
    <row r="16330" spans="30:30" x14ac:dyDescent="0.25">
      <c r="AD16330"/>
    </row>
    <row r="16331" spans="30:30" x14ac:dyDescent="0.25">
      <c r="AD16331"/>
    </row>
    <row r="16332" spans="30:30" x14ac:dyDescent="0.25">
      <c r="AD16332"/>
    </row>
    <row r="16333" spans="30:30" x14ac:dyDescent="0.25">
      <c r="AD16333"/>
    </row>
    <row r="16334" spans="30:30" x14ac:dyDescent="0.25">
      <c r="AD16334"/>
    </row>
    <row r="16335" spans="30:30" x14ac:dyDescent="0.25">
      <c r="AD16335"/>
    </row>
    <row r="16336" spans="30:30" x14ac:dyDescent="0.25">
      <c r="AD16336"/>
    </row>
    <row r="16337" spans="30:30" x14ac:dyDescent="0.25">
      <c r="AD16337"/>
    </row>
    <row r="16338" spans="30:30" x14ac:dyDescent="0.25">
      <c r="AD16338"/>
    </row>
    <row r="16339" spans="30:30" x14ac:dyDescent="0.25">
      <c r="AD16339"/>
    </row>
    <row r="16340" spans="30:30" x14ac:dyDescent="0.25">
      <c r="AD16340"/>
    </row>
    <row r="16341" spans="30:30" x14ac:dyDescent="0.25">
      <c r="AD16341"/>
    </row>
    <row r="16342" spans="30:30" x14ac:dyDescent="0.25">
      <c r="AD16342"/>
    </row>
    <row r="16343" spans="30:30" x14ac:dyDescent="0.25">
      <c r="AD16343"/>
    </row>
    <row r="16344" spans="30:30" x14ac:dyDescent="0.25">
      <c r="AD16344"/>
    </row>
    <row r="16345" spans="30:30" x14ac:dyDescent="0.25">
      <c r="AD16345"/>
    </row>
    <row r="16346" spans="30:30" x14ac:dyDescent="0.25">
      <c r="AD16346"/>
    </row>
    <row r="16347" spans="30:30" x14ac:dyDescent="0.25">
      <c r="AD16347"/>
    </row>
    <row r="16348" spans="30:30" x14ac:dyDescent="0.25">
      <c r="AD16348"/>
    </row>
    <row r="16349" spans="30:30" x14ac:dyDescent="0.25">
      <c r="AD16349"/>
    </row>
    <row r="16350" spans="30:30" x14ac:dyDescent="0.25">
      <c r="AD16350"/>
    </row>
    <row r="16351" spans="30:30" x14ac:dyDescent="0.25">
      <c r="AD16351"/>
    </row>
    <row r="16352" spans="30:30" x14ac:dyDescent="0.25">
      <c r="AD16352"/>
    </row>
    <row r="16353" spans="30:30" x14ac:dyDescent="0.25">
      <c r="AD16353"/>
    </row>
    <row r="16354" spans="30:30" x14ac:dyDescent="0.25">
      <c r="AD16354"/>
    </row>
    <row r="16355" spans="30:30" x14ac:dyDescent="0.25">
      <c r="AD16355"/>
    </row>
    <row r="16356" spans="30:30" x14ac:dyDescent="0.25">
      <c r="AD16356"/>
    </row>
    <row r="16357" spans="30:30" x14ac:dyDescent="0.25">
      <c r="AD16357"/>
    </row>
    <row r="16358" spans="30:30" x14ac:dyDescent="0.25">
      <c r="AD16358"/>
    </row>
    <row r="16359" spans="30:30" x14ac:dyDescent="0.25">
      <c r="AD16359"/>
    </row>
    <row r="16360" spans="30:30" x14ac:dyDescent="0.25">
      <c r="AD16360"/>
    </row>
    <row r="16361" spans="30:30" x14ac:dyDescent="0.25">
      <c r="AD16361"/>
    </row>
    <row r="16362" spans="30:30" x14ac:dyDescent="0.25">
      <c r="AD16362"/>
    </row>
    <row r="16363" spans="30:30" x14ac:dyDescent="0.25">
      <c r="AD16363"/>
    </row>
    <row r="16364" spans="30:30" x14ac:dyDescent="0.25">
      <c r="AD16364"/>
    </row>
    <row r="16365" spans="30:30" x14ac:dyDescent="0.25">
      <c r="AD16365"/>
    </row>
    <row r="16366" spans="30:30" x14ac:dyDescent="0.25">
      <c r="AD16366"/>
    </row>
    <row r="16367" spans="30:30" x14ac:dyDescent="0.25">
      <c r="AD16367"/>
    </row>
    <row r="16368" spans="30:30" x14ac:dyDescent="0.25">
      <c r="AD16368"/>
    </row>
    <row r="16369" spans="30:30" x14ac:dyDescent="0.25">
      <c r="AD16369"/>
    </row>
    <row r="16370" spans="30:30" x14ac:dyDescent="0.25">
      <c r="AD16370"/>
    </row>
    <row r="16371" spans="30:30" x14ac:dyDescent="0.25">
      <c r="AD16371"/>
    </row>
    <row r="16372" spans="30:30" x14ac:dyDescent="0.25">
      <c r="AD16372"/>
    </row>
    <row r="16373" spans="30:30" x14ac:dyDescent="0.25">
      <c r="AD16373"/>
    </row>
    <row r="16374" spans="30:30" x14ac:dyDescent="0.25">
      <c r="AD16374"/>
    </row>
    <row r="16375" spans="30:30" x14ac:dyDescent="0.25">
      <c r="AD16375"/>
    </row>
    <row r="16376" spans="30:30" x14ac:dyDescent="0.25">
      <c r="AD16376"/>
    </row>
    <row r="16377" spans="30:30" x14ac:dyDescent="0.25">
      <c r="AD16377"/>
    </row>
    <row r="16378" spans="30:30" x14ac:dyDescent="0.25">
      <c r="AD16378"/>
    </row>
    <row r="16379" spans="30:30" x14ac:dyDescent="0.25">
      <c r="AD16379"/>
    </row>
    <row r="16380" spans="30:30" x14ac:dyDescent="0.25">
      <c r="AD16380"/>
    </row>
    <row r="16381" spans="30:30" x14ac:dyDescent="0.25">
      <c r="AD16381"/>
    </row>
    <row r="16382" spans="30:30" x14ac:dyDescent="0.25">
      <c r="AD16382"/>
    </row>
    <row r="16383" spans="30:30" x14ac:dyDescent="0.25">
      <c r="AD16383"/>
    </row>
    <row r="16384" spans="30:30" x14ac:dyDescent="0.25">
      <c r="AD16384"/>
    </row>
    <row r="16385" spans="30:30" x14ac:dyDescent="0.25">
      <c r="AD16385"/>
    </row>
    <row r="16386" spans="30:30" x14ac:dyDescent="0.25">
      <c r="AD16386"/>
    </row>
    <row r="16387" spans="30:30" x14ac:dyDescent="0.25">
      <c r="AD16387"/>
    </row>
    <row r="16388" spans="30:30" x14ac:dyDescent="0.25">
      <c r="AD16388"/>
    </row>
    <row r="16389" spans="30:30" x14ac:dyDescent="0.25">
      <c r="AD16389"/>
    </row>
    <row r="16390" spans="30:30" x14ac:dyDescent="0.25">
      <c r="AD16390"/>
    </row>
    <row r="16391" spans="30:30" x14ac:dyDescent="0.25">
      <c r="AD16391"/>
    </row>
    <row r="16392" spans="30:30" x14ac:dyDescent="0.25">
      <c r="AD16392"/>
    </row>
    <row r="16393" spans="30:30" x14ac:dyDescent="0.25">
      <c r="AD16393"/>
    </row>
    <row r="16394" spans="30:30" x14ac:dyDescent="0.25">
      <c r="AD16394"/>
    </row>
    <row r="16395" spans="30:30" x14ac:dyDescent="0.25">
      <c r="AD16395"/>
    </row>
    <row r="16396" spans="30:30" x14ac:dyDescent="0.25">
      <c r="AD16396"/>
    </row>
    <row r="16397" spans="30:30" x14ac:dyDescent="0.25">
      <c r="AD16397"/>
    </row>
    <row r="16398" spans="30:30" x14ac:dyDescent="0.25">
      <c r="AD16398"/>
    </row>
    <row r="16399" spans="30:30" x14ac:dyDescent="0.25">
      <c r="AD16399"/>
    </row>
    <row r="16400" spans="30:30" x14ac:dyDescent="0.25">
      <c r="AD16400"/>
    </row>
    <row r="16401" spans="30:30" x14ac:dyDescent="0.25">
      <c r="AD16401"/>
    </row>
    <row r="16402" spans="30:30" x14ac:dyDescent="0.25">
      <c r="AD16402"/>
    </row>
    <row r="16403" spans="30:30" x14ac:dyDescent="0.25">
      <c r="AD16403"/>
    </row>
    <row r="16404" spans="30:30" x14ac:dyDescent="0.25">
      <c r="AD16404"/>
    </row>
    <row r="16405" spans="30:30" x14ac:dyDescent="0.25">
      <c r="AD16405"/>
    </row>
    <row r="16406" spans="30:30" x14ac:dyDescent="0.25">
      <c r="AD16406"/>
    </row>
    <row r="16407" spans="30:30" x14ac:dyDescent="0.25">
      <c r="AD16407"/>
    </row>
    <row r="16408" spans="30:30" x14ac:dyDescent="0.25">
      <c r="AD16408"/>
    </row>
    <row r="16409" spans="30:30" x14ac:dyDescent="0.25">
      <c r="AD16409"/>
    </row>
    <row r="16410" spans="30:30" x14ac:dyDescent="0.25">
      <c r="AD16410"/>
    </row>
    <row r="16411" spans="30:30" x14ac:dyDescent="0.25">
      <c r="AD16411"/>
    </row>
    <row r="16412" spans="30:30" x14ac:dyDescent="0.25">
      <c r="AD16412"/>
    </row>
    <row r="16413" spans="30:30" x14ac:dyDescent="0.25">
      <c r="AD16413"/>
    </row>
    <row r="16414" spans="30:30" x14ac:dyDescent="0.25">
      <c r="AD16414"/>
    </row>
    <row r="16415" spans="30:30" x14ac:dyDescent="0.25">
      <c r="AD16415"/>
    </row>
    <row r="16416" spans="30:30" x14ac:dyDescent="0.25">
      <c r="AD16416"/>
    </row>
    <row r="16417" spans="30:30" x14ac:dyDescent="0.25">
      <c r="AD16417"/>
    </row>
    <row r="16418" spans="30:30" x14ac:dyDescent="0.25">
      <c r="AD16418"/>
    </row>
    <row r="16419" spans="30:30" x14ac:dyDescent="0.25">
      <c r="AD16419"/>
    </row>
    <row r="16420" spans="30:30" x14ac:dyDescent="0.25">
      <c r="AD16420"/>
    </row>
    <row r="16421" spans="30:30" x14ac:dyDescent="0.25">
      <c r="AD16421"/>
    </row>
    <row r="16422" spans="30:30" x14ac:dyDescent="0.25">
      <c r="AD16422"/>
    </row>
    <row r="16423" spans="30:30" x14ac:dyDescent="0.25">
      <c r="AD16423"/>
    </row>
    <row r="16424" spans="30:30" x14ac:dyDescent="0.25">
      <c r="AD16424"/>
    </row>
    <row r="16425" spans="30:30" x14ac:dyDescent="0.25">
      <c r="AD16425"/>
    </row>
    <row r="16426" spans="30:30" x14ac:dyDescent="0.25">
      <c r="AD16426"/>
    </row>
    <row r="16427" spans="30:30" x14ac:dyDescent="0.25">
      <c r="AD16427"/>
    </row>
    <row r="16428" spans="30:30" x14ac:dyDescent="0.25">
      <c r="AD16428"/>
    </row>
    <row r="16429" spans="30:30" x14ac:dyDescent="0.25">
      <c r="AD16429"/>
    </row>
    <row r="16430" spans="30:30" x14ac:dyDescent="0.25">
      <c r="AD16430"/>
    </row>
    <row r="16431" spans="30:30" x14ac:dyDescent="0.25">
      <c r="AD16431"/>
    </row>
    <row r="16432" spans="30:30" x14ac:dyDescent="0.25">
      <c r="AD16432"/>
    </row>
    <row r="16433" spans="30:30" x14ac:dyDescent="0.25">
      <c r="AD16433"/>
    </row>
    <row r="16434" spans="30:30" x14ac:dyDescent="0.25">
      <c r="AD16434"/>
    </row>
    <row r="16435" spans="30:30" x14ac:dyDescent="0.25">
      <c r="AD16435"/>
    </row>
    <row r="16436" spans="30:30" x14ac:dyDescent="0.25">
      <c r="AD16436"/>
    </row>
    <row r="16437" spans="30:30" x14ac:dyDescent="0.25">
      <c r="AD16437"/>
    </row>
    <row r="16438" spans="30:30" x14ac:dyDescent="0.25">
      <c r="AD16438"/>
    </row>
    <row r="16439" spans="30:30" x14ac:dyDescent="0.25">
      <c r="AD16439"/>
    </row>
    <row r="16440" spans="30:30" x14ac:dyDescent="0.25">
      <c r="AD16440"/>
    </row>
    <row r="16441" spans="30:30" x14ac:dyDescent="0.25">
      <c r="AD16441"/>
    </row>
    <row r="16442" spans="30:30" x14ac:dyDescent="0.25">
      <c r="AD16442"/>
    </row>
    <row r="16443" spans="30:30" x14ac:dyDescent="0.25">
      <c r="AD16443"/>
    </row>
    <row r="16444" spans="30:30" x14ac:dyDescent="0.25">
      <c r="AD16444"/>
    </row>
    <row r="16445" spans="30:30" x14ac:dyDescent="0.25">
      <c r="AD16445"/>
    </row>
    <row r="16446" spans="30:30" x14ac:dyDescent="0.25">
      <c r="AD16446"/>
    </row>
    <row r="16447" spans="30:30" x14ac:dyDescent="0.25">
      <c r="AD16447"/>
    </row>
    <row r="16448" spans="30:30" x14ac:dyDescent="0.25">
      <c r="AD16448"/>
    </row>
    <row r="16449" spans="30:30" x14ac:dyDescent="0.25">
      <c r="AD16449"/>
    </row>
    <row r="16450" spans="30:30" x14ac:dyDescent="0.25">
      <c r="AD16450"/>
    </row>
    <row r="16451" spans="30:30" x14ac:dyDescent="0.25">
      <c r="AD16451"/>
    </row>
    <row r="16452" spans="30:30" x14ac:dyDescent="0.25">
      <c r="AD16452"/>
    </row>
    <row r="16453" spans="30:30" x14ac:dyDescent="0.25">
      <c r="AD16453"/>
    </row>
    <row r="16454" spans="30:30" x14ac:dyDescent="0.25">
      <c r="AD16454"/>
    </row>
    <row r="16455" spans="30:30" x14ac:dyDescent="0.25">
      <c r="AD16455"/>
    </row>
    <row r="16456" spans="30:30" x14ac:dyDescent="0.25">
      <c r="AD16456"/>
    </row>
    <row r="16457" spans="30:30" x14ac:dyDescent="0.25">
      <c r="AD16457"/>
    </row>
    <row r="16458" spans="30:30" x14ac:dyDescent="0.25">
      <c r="AD16458"/>
    </row>
    <row r="16459" spans="30:30" x14ac:dyDescent="0.25">
      <c r="AD16459"/>
    </row>
    <row r="16460" spans="30:30" x14ac:dyDescent="0.25">
      <c r="AD16460"/>
    </row>
    <row r="16461" spans="30:30" x14ac:dyDescent="0.25">
      <c r="AD16461"/>
    </row>
    <row r="16462" spans="30:30" x14ac:dyDescent="0.25">
      <c r="AD16462"/>
    </row>
    <row r="16463" spans="30:30" x14ac:dyDescent="0.25">
      <c r="AD16463"/>
    </row>
    <row r="16464" spans="30:30" x14ac:dyDescent="0.25">
      <c r="AD16464"/>
    </row>
    <row r="16465" spans="30:30" x14ac:dyDescent="0.25">
      <c r="AD16465"/>
    </row>
    <row r="16466" spans="30:30" x14ac:dyDescent="0.25">
      <c r="AD16466"/>
    </row>
    <row r="16467" spans="30:30" x14ac:dyDescent="0.25">
      <c r="AD16467"/>
    </row>
    <row r="16468" spans="30:30" x14ac:dyDescent="0.25">
      <c r="AD16468"/>
    </row>
    <row r="16469" spans="30:30" x14ac:dyDescent="0.25">
      <c r="AD16469"/>
    </row>
    <row r="16470" spans="30:30" x14ac:dyDescent="0.25">
      <c r="AD16470"/>
    </row>
    <row r="16471" spans="30:30" x14ac:dyDescent="0.25">
      <c r="AD16471"/>
    </row>
    <row r="16472" spans="30:30" x14ac:dyDescent="0.25">
      <c r="AD16472"/>
    </row>
    <row r="16473" spans="30:30" x14ac:dyDescent="0.25">
      <c r="AD16473"/>
    </row>
    <row r="16474" spans="30:30" x14ac:dyDescent="0.25">
      <c r="AD16474"/>
    </row>
    <row r="16475" spans="30:30" x14ac:dyDescent="0.25">
      <c r="AD16475"/>
    </row>
    <row r="16476" spans="30:30" x14ac:dyDescent="0.25">
      <c r="AD16476"/>
    </row>
    <row r="16477" spans="30:30" x14ac:dyDescent="0.25">
      <c r="AD16477"/>
    </row>
    <row r="16478" spans="30:30" x14ac:dyDescent="0.25">
      <c r="AD16478"/>
    </row>
    <row r="16479" spans="30:30" x14ac:dyDescent="0.25">
      <c r="AD16479"/>
    </row>
    <row r="16480" spans="30:30" x14ac:dyDescent="0.25">
      <c r="AD16480"/>
    </row>
    <row r="16481" spans="30:30" x14ac:dyDescent="0.25">
      <c r="AD16481"/>
    </row>
    <row r="16482" spans="30:30" x14ac:dyDescent="0.25">
      <c r="AD16482"/>
    </row>
    <row r="16483" spans="30:30" x14ac:dyDescent="0.25">
      <c r="AD16483"/>
    </row>
    <row r="16484" spans="30:30" x14ac:dyDescent="0.25">
      <c r="AD16484"/>
    </row>
    <row r="16485" spans="30:30" x14ac:dyDescent="0.25">
      <c r="AD16485"/>
    </row>
    <row r="16486" spans="30:30" x14ac:dyDescent="0.25">
      <c r="AD16486"/>
    </row>
    <row r="16487" spans="30:30" x14ac:dyDescent="0.25">
      <c r="AD16487"/>
    </row>
    <row r="16488" spans="30:30" x14ac:dyDescent="0.25">
      <c r="AD16488"/>
    </row>
    <row r="16489" spans="30:30" x14ac:dyDescent="0.25">
      <c r="AD16489"/>
    </row>
    <row r="16490" spans="30:30" x14ac:dyDescent="0.25">
      <c r="AD16490"/>
    </row>
    <row r="16491" spans="30:30" x14ac:dyDescent="0.25">
      <c r="AD16491"/>
    </row>
    <row r="16492" spans="30:30" x14ac:dyDescent="0.25">
      <c r="AD16492"/>
    </row>
    <row r="16493" spans="30:30" x14ac:dyDescent="0.25">
      <c r="AD16493"/>
    </row>
    <row r="16494" spans="30:30" x14ac:dyDescent="0.25">
      <c r="AD16494"/>
    </row>
    <row r="16495" spans="30:30" x14ac:dyDescent="0.25">
      <c r="AD16495"/>
    </row>
    <row r="16496" spans="30:30" x14ac:dyDescent="0.25">
      <c r="AD16496"/>
    </row>
    <row r="16497" spans="30:30" x14ac:dyDescent="0.25">
      <c r="AD16497"/>
    </row>
    <row r="16498" spans="30:30" x14ac:dyDescent="0.25">
      <c r="AD16498"/>
    </row>
    <row r="16499" spans="30:30" x14ac:dyDescent="0.25">
      <c r="AD16499"/>
    </row>
    <row r="16500" spans="30:30" x14ac:dyDescent="0.25">
      <c r="AD16500"/>
    </row>
    <row r="16501" spans="30:30" x14ac:dyDescent="0.25">
      <c r="AD16501"/>
    </row>
    <row r="16502" spans="30:30" x14ac:dyDescent="0.25">
      <c r="AD16502"/>
    </row>
    <row r="16503" spans="30:30" x14ac:dyDescent="0.25">
      <c r="AD16503"/>
    </row>
    <row r="16504" spans="30:30" x14ac:dyDescent="0.25">
      <c r="AD16504"/>
    </row>
    <row r="16505" spans="30:30" x14ac:dyDescent="0.25">
      <c r="AD16505"/>
    </row>
    <row r="16506" spans="30:30" x14ac:dyDescent="0.25">
      <c r="AD16506"/>
    </row>
    <row r="16507" spans="30:30" x14ac:dyDescent="0.25">
      <c r="AD16507"/>
    </row>
    <row r="16508" spans="30:30" x14ac:dyDescent="0.25">
      <c r="AD16508"/>
    </row>
    <row r="16509" spans="30:30" x14ac:dyDescent="0.25">
      <c r="AD16509"/>
    </row>
    <row r="16510" spans="30:30" x14ac:dyDescent="0.25">
      <c r="AD16510"/>
    </row>
    <row r="16511" spans="30:30" x14ac:dyDescent="0.25">
      <c r="AD16511"/>
    </row>
    <row r="16512" spans="30:30" x14ac:dyDescent="0.25">
      <c r="AD16512"/>
    </row>
    <row r="16513" spans="30:30" x14ac:dyDescent="0.25">
      <c r="AD16513"/>
    </row>
    <row r="16514" spans="30:30" x14ac:dyDescent="0.25">
      <c r="AD16514"/>
    </row>
    <row r="16515" spans="30:30" x14ac:dyDescent="0.25">
      <c r="AD16515"/>
    </row>
    <row r="16516" spans="30:30" x14ac:dyDescent="0.25">
      <c r="AD16516"/>
    </row>
    <row r="16517" spans="30:30" x14ac:dyDescent="0.25">
      <c r="AD16517"/>
    </row>
    <row r="16518" spans="30:30" x14ac:dyDescent="0.25">
      <c r="AD16518"/>
    </row>
    <row r="16519" spans="30:30" x14ac:dyDescent="0.25">
      <c r="AD16519"/>
    </row>
    <row r="16520" spans="30:30" x14ac:dyDescent="0.25">
      <c r="AD16520"/>
    </row>
    <row r="16521" spans="30:30" x14ac:dyDescent="0.25">
      <c r="AD16521"/>
    </row>
    <row r="16522" spans="30:30" x14ac:dyDescent="0.25">
      <c r="AD16522"/>
    </row>
    <row r="16523" spans="30:30" x14ac:dyDescent="0.25">
      <c r="AD16523"/>
    </row>
    <row r="16524" spans="30:30" x14ac:dyDescent="0.25">
      <c r="AD16524"/>
    </row>
    <row r="16525" spans="30:30" x14ac:dyDescent="0.25">
      <c r="AD16525"/>
    </row>
    <row r="16526" spans="30:30" x14ac:dyDescent="0.25">
      <c r="AD16526"/>
    </row>
    <row r="16527" spans="30:30" x14ac:dyDescent="0.25">
      <c r="AD16527"/>
    </row>
    <row r="16528" spans="30:30" x14ac:dyDescent="0.25">
      <c r="AD16528"/>
    </row>
    <row r="16529" spans="30:30" x14ac:dyDescent="0.25">
      <c r="AD16529"/>
    </row>
    <row r="16530" spans="30:30" x14ac:dyDescent="0.25">
      <c r="AD16530"/>
    </row>
    <row r="16531" spans="30:30" x14ac:dyDescent="0.25">
      <c r="AD16531"/>
    </row>
    <row r="16532" spans="30:30" x14ac:dyDescent="0.25">
      <c r="AD16532"/>
    </row>
    <row r="16533" spans="30:30" x14ac:dyDescent="0.25">
      <c r="AD16533"/>
    </row>
    <row r="16534" spans="30:30" x14ac:dyDescent="0.25">
      <c r="AD16534"/>
    </row>
    <row r="16535" spans="30:30" x14ac:dyDescent="0.25">
      <c r="AD16535"/>
    </row>
    <row r="16536" spans="30:30" x14ac:dyDescent="0.25">
      <c r="AD16536"/>
    </row>
    <row r="16537" spans="30:30" x14ac:dyDescent="0.25">
      <c r="AD16537"/>
    </row>
    <row r="16538" spans="30:30" x14ac:dyDescent="0.25">
      <c r="AD16538"/>
    </row>
    <row r="16539" spans="30:30" x14ac:dyDescent="0.25">
      <c r="AD16539"/>
    </row>
    <row r="16540" spans="30:30" x14ac:dyDescent="0.25">
      <c r="AD16540"/>
    </row>
    <row r="16541" spans="30:30" x14ac:dyDescent="0.25">
      <c r="AD16541"/>
    </row>
    <row r="16542" spans="30:30" x14ac:dyDescent="0.25">
      <c r="AD16542"/>
    </row>
    <row r="16543" spans="30:30" x14ac:dyDescent="0.25">
      <c r="AD16543"/>
    </row>
    <row r="16544" spans="30:30" x14ac:dyDescent="0.25">
      <c r="AD16544"/>
    </row>
    <row r="16545" spans="30:30" x14ac:dyDescent="0.25">
      <c r="AD16545"/>
    </row>
    <row r="16546" spans="30:30" x14ac:dyDescent="0.25">
      <c r="AD16546"/>
    </row>
    <row r="16547" spans="30:30" x14ac:dyDescent="0.25">
      <c r="AD16547"/>
    </row>
    <row r="16548" spans="30:30" x14ac:dyDescent="0.25">
      <c r="AD16548"/>
    </row>
    <row r="16549" spans="30:30" x14ac:dyDescent="0.25">
      <c r="AD16549"/>
    </row>
    <row r="16550" spans="30:30" x14ac:dyDescent="0.25">
      <c r="AD16550"/>
    </row>
    <row r="16551" spans="30:30" x14ac:dyDescent="0.25">
      <c r="AD16551"/>
    </row>
    <row r="16552" spans="30:30" x14ac:dyDescent="0.25">
      <c r="AD16552"/>
    </row>
    <row r="16553" spans="30:30" x14ac:dyDescent="0.25">
      <c r="AD16553"/>
    </row>
    <row r="16554" spans="30:30" x14ac:dyDescent="0.25">
      <c r="AD16554"/>
    </row>
    <row r="16555" spans="30:30" x14ac:dyDescent="0.25">
      <c r="AD16555"/>
    </row>
    <row r="16556" spans="30:30" x14ac:dyDescent="0.25">
      <c r="AD16556"/>
    </row>
    <row r="16557" spans="30:30" x14ac:dyDescent="0.25">
      <c r="AD16557"/>
    </row>
    <row r="16558" spans="30:30" x14ac:dyDescent="0.25">
      <c r="AD16558"/>
    </row>
    <row r="16559" spans="30:30" x14ac:dyDescent="0.25">
      <c r="AD16559"/>
    </row>
    <row r="16560" spans="30:30" x14ac:dyDescent="0.25">
      <c r="AD16560"/>
    </row>
    <row r="16561" spans="30:30" x14ac:dyDescent="0.25">
      <c r="AD16561"/>
    </row>
    <row r="16562" spans="30:30" x14ac:dyDescent="0.25">
      <c r="AD16562"/>
    </row>
    <row r="16563" spans="30:30" x14ac:dyDescent="0.25">
      <c r="AD16563"/>
    </row>
    <row r="16564" spans="30:30" x14ac:dyDescent="0.25">
      <c r="AD16564"/>
    </row>
    <row r="16565" spans="30:30" x14ac:dyDescent="0.25">
      <c r="AD16565"/>
    </row>
    <row r="16566" spans="30:30" x14ac:dyDescent="0.25">
      <c r="AD16566"/>
    </row>
    <row r="16567" spans="30:30" x14ac:dyDescent="0.25">
      <c r="AD16567"/>
    </row>
    <row r="16568" spans="30:30" x14ac:dyDescent="0.25">
      <c r="AD16568"/>
    </row>
    <row r="16569" spans="30:30" x14ac:dyDescent="0.25">
      <c r="AD16569"/>
    </row>
    <row r="16570" spans="30:30" x14ac:dyDescent="0.25">
      <c r="AD16570"/>
    </row>
    <row r="16571" spans="30:30" x14ac:dyDescent="0.25">
      <c r="AD16571"/>
    </row>
    <row r="16572" spans="30:30" x14ac:dyDescent="0.25">
      <c r="AD16572"/>
    </row>
    <row r="16573" spans="30:30" x14ac:dyDescent="0.25">
      <c r="AD16573"/>
    </row>
    <row r="16574" spans="30:30" x14ac:dyDescent="0.25">
      <c r="AD16574"/>
    </row>
    <row r="16575" spans="30:30" x14ac:dyDescent="0.25">
      <c r="AD16575"/>
    </row>
    <row r="16576" spans="30:30" x14ac:dyDescent="0.25">
      <c r="AD16576"/>
    </row>
    <row r="16577" spans="30:30" x14ac:dyDescent="0.25">
      <c r="AD16577"/>
    </row>
    <row r="16578" spans="30:30" x14ac:dyDescent="0.25">
      <c r="AD16578"/>
    </row>
    <row r="16579" spans="30:30" x14ac:dyDescent="0.25">
      <c r="AD16579"/>
    </row>
    <row r="16580" spans="30:30" x14ac:dyDescent="0.25">
      <c r="AD16580"/>
    </row>
    <row r="16581" spans="30:30" x14ac:dyDescent="0.25">
      <c r="AD16581"/>
    </row>
    <row r="16582" spans="30:30" x14ac:dyDescent="0.25">
      <c r="AD16582"/>
    </row>
    <row r="16583" spans="30:30" x14ac:dyDescent="0.25">
      <c r="AD16583"/>
    </row>
    <row r="16584" spans="30:30" x14ac:dyDescent="0.25">
      <c r="AD16584"/>
    </row>
    <row r="16585" spans="30:30" x14ac:dyDescent="0.25">
      <c r="AD16585"/>
    </row>
    <row r="16586" spans="30:30" x14ac:dyDescent="0.25">
      <c r="AD16586"/>
    </row>
    <row r="16587" spans="30:30" x14ac:dyDescent="0.25">
      <c r="AD16587"/>
    </row>
    <row r="16588" spans="30:30" x14ac:dyDescent="0.25">
      <c r="AD16588"/>
    </row>
    <row r="16589" spans="30:30" x14ac:dyDescent="0.25">
      <c r="AD16589"/>
    </row>
    <row r="16590" spans="30:30" x14ac:dyDescent="0.25">
      <c r="AD16590"/>
    </row>
    <row r="16591" spans="30:30" x14ac:dyDescent="0.25">
      <c r="AD16591"/>
    </row>
    <row r="16592" spans="30:30" x14ac:dyDescent="0.25">
      <c r="AD16592"/>
    </row>
    <row r="16593" spans="30:30" x14ac:dyDescent="0.25">
      <c r="AD16593"/>
    </row>
    <row r="16594" spans="30:30" x14ac:dyDescent="0.25">
      <c r="AD16594"/>
    </row>
    <row r="16595" spans="30:30" x14ac:dyDescent="0.25">
      <c r="AD16595"/>
    </row>
    <row r="16596" spans="30:30" x14ac:dyDescent="0.25">
      <c r="AD16596"/>
    </row>
    <row r="16597" spans="30:30" x14ac:dyDescent="0.25">
      <c r="AD16597"/>
    </row>
    <row r="16598" spans="30:30" x14ac:dyDescent="0.25">
      <c r="AD16598"/>
    </row>
    <row r="16599" spans="30:30" x14ac:dyDescent="0.25">
      <c r="AD16599"/>
    </row>
    <row r="16600" spans="30:30" x14ac:dyDescent="0.25">
      <c r="AD16600"/>
    </row>
    <row r="16601" spans="30:30" x14ac:dyDescent="0.25">
      <c r="AD16601"/>
    </row>
    <row r="16602" spans="30:30" x14ac:dyDescent="0.25">
      <c r="AD16602"/>
    </row>
    <row r="16603" spans="30:30" x14ac:dyDescent="0.25">
      <c r="AD16603"/>
    </row>
    <row r="16604" spans="30:30" x14ac:dyDescent="0.25">
      <c r="AD16604"/>
    </row>
    <row r="16605" spans="30:30" x14ac:dyDescent="0.25">
      <c r="AD16605"/>
    </row>
    <row r="16606" spans="30:30" x14ac:dyDescent="0.25">
      <c r="AD16606"/>
    </row>
    <row r="16607" spans="30:30" x14ac:dyDescent="0.25">
      <c r="AD16607"/>
    </row>
    <row r="16608" spans="30:30" x14ac:dyDescent="0.25">
      <c r="AD16608"/>
    </row>
    <row r="16609" spans="30:30" x14ac:dyDescent="0.25">
      <c r="AD16609"/>
    </row>
    <row r="16610" spans="30:30" x14ac:dyDescent="0.25">
      <c r="AD16610"/>
    </row>
    <row r="16611" spans="30:30" x14ac:dyDescent="0.25">
      <c r="AD16611"/>
    </row>
    <row r="16612" spans="30:30" x14ac:dyDescent="0.25">
      <c r="AD16612"/>
    </row>
    <row r="16613" spans="30:30" x14ac:dyDescent="0.25">
      <c r="AD16613"/>
    </row>
    <row r="16614" spans="30:30" x14ac:dyDescent="0.25">
      <c r="AD16614"/>
    </row>
    <row r="16615" spans="30:30" x14ac:dyDescent="0.25">
      <c r="AD16615"/>
    </row>
    <row r="16616" spans="30:30" x14ac:dyDescent="0.25">
      <c r="AD16616"/>
    </row>
    <row r="16617" spans="30:30" x14ac:dyDescent="0.25">
      <c r="AD16617"/>
    </row>
    <row r="16618" spans="30:30" x14ac:dyDescent="0.25">
      <c r="AD16618"/>
    </row>
    <row r="16619" spans="30:30" x14ac:dyDescent="0.25">
      <c r="AD16619"/>
    </row>
    <row r="16620" spans="30:30" x14ac:dyDescent="0.25">
      <c r="AD16620"/>
    </row>
    <row r="16621" spans="30:30" x14ac:dyDescent="0.25">
      <c r="AD16621"/>
    </row>
    <row r="16622" spans="30:30" x14ac:dyDescent="0.25">
      <c r="AD16622"/>
    </row>
    <row r="16623" spans="30:30" x14ac:dyDescent="0.25">
      <c r="AD16623"/>
    </row>
    <row r="16624" spans="30:30" x14ac:dyDescent="0.25">
      <c r="AD16624"/>
    </row>
    <row r="16625" spans="30:30" x14ac:dyDescent="0.25">
      <c r="AD16625"/>
    </row>
    <row r="16626" spans="30:30" x14ac:dyDescent="0.25">
      <c r="AD16626"/>
    </row>
    <row r="16627" spans="30:30" x14ac:dyDescent="0.25">
      <c r="AD16627"/>
    </row>
    <row r="16628" spans="30:30" x14ac:dyDescent="0.25">
      <c r="AD16628"/>
    </row>
    <row r="16629" spans="30:30" x14ac:dyDescent="0.25">
      <c r="AD16629"/>
    </row>
    <row r="16630" spans="30:30" x14ac:dyDescent="0.25">
      <c r="AD16630"/>
    </row>
    <row r="16631" spans="30:30" x14ac:dyDescent="0.25">
      <c r="AD16631"/>
    </row>
    <row r="16632" spans="30:30" x14ac:dyDescent="0.25">
      <c r="AD16632"/>
    </row>
    <row r="16633" spans="30:30" x14ac:dyDescent="0.25">
      <c r="AD16633"/>
    </row>
    <row r="16634" spans="30:30" x14ac:dyDescent="0.25">
      <c r="AD16634"/>
    </row>
    <row r="16635" spans="30:30" x14ac:dyDescent="0.25">
      <c r="AD16635"/>
    </row>
    <row r="16636" spans="30:30" x14ac:dyDescent="0.25">
      <c r="AD16636"/>
    </row>
    <row r="16637" spans="30:30" x14ac:dyDescent="0.25">
      <c r="AD16637"/>
    </row>
    <row r="16638" spans="30:30" x14ac:dyDescent="0.25">
      <c r="AD16638"/>
    </row>
    <row r="16639" spans="30:30" x14ac:dyDescent="0.25">
      <c r="AD16639"/>
    </row>
    <row r="16640" spans="30:30" x14ac:dyDescent="0.25">
      <c r="AD16640"/>
    </row>
    <row r="16641" spans="30:30" x14ac:dyDescent="0.25">
      <c r="AD16641"/>
    </row>
    <row r="16642" spans="30:30" x14ac:dyDescent="0.25">
      <c r="AD16642"/>
    </row>
    <row r="16643" spans="30:30" x14ac:dyDescent="0.25">
      <c r="AD16643"/>
    </row>
    <row r="16644" spans="30:30" x14ac:dyDescent="0.25">
      <c r="AD16644"/>
    </row>
    <row r="16645" spans="30:30" x14ac:dyDescent="0.25">
      <c r="AD16645"/>
    </row>
    <row r="16646" spans="30:30" x14ac:dyDescent="0.25">
      <c r="AD16646"/>
    </row>
    <row r="16647" spans="30:30" x14ac:dyDescent="0.25">
      <c r="AD16647"/>
    </row>
    <row r="16648" spans="30:30" x14ac:dyDescent="0.25">
      <c r="AD16648"/>
    </row>
    <row r="16649" spans="30:30" x14ac:dyDescent="0.25">
      <c r="AD16649"/>
    </row>
    <row r="16650" spans="30:30" x14ac:dyDescent="0.25">
      <c r="AD16650"/>
    </row>
    <row r="16651" spans="30:30" x14ac:dyDescent="0.25">
      <c r="AD16651"/>
    </row>
    <row r="16652" spans="30:30" x14ac:dyDescent="0.25">
      <c r="AD16652"/>
    </row>
    <row r="16653" spans="30:30" x14ac:dyDescent="0.25">
      <c r="AD16653"/>
    </row>
    <row r="16654" spans="30:30" x14ac:dyDescent="0.25">
      <c r="AD16654"/>
    </row>
    <row r="16655" spans="30:30" x14ac:dyDescent="0.25">
      <c r="AD16655"/>
    </row>
    <row r="16656" spans="30:30" x14ac:dyDescent="0.25">
      <c r="AD16656"/>
    </row>
    <row r="16657" spans="30:30" x14ac:dyDescent="0.25">
      <c r="AD16657"/>
    </row>
    <row r="16658" spans="30:30" x14ac:dyDescent="0.25">
      <c r="AD16658"/>
    </row>
    <row r="16659" spans="30:30" x14ac:dyDescent="0.25">
      <c r="AD16659"/>
    </row>
    <row r="16660" spans="30:30" x14ac:dyDescent="0.25">
      <c r="AD16660"/>
    </row>
    <row r="16661" spans="30:30" x14ac:dyDescent="0.25">
      <c r="AD16661"/>
    </row>
    <row r="16662" spans="30:30" x14ac:dyDescent="0.25">
      <c r="AD16662"/>
    </row>
    <row r="16663" spans="30:30" x14ac:dyDescent="0.25">
      <c r="AD16663"/>
    </row>
    <row r="16664" spans="30:30" x14ac:dyDescent="0.25">
      <c r="AD16664"/>
    </row>
    <row r="16665" spans="30:30" x14ac:dyDescent="0.25">
      <c r="AD16665"/>
    </row>
    <row r="16666" spans="30:30" x14ac:dyDescent="0.25">
      <c r="AD16666"/>
    </row>
    <row r="16667" spans="30:30" x14ac:dyDescent="0.25">
      <c r="AD16667"/>
    </row>
    <row r="16668" spans="30:30" x14ac:dyDescent="0.25">
      <c r="AD16668"/>
    </row>
    <row r="16669" spans="30:30" x14ac:dyDescent="0.25">
      <c r="AD16669"/>
    </row>
    <row r="16670" spans="30:30" x14ac:dyDescent="0.25">
      <c r="AD16670"/>
    </row>
    <row r="16671" spans="30:30" x14ac:dyDescent="0.25">
      <c r="AD16671"/>
    </row>
    <row r="16672" spans="30:30" x14ac:dyDescent="0.25">
      <c r="AD16672"/>
    </row>
    <row r="16673" spans="30:30" x14ac:dyDescent="0.25">
      <c r="AD16673"/>
    </row>
    <row r="16674" spans="30:30" x14ac:dyDescent="0.25">
      <c r="AD16674"/>
    </row>
    <row r="16675" spans="30:30" x14ac:dyDescent="0.25">
      <c r="AD16675"/>
    </row>
    <row r="16676" spans="30:30" x14ac:dyDescent="0.25">
      <c r="AD16676"/>
    </row>
    <row r="16677" spans="30:30" x14ac:dyDescent="0.25">
      <c r="AD16677"/>
    </row>
    <row r="16678" spans="30:30" x14ac:dyDescent="0.25">
      <c r="AD16678"/>
    </row>
    <row r="16679" spans="30:30" x14ac:dyDescent="0.25">
      <c r="AD16679"/>
    </row>
    <row r="16680" spans="30:30" x14ac:dyDescent="0.25">
      <c r="AD16680"/>
    </row>
    <row r="16681" spans="30:30" x14ac:dyDescent="0.25">
      <c r="AD16681"/>
    </row>
    <row r="16682" spans="30:30" x14ac:dyDescent="0.25">
      <c r="AD16682"/>
    </row>
    <row r="16683" spans="30:30" x14ac:dyDescent="0.25">
      <c r="AD16683"/>
    </row>
    <row r="16684" spans="30:30" x14ac:dyDescent="0.25">
      <c r="AD16684"/>
    </row>
    <row r="16685" spans="30:30" x14ac:dyDescent="0.25">
      <c r="AD16685"/>
    </row>
    <row r="16686" spans="30:30" x14ac:dyDescent="0.25">
      <c r="AD16686"/>
    </row>
    <row r="16687" spans="30:30" x14ac:dyDescent="0.25">
      <c r="AD16687"/>
    </row>
    <row r="16688" spans="30:30" x14ac:dyDescent="0.25">
      <c r="AD16688"/>
    </row>
    <row r="16689" spans="30:30" x14ac:dyDescent="0.25">
      <c r="AD16689"/>
    </row>
    <row r="16690" spans="30:30" x14ac:dyDescent="0.25">
      <c r="AD16690"/>
    </row>
    <row r="16691" spans="30:30" x14ac:dyDescent="0.25">
      <c r="AD16691"/>
    </row>
    <row r="16692" spans="30:30" x14ac:dyDescent="0.25">
      <c r="AD16692"/>
    </row>
    <row r="16693" spans="30:30" x14ac:dyDescent="0.25">
      <c r="AD16693"/>
    </row>
    <row r="16694" spans="30:30" x14ac:dyDescent="0.25">
      <c r="AD16694"/>
    </row>
    <row r="16695" spans="30:30" x14ac:dyDescent="0.25">
      <c r="AD16695"/>
    </row>
    <row r="16696" spans="30:30" x14ac:dyDescent="0.25">
      <c r="AD16696"/>
    </row>
    <row r="16697" spans="30:30" x14ac:dyDescent="0.25">
      <c r="AD16697"/>
    </row>
    <row r="16698" spans="30:30" x14ac:dyDescent="0.25">
      <c r="AD16698"/>
    </row>
    <row r="16699" spans="30:30" x14ac:dyDescent="0.25">
      <c r="AD16699"/>
    </row>
    <row r="16700" spans="30:30" x14ac:dyDescent="0.25">
      <c r="AD16700"/>
    </row>
    <row r="16701" spans="30:30" x14ac:dyDescent="0.25">
      <c r="AD16701"/>
    </row>
    <row r="16702" spans="30:30" x14ac:dyDescent="0.25">
      <c r="AD16702"/>
    </row>
    <row r="16703" spans="30:30" x14ac:dyDescent="0.25">
      <c r="AD16703"/>
    </row>
    <row r="16704" spans="30:30" x14ac:dyDescent="0.25">
      <c r="AD16704"/>
    </row>
    <row r="16705" spans="30:30" x14ac:dyDescent="0.25">
      <c r="AD16705"/>
    </row>
    <row r="16706" spans="30:30" x14ac:dyDescent="0.25">
      <c r="AD16706"/>
    </row>
    <row r="16707" spans="30:30" x14ac:dyDescent="0.25">
      <c r="AD16707"/>
    </row>
    <row r="16708" spans="30:30" x14ac:dyDescent="0.25">
      <c r="AD16708"/>
    </row>
    <row r="16709" spans="30:30" x14ac:dyDescent="0.25">
      <c r="AD16709"/>
    </row>
    <row r="16710" spans="30:30" x14ac:dyDescent="0.25">
      <c r="AD16710"/>
    </row>
    <row r="16711" spans="30:30" x14ac:dyDescent="0.25">
      <c r="AD16711"/>
    </row>
    <row r="16712" spans="30:30" x14ac:dyDescent="0.25">
      <c r="AD16712"/>
    </row>
    <row r="16713" spans="30:30" x14ac:dyDescent="0.25">
      <c r="AD16713"/>
    </row>
    <row r="16714" spans="30:30" x14ac:dyDescent="0.25">
      <c r="AD16714"/>
    </row>
    <row r="16715" spans="30:30" x14ac:dyDescent="0.25">
      <c r="AD16715"/>
    </row>
    <row r="16716" spans="30:30" x14ac:dyDescent="0.25">
      <c r="AD16716"/>
    </row>
    <row r="16717" spans="30:30" x14ac:dyDescent="0.25">
      <c r="AD16717"/>
    </row>
    <row r="16718" spans="30:30" x14ac:dyDescent="0.25">
      <c r="AD16718"/>
    </row>
    <row r="16719" spans="30:30" x14ac:dyDescent="0.25">
      <c r="AD16719"/>
    </row>
    <row r="16720" spans="30:30" x14ac:dyDescent="0.25">
      <c r="AD16720"/>
    </row>
    <row r="16721" spans="30:30" x14ac:dyDescent="0.25">
      <c r="AD16721"/>
    </row>
    <row r="16722" spans="30:30" x14ac:dyDescent="0.25">
      <c r="AD16722"/>
    </row>
    <row r="16723" spans="30:30" x14ac:dyDescent="0.25">
      <c r="AD16723"/>
    </row>
    <row r="16724" spans="30:30" x14ac:dyDescent="0.25">
      <c r="AD16724"/>
    </row>
    <row r="16725" spans="30:30" x14ac:dyDescent="0.25">
      <c r="AD16725"/>
    </row>
    <row r="16726" spans="30:30" x14ac:dyDescent="0.25">
      <c r="AD16726"/>
    </row>
    <row r="16727" spans="30:30" x14ac:dyDescent="0.25">
      <c r="AD16727"/>
    </row>
    <row r="16728" spans="30:30" x14ac:dyDescent="0.25">
      <c r="AD16728"/>
    </row>
    <row r="16729" spans="30:30" x14ac:dyDescent="0.25">
      <c r="AD16729"/>
    </row>
    <row r="16730" spans="30:30" x14ac:dyDescent="0.25">
      <c r="AD16730"/>
    </row>
    <row r="16731" spans="30:30" x14ac:dyDescent="0.25">
      <c r="AD16731"/>
    </row>
    <row r="16732" spans="30:30" x14ac:dyDescent="0.25">
      <c r="AD16732"/>
    </row>
    <row r="16733" spans="30:30" x14ac:dyDescent="0.25">
      <c r="AD16733"/>
    </row>
    <row r="16734" spans="30:30" x14ac:dyDescent="0.25">
      <c r="AD16734"/>
    </row>
    <row r="16735" spans="30:30" x14ac:dyDescent="0.25">
      <c r="AD16735"/>
    </row>
    <row r="16736" spans="30:30" x14ac:dyDescent="0.25">
      <c r="AD16736"/>
    </row>
    <row r="16737" spans="30:30" x14ac:dyDescent="0.25">
      <c r="AD16737"/>
    </row>
    <row r="16738" spans="30:30" x14ac:dyDescent="0.25">
      <c r="AD16738"/>
    </row>
    <row r="16739" spans="30:30" x14ac:dyDescent="0.25">
      <c r="AD16739"/>
    </row>
    <row r="16740" spans="30:30" x14ac:dyDescent="0.25">
      <c r="AD16740"/>
    </row>
    <row r="16741" spans="30:30" x14ac:dyDescent="0.25">
      <c r="AD16741"/>
    </row>
    <row r="16742" spans="30:30" x14ac:dyDescent="0.25">
      <c r="AD16742"/>
    </row>
    <row r="16743" spans="30:30" x14ac:dyDescent="0.25">
      <c r="AD16743"/>
    </row>
    <row r="16744" spans="30:30" x14ac:dyDescent="0.25">
      <c r="AD16744"/>
    </row>
    <row r="16745" spans="30:30" x14ac:dyDescent="0.25">
      <c r="AD16745"/>
    </row>
    <row r="16746" spans="30:30" x14ac:dyDescent="0.25">
      <c r="AD16746"/>
    </row>
    <row r="16747" spans="30:30" x14ac:dyDescent="0.25">
      <c r="AD16747"/>
    </row>
    <row r="16748" spans="30:30" x14ac:dyDescent="0.25">
      <c r="AD16748"/>
    </row>
    <row r="16749" spans="30:30" x14ac:dyDescent="0.25">
      <c r="AD16749"/>
    </row>
    <row r="16750" spans="30:30" x14ac:dyDescent="0.25">
      <c r="AD16750"/>
    </row>
    <row r="16751" spans="30:30" x14ac:dyDescent="0.25">
      <c r="AD16751"/>
    </row>
    <row r="16752" spans="30:30" x14ac:dyDescent="0.25">
      <c r="AD16752"/>
    </row>
    <row r="16753" spans="30:30" x14ac:dyDescent="0.25">
      <c r="AD16753"/>
    </row>
    <row r="16754" spans="30:30" x14ac:dyDescent="0.25">
      <c r="AD16754"/>
    </row>
    <row r="16755" spans="30:30" x14ac:dyDescent="0.25">
      <c r="AD16755"/>
    </row>
    <row r="16756" spans="30:30" x14ac:dyDescent="0.25">
      <c r="AD16756"/>
    </row>
    <row r="16757" spans="30:30" x14ac:dyDescent="0.25">
      <c r="AD16757"/>
    </row>
    <row r="16758" spans="30:30" x14ac:dyDescent="0.25">
      <c r="AD16758"/>
    </row>
    <row r="16759" spans="30:30" x14ac:dyDescent="0.25">
      <c r="AD16759"/>
    </row>
    <row r="16760" spans="30:30" x14ac:dyDescent="0.25">
      <c r="AD16760"/>
    </row>
    <row r="16761" spans="30:30" x14ac:dyDescent="0.25">
      <c r="AD16761"/>
    </row>
    <row r="16762" spans="30:30" x14ac:dyDescent="0.25">
      <c r="AD16762"/>
    </row>
    <row r="16763" spans="30:30" x14ac:dyDescent="0.25">
      <c r="AD16763"/>
    </row>
    <row r="16764" spans="30:30" x14ac:dyDescent="0.25">
      <c r="AD16764"/>
    </row>
    <row r="16765" spans="30:30" x14ac:dyDescent="0.25">
      <c r="AD16765"/>
    </row>
    <row r="16766" spans="30:30" x14ac:dyDescent="0.25">
      <c r="AD16766"/>
    </row>
    <row r="16767" spans="30:30" x14ac:dyDescent="0.25">
      <c r="AD16767"/>
    </row>
    <row r="16768" spans="30:30" x14ac:dyDescent="0.25">
      <c r="AD16768"/>
    </row>
    <row r="16769" spans="30:30" x14ac:dyDescent="0.25">
      <c r="AD16769"/>
    </row>
    <row r="16770" spans="30:30" x14ac:dyDescent="0.25">
      <c r="AD16770"/>
    </row>
    <row r="16771" spans="30:30" x14ac:dyDescent="0.25">
      <c r="AD16771"/>
    </row>
    <row r="16772" spans="30:30" x14ac:dyDescent="0.25">
      <c r="AD16772"/>
    </row>
    <row r="16773" spans="30:30" x14ac:dyDescent="0.25">
      <c r="AD16773"/>
    </row>
    <row r="16774" spans="30:30" x14ac:dyDescent="0.25">
      <c r="AD16774"/>
    </row>
    <row r="16775" spans="30:30" x14ac:dyDescent="0.25">
      <c r="AD16775"/>
    </row>
    <row r="16776" spans="30:30" x14ac:dyDescent="0.25">
      <c r="AD16776"/>
    </row>
    <row r="16777" spans="30:30" x14ac:dyDescent="0.25">
      <c r="AD16777"/>
    </row>
    <row r="16778" spans="30:30" x14ac:dyDescent="0.25">
      <c r="AD16778"/>
    </row>
    <row r="16779" spans="30:30" x14ac:dyDescent="0.25">
      <c r="AD16779"/>
    </row>
    <row r="16780" spans="30:30" x14ac:dyDescent="0.25">
      <c r="AD16780"/>
    </row>
    <row r="16781" spans="30:30" x14ac:dyDescent="0.25">
      <c r="AD16781"/>
    </row>
    <row r="16782" spans="30:30" x14ac:dyDescent="0.25">
      <c r="AD16782"/>
    </row>
    <row r="16783" spans="30:30" x14ac:dyDescent="0.25">
      <c r="AD16783"/>
    </row>
    <row r="16784" spans="30:30" x14ac:dyDescent="0.25">
      <c r="AD16784"/>
    </row>
    <row r="16785" spans="30:30" x14ac:dyDescent="0.25">
      <c r="AD16785"/>
    </row>
    <row r="16786" spans="30:30" x14ac:dyDescent="0.25">
      <c r="AD16786"/>
    </row>
    <row r="16787" spans="30:30" x14ac:dyDescent="0.25">
      <c r="AD16787"/>
    </row>
    <row r="16788" spans="30:30" x14ac:dyDescent="0.25">
      <c r="AD16788"/>
    </row>
    <row r="16789" spans="30:30" x14ac:dyDescent="0.25">
      <c r="AD16789"/>
    </row>
    <row r="16790" spans="30:30" x14ac:dyDescent="0.25">
      <c r="AD16790"/>
    </row>
    <row r="16791" spans="30:30" x14ac:dyDescent="0.25">
      <c r="AD16791"/>
    </row>
    <row r="16792" spans="30:30" x14ac:dyDescent="0.25">
      <c r="AD16792"/>
    </row>
    <row r="16793" spans="30:30" x14ac:dyDescent="0.25">
      <c r="AD16793"/>
    </row>
    <row r="16794" spans="30:30" x14ac:dyDescent="0.25">
      <c r="AD16794"/>
    </row>
    <row r="16795" spans="30:30" x14ac:dyDescent="0.25">
      <c r="AD16795"/>
    </row>
    <row r="16796" spans="30:30" x14ac:dyDescent="0.25">
      <c r="AD16796"/>
    </row>
    <row r="16797" spans="30:30" x14ac:dyDescent="0.25">
      <c r="AD16797"/>
    </row>
    <row r="16798" spans="30:30" x14ac:dyDescent="0.25">
      <c r="AD16798"/>
    </row>
    <row r="16799" spans="30:30" x14ac:dyDescent="0.25">
      <c r="AD16799"/>
    </row>
    <row r="16800" spans="30:30" x14ac:dyDescent="0.25">
      <c r="AD16800"/>
    </row>
    <row r="16801" spans="30:30" x14ac:dyDescent="0.25">
      <c r="AD16801"/>
    </row>
    <row r="16802" spans="30:30" x14ac:dyDescent="0.25">
      <c r="AD16802"/>
    </row>
    <row r="16803" spans="30:30" x14ac:dyDescent="0.25">
      <c r="AD16803"/>
    </row>
    <row r="16804" spans="30:30" x14ac:dyDescent="0.25">
      <c r="AD16804"/>
    </row>
    <row r="16805" spans="30:30" x14ac:dyDescent="0.25">
      <c r="AD16805"/>
    </row>
    <row r="16806" spans="30:30" x14ac:dyDescent="0.25">
      <c r="AD16806"/>
    </row>
    <row r="16807" spans="30:30" x14ac:dyDescent="0.25">
      <c r="AD16807"/>
    </row>
    <row r="16808" spans="30:30" x14ac:dyDescent="0.25">
      <c r="AD16808"/>
    </row>
    <row r="16809" spans="30:30" x14ac:dyDescent="0.25">
      <c r="AD16809"/>
    </row>
    <row r="16810" spans="30:30" x14ac:dyDescent="0.25">
      <c r="AD16810"/>
    </row>
    <row r="16811" spans="30:30" x14ac:dyDescent="0.25">
      <c r="AD16811"/>
    </row>
    <row r="16812" spans="30:30" x14ac:dyDescent="0.25">
      <c r="AD16812"/>
    </row>
    <row r="16813" spans="30:30" x14ac:dyDescent="0.25">
      <c r="AD16813"/>
    </row>
    <row r="16814" spans="30:30" x14ac:dyDescent="0.25">
      <c r="AD16814"/>
    </row>
    <row r="16815" spans="30:30" x14ac:dyDescent="0.25">
      <c r="AD16815"/>
    </row>
    <row r="16816" spans="30:30" x14ac:dyDescent="0.25">
      <c r="AD16816"/>
    </row>
    <row r="16817" spans="30:30" x14ac:dyDescent="0.25">
      <c r="AD16817"/>
    </row>
    <row r="16818" spans="30:30" x14ac:dyDescent="0.25">
      <c r="AD16818"/>
    </row>
    <row r="16819" spans="30:30" x14ac:dyDescent="0.25">
      <c r="AD16819"/>
    </row>
    <row r="16820" spans="30:30" x14ac:dyDescent="0.25">
      <c r="AD16820"/>
    </row>
    <row r="16821" spans="30:30" x14ac:dyDescent="0.25">
      <c r="AD16821"/>
    </row>
    <row r="16822" spans="30:30" x14ac:dyDescent="0.25">
      <c r="AD16822"/>
    </row>
    <row r="16823" spans="30:30" x14ac:dyDescent="0.25">
      <c r="AD16823"/>
    </row>
    <row r="16824" spans="30:30" x14ac:dyDescent="0.25">
      <c r="AD16824"/>
    </row>
    <row r="16825" spans="30:30" x14ac:dyDescent="0.25">
      <c r="AD16825"/>
    </row>
    <row r="16826" spans="30:30" x14ac:dyDescent="0.25">
      <c r="AD16826"/>
    </row>
    <row r="16827" spans="30:30" x14ac:dyDescent="0.25">
      <c r="AD16827"/>
    </row>
    <row r="16828" spans="30:30" x14ac:dyDescent="0.25">
      <c r="AD16828"/>
    </row>
    <row r="16829" spans="30:30" x14ac:dyDescent="0.25">
      <c r="AD16829"/>
    </row>
    <row r="16830" spans="30:30" x14ac:dyDescent="0.25">
      <c r="AD16830"/>
    </row>
    <row r="16831" spans="30:30" x14ac:dyDescent="0.25">
      <c r="AD16831"/>
    </row>
    <row r="16832" spans="30:30" x14ac:dyDescent="0.25">
      <c r="AD16832"/>
    </row>
    <row r="16833" spans="30:30" x14ac:dyDescent="0.25">
      <c r="AD16833"/>
    </row>
    <row r="16834" spans="30:30" x14ac:dyDescent="0.25">
      <c r="AD16834"/>
    </row>
    <row r="16835" spans="30:30" x14ac:dyDescent="0.25">
      <c r="AD16835"/>
    </row>
    <row r="16836" spans="30:30" x14ac:dyDescent="0.25">
      <c r="AD16836"/>
    </row>
    <row r="16837" spans="30:30" x14ac:dyDescent="0.25">
      <c r="AD16837"/>
    </row>
    <row r="16838" spans="30:30" x14ac:dyDescent="0.25">
      <c r="AD16838"/>
    </row>
    <row r="16839" spans="30:30" x14ac:dyDescent="0.25">
      <c r="AD16839"/>
    </row>
    <row r="16840" spans="30:30" x14ac:dyDescent="0.25">
      <c r="AD16840"/>
    </row>
    <row r="16841" spans="30:30" x14ac:dyDescent="0.25">
      <c r="AD16841"/>
    </row>
    <row r="16842" spans="30:30" x14ac:dyDescent="0.25">
      <c r="AD16842"/>
    </row>
    <row r="16843" spans="30:30" x14ac:dyDescent="0.25">
      <c r="AD16843"/>
    </row>
    <row r="16844" spans="30:30" x14ac:dyDescent="0.25">
      <c r="AD16844"/>
    </row>
    <row r="16845" spans="30:30" x14ac:dyDescent="0.25">
      <c r="AD16845"/>
    </row>
    <row r="16846" spans="30:30" x14ac:dyDescent="0.25">
      <c r="AD16846"/>
    </row>
    <row r="16847" spans="30:30" x14ac:dyDescent="0.25">
      <c r="AD16847"/>
    </row>
    <row r="16848" spans="30:30" x14ac:dyDescent="0.25">
      <c r="AD16848"/>
    </row>
    <row r="16849" spans="30:30" x14ac:dyDescent="0.25">
      <c r="AD16849"/>
    </row>
    <row r="16850" spans="30:30" x14ac:dyDescent="0.25">
      <c r="AD16850"/>
    </row>
    <row r="16851" spans="30:30" x14ac:dyDescent="0.25">
      <c r="AD16851"/>
    </row>
    <row r="16852" spans="30:30" x14ac:dyDescent="0.25">
      <c r="AD16852"/>
    </row>
    <row r="16853" spans="30:30" x14ac:dyDescent="0.25">
      <c r="AD16853"/>
    </row>
    <row r="16854" spans="30:30" x14ac:dyDescent="0.25">
      <c r="AD16854"/>
    </row>
    <row r="16855" spans="30:30" x14ac:dyDescent="0.25">
      <c r="AD16855"/>
    </row>
    <row r="16856" spans="30:30" x14ac:dyDescent="0.25">
      <c r="AD16856"/>
    </row>
    <row r="16857" spans="30:30" x14ac:dyDescent="0.25">
      <c r="AD16857"/>
    </row>
    <row r="16858" spans="30:30" x14ac:dyDescent="0.25">
      <c r="AD16858"/>
    </row>
    <row r="16859" spans="30:30" x14ac:dyDescent="0.25">
      <c r="AD16859"/>
    </row>
    <row r="16860" spans="30:30" x14ac:dyDescent="0.25">
      <c r="AD16860"/>
    </row>
    <row r="16861" spans="30:30" x14ac:dyDescent="0.25">
      <c r="AD16861"/>
    </row>
    <row r="16862" spans="30:30" x14ac:dyDescent="0.25">
      <c r="AD16862"/>
    </row>
    <row r="16863" spans="30:30" x14ac:dyDescent="0.25">
      <c r="AD16863"/>
    </row>
    <row r="16864" spans="30:30" x14ac:dyDescent="0.25">
      <c r="AD16864"/>
    </row>
    <row r="16865" spans="30:30" x14ac:dyDescent="0.25">
      <c r="AD16865"/>
    </row>
    <row r="16866" spans="30:30" x14ac:dyDescent="0.25">
      <c r="AD16866"/>
    </row>
    <row r="16867" spans="30:30" x14ac:dyDescent="0.25">
      <c r="AD16867"/>
    </row>
    <row r="16868" spans="30:30" x14ac:dyDescent="0.25">
      <c r="AD16868"/>
    </row>
    <row r="16869" spans="30:30" x14ac:dyDescent="0.25">
      <c r="AD16869"/>
    </row>
    <row r="16870" spans="30:30" x14ac:dyDescent="0.25">
      <c r="AD16870"/>
    </row>
    <row r="16871" spans="30:30" x14ac:dyDescent="0.25">
      <c r="AD16871"/>
    </row>
    <row r="16872" spans="30:30" x14ac:dyDescent="0.25">
      <c r="AD16872"/>
    </row>
    <row r="16873" spans="30:30" x14ac:dyDescent="0.25">
      <c r="AD16873"/>
    </row>
    <row r="16874" spans="30:30" x14ac:dyDescent="0.25">
      <c r="AD16874"/>
    </row>
    <row r="16875" spans="30:30" x14ac:dyDescent="0.25">
      <c r="AD16875"/>
    </row>
    <row r="16876" spans="30:30" x14ac:dyDescent="0.25">
      <c r="AD16876"/>
    </row>
    <row r="16877" spans="30:30" x14ac:dyDescent="0.25">
      <c r="AD16877"/>
    </row>
    <row r="16878" spans="30:30" x14ac:dyDescent="0.25">
      <c r="AD16878"/>
    </row>
    <row r="16879" spans="30:30" x14ac:dyDescent="0.25">
      <c r="AD16879"/>
    </row>
    <row r="16880" spans="30:30" x14ac:dyDescent="0.25">
      <c r="AD16880"/>
    </row>
    <row r="16881" spans="30:30" x14ac:dyDescent="0.25">
      <c r="AD16881"/>
    </row>
    <row r="16882" spans="30:30" x14ac:dyDescent="0.25">
      <c r="AD16882"/>
    </row>
    <row r="16883" spans="30:30" x14ac:dyDescent="0.25">
      <c r="AD16883"/>
    </row>
    <row r="16884" spans="30:30" x14ac:dyDescent="0.25">
      <c r="AD16884"/>
    </row>
    <row r="16885" spans="30:30" x14ac:dyDescent="0.25">
      <c r="AD16885"/>
    </row>
    <row r="16886" spans="30:30" x14ac:dyDescent="0.25">
      <c r="AD16886"/>
    </row>
    <row r="16887" spans="30:30" x14ac:dyDescent="0.25">
      <c r="AD16887"/>
    </row>
    <row r="16888" spans="30:30" x14ac:dyDescent="0.25">
      <c r="AD16888"/>
    </row>
    <row r="16889" spans="30:30" x14ac:dyDescent="0.25">
      <c r="AD16889"/>
    </row>
    <row r="16890" spans="30:30" x14ac:dyDescent="0.25">
      <c r="AD16890"/>
    </row>
    <row r="16891" spans="30:30" x14ac:dyDescent="0.25">
      <c r="AD16891"/>
    </row>
    <row r="16892" spans="30:30" x14ac:dyDescent="0.25">
      <c r="AD16892"/>
    </row>
    <row r="16893" spans="30:30" x14ac:dyDescent="0.25">
      <c r="AD16893"/>
    </row>
    <row r="16894" spans="30:30" x14ac:dyDescent="0.25">
      <c r="AD16894"/>
    </row>
    <row r="16895" spans="30:30" x14ac:dyDescent="0.25">
      <c r="AD16895"/>
    </row>
    <row r="16896" spans="30:30" x14ac:dyDescent="0.25">
      <c r="AD16896"/>
    </row>
    <row r="16897" spans="30:30" x14ac:dyDescent="0.25">
      <c r="AD16897"/>
    </row>
    <row r="16898" spans="30:30" x14ac:dyDescent="0.25">
      <c r="AD16898"/>
    </row>
    <row r="16899" spans="30:30" x14ac:dyDescent="0.25">
      <c r="AD16899"/>
    </row>
    <row r="16900" spans="30:30" x14ac:dyDescent="0.25">
      <c r="AD16900"/>
    </row>
    <row r="16901" spans="30:30" x14ac:dyDescent="0.25">
      <c r="AD16901"/>
    </row>
    <row r="16902" spans="30:30" x14ac:dyDescent="0.25">
      <c r="AD16902"/>
    </row>
    <row r="16903" spans="30:30" x14ac:dyDescent="0.25">
      <c r="AD16903"/>
    </row>
    <row r="16904" spans="30:30" x14ac:dyDescent="0.25">
      <c r="AD16904"/>
    </row>
    <row r="16905" spans="30:30" x14ac:dyDescent="0.25">
      <c r="AD16905"/>
    </row>
    <row r="16906" spans="30:30" x14ac:dyDescent="0.25">
      <c r="AD16906"/>
    </row>
    <row r="16907" spans="30:30" x14ac:dyDescent="0.25">
      <c r="AD16907"/>
    </row>
    <row r="16908" spans="30:30" x14ac:dyDescent="0.25">
      <c r="AD16908"/>
    </row>
    <row r="16909" spans="30:30" x14ac:dyDescent="0.25">
      <c r="AD16909"/>
    </row>
    <row r="16910" spans="30:30" x14ac:dyDescent="0.25">
      <c r="AD16910"/>
    </row>
    <row r="16911" spans="30:30" x14ac:dyDescent="0.25">
      <c r="AD16911"/>
    </row>
    <row r="16912" spans="30:30" x14ac:dyDescent="0.25">
      <c r="AD16912"/>
    </row>
    <row r="16913" spans="30:30" x14ac:dyDescent="0.25">
      <c r="AD16913"/>
    </row>
    <row r="16914" spans="30:30" x14ac:dyDescent="0.25">
      <c r="AD16914"/>
    </row>
    <row r="16915" spans="30:30" x14ac:dyDescent="0.25">
      <c r="AD16915"/>
    </row>
    <row r="16916" spans="30:30" x14ac:dyDescent="0.25">
      <c r="AD16916"/>
    </row>
    <row r="16917" spans="30:30" x14ac:dyDescent="0.25">
      <c r="AD16917"/>
    </row>
    <row r="16918" spans="30:30" x14ac:dyDescent="0.25">
      <c r="AD16918"/>
    </row>
    <row r="16919" spans="30:30" x14ac:dyDescent="0.25">
      <c r="AD16919"/>
    </row>
    <row r="16920" spans="30:30" x14ac:dyDescent="0.25">
      <c r="AD16920"/>
    </row>
    <row r="16921" spans="30:30" x14ac:dyDescent="0.25">
      <c r="AD16921"/>
    </row>
    <row r="16922" spans="30:30" x14ac:dyDescent="0.25">
      <c r="AD16922"/>
    </row>
    <row r="16923" spans="30:30" x14ac:dyDescent="0.25">
      <c r="AD16923"/>
    </row>
    <row r="16924" spans="30:30" x14ac:dyDescent="0.25">
      <c r="AD16924"/>
    </row>
    <row r="16925" spans="30:30" x14ac:dyDescent="0.25">
      <c r="AD16925"/>
    </row>
    <row r="16926" spans="30:30" x14ac:dyDescent="0.25">
      <c r="AD16926"/>
    </row>
    <row r="16927" spans="30:30" x14ac:dyDescent="0.25">
      <c r="AD16927"/>
    </row>
    <row r="16928" spans="30:30" x14ac:dyDescent="0.25">
      <c r="AD16928"/>
    </row>
    <row r="16929" spans="30:30" x14ac:dyDescent="0.25">
      <c r="AD16929"/>
    </row>
    <row r="16930" spans="30:30" x14ac:dyDescent="0.25">
      <c r="AD16930"/>
    </row>
    <row r="16931" spans="30:30" x14ac:dyDescent="0.25">
      <c r="AD16931"/>
    </row>
    <row r="16932" spans="30:30" x14ac:dyDescent="0.25">
      <c r="AD16932"/>
    </row>
    <row r="16933" spans="30:30" x14ac:dyDescent="0.25">
      <c r="AD16933"/>
    </row>
    <row r="16934" spans="30:30" x14ac:dyDescent="0.25">
      <c r="AD16934"/>
    </row>
    <row r="16935" spans="30:30" x14ac:dyDescent="0.25">
      <c r="AD16935"/>
    </row>
    <row r="16936" spans="30:30" x14ac:dyDescent="0.25">
      <c r="AD16936"/>
    </row>
    <row r="16937" spans="30:30" x14ac:dyDescent="0.25">
      <c r="AD16937"/>
    </row>
    <row r="16938" spans="30:30" x14ac:dyDescent="0.25">
      <c r="AD16938"/>
    </row>
    <row r="16939" spans="30:30" x14ac:dyDescent="0.25">
      <c r="AD16939"/>
    </row>
    <row r="16940" spans="30:30" x14ac:dyDescent="0.25">
      <c r="AD16940"/>
    </row>
    <row r="16941" spans="30:30" x14ac:dyDescent="0.25">
      <c r="AD16941"/>
    </row>
    <row r="16942" spans="30:30" x14ac:dyDescent="0.25">
      <c r="AD16942"/>
    </row>
    <row r="16943" spans="30:30" x14ac:dyDescent="0.25">
      <c r="AD16943"/>
    </row>
    <row r="16944" spans="30:30" x14ac:dyDescent="0.25">
      <c r="AD16944"/>
    </row>
    <row r="16945" spans="30:30" x14ac:dyDescent="0.25">
      <c r="AD16945"/>
    </row>
    <row r="16946" spans="30:30" x14ac:dyDescent="0.25">
      <c r="AD16946"/>
    </row>
    <row r="16947" spans="30:30" x14ac:dyDescent="0.25">
      <c r="AD16947"/>
    </row>
    <row r="16948" spans="30:30" x14ac:dyDescent="0.25">
      <c r="AD16948"/>
    </row>
    <row r="16949" spans="30:30" x14ac:dyDescent="0.25">
      <c r="AD16949"/>
    </row>
    <row r="16950" spans="30:30" x14ac:dyDescent="0.25">
      <c r="AD16950"/>
    </row>
    <row r="16951" spans="30:30" x14ac:dyDescent="0.25">
      <c r="AD16951"/>
    </row>
    <row r="16952" spans="30:30" x14ac:dyDescent="0.25">
      <c r="AD16952"/>
    </row>
    <row r="16953" spans="30:30" x14ac:dyDescent="0.25">
      <c r="AD16953"/>
    </row>
    <row r="16954" spans="30:30" x14ac:dyDescent="0.25">
      <c r="AD16954"/>
    </row>
    <row r="16955" spans="30:30" x14ac:dyDescent="0.25">
      <c r="AD16955"/>
    </row>
    <row r="16956" spans="30:30" x14ac:dyDescent="0.25">
      <c r="AD16956"/>
    </row>
    <row r="16957" spans="30:30" x14ac:dyDescent="0.25">
      <c r="AD16957"/>
    </row>
    <row r="16958" spans="30:30" x14ac:dyDescent="0.25">
      <c r="AD16958"/>
    </row>
    <row r="16959" spans="30:30" x14ac:dyDescent="0.25">
      <c r="AD16959"/>
    </row>
    <row r="16960" spans="30:30" x14ac:dyDescent="0.25">
      <c r="AD16960"/>
    </row>
    <row r="16961" spans="30:30" x14ac:dyDescent="0.25">
      <c r="AD16961"/>
    </row>
    <row r="16962" spans="30:30" x14ac:dyDescent="0.25">
      <c r="AD16962"/>
    </row>
    <row r="16963" spans="30:30" x14ac:dyDescent="0.25">
      <c r="AD16963"/>
    </row>
    <row r="16964" spans="30:30" x14ac:dyDescent="0.25">
      <c r="AD16964"/>
    </row>
    <row r="16965" spans="30:30" x14ac:dyDescent="0.25">
      <c r="AD16965"/>
    </row>
    <row r="16966" spans="30:30" x14ac:dyDescent="0.25">
      <c r="AD16966"/>
    </row>
    <row r="16967" spans="30:30" x14ac:dyDescent="0.25">
      <c r="AD16967"/>
    </row>
    <row r="16968" spans="30:30" x14ac:dyDescent="0.25">
      <c r="AD16968"/>
    </row>
    <row r="16969" spans="30:30" x14ac:dyDescent="0.25">
      <c r="AD16969"/>
    </row>
    <row r="16970" spans="30:30" x14ac:dyDescent="0.25">
      <c r="AD16970"/>
    </row>
    <row r="16971" spans="30:30" x14ac:dyDescent="0.25">
      <c r="AD16971"/>
    </row>
    <row r="16972" spans="30:30" x14ac:dyDescent="0.25">
      <c r="AD16972"/>
    </row>
    <row r="16973" spans="30:30" x14ac:dyDescent="0.25">
      <c r="AD16973"/>
    </row>
    <row r="16974" spans="30:30" x14ac:dyDescent="0.25">
      <c r="AD16974"/>
    </row>
    <row r="16975" spans="30:30" x14ac:dyDescent="0.25">
      <c r="AD16975"/>
    </row>
    <row r="16976" spans="30:30" x14ac:dyDescent="0.25">
      <c r="AD16976"/>
    </row>
    <row r="16977" spans="30:30" x14ac:dyDescent="0.25">
      <c r="AD16977"/>
    </row>
    <row r="16978" spans="30:30" x14ac:dyDescent="0.25">
      <c r="AD16978"/>
    </row>
    <row r="16979" spans="30:30" x14ac:dyDescent="0.25">
      <c r="AD16979"/>
    </row>
    <row r="16980" spans="30:30" x14ac:dyDescent="0.25">
      <c r="AD16980"/>
    </row>
    <row r="16981" spans="30:30" x14ac:dyDescent="0.25">
      <c r="AD16981"/>
    </row>
    <row r="16982" spans="30:30" x14ac:dyDescent="0.25">
      <c r="AD16982"/>
    </row>
    <row r="16983" spans="30:30" x14ac:dyDescent="0.25">
      <c r="AD16983"/>
    </row>
    <row r="16984" spans="30:30" x14ac:dyDescent="0.25">
      <c r="AD16984"/>
    </row>
    <row r="16985" spans="30:30" x14ac:dyDescent="0.25">
      <c r="AD16985"/>
    </row>
    <row r="16986" spans="30:30" x14ac:dyDescent="0.25">
      <c r="AD16986"/>
    </row>
    <row r="16987" spans="30:30" x14ac:dyDescent="0.25">
      <c r="AD16987"/>
    </row>
    <row r="16988" spans="30:30" x14ac:dyDescent="0.25">
      <c r="AD16988"/>
    </row>
    <row r="16989" spans="30:30" x14ac:dyDescent="0.25">
      <c r="AD16989"/>
    </row>
    <row r="16990" spans="30:30" x14ac:dyDescent="0.25">
      <c r="AD16990"/>
    </row>
    <row r="16991" spans="30:30" x14ac:dyDescent="0.25">
      <c r="AD16991"/>
    </row>
    <row r="16992" spans="30:30" x14ac:dyDescent="0.25">
      <c r="AD16992"/>
    </row>
    <row r="16993" spans="30:30" x14ac:dyDescent="0.25">
      <c r="AD16993"/>
    </row>
    <row r="16994" spans="30:30" x14ac:dyDescent="0.25">
      <c r="AD16994"/>
    </row>
    <row r="16995" spans="30:30" x14ac:dyDescent="0.25">
      <c r="AD16995"/>
    </row>
    <row r="16996" spans="30:30" x14ac:dyDescent="0.25">
      <c r="AD16996"/>
    </row>
    <row r="16997" spans="30:30" x14ac:dyDescent="0.25">
      <c r="AD16997"/>
    </row>
    <row r="16998" spans="30:30" x14ac:dyDescent="0.25">
      <c r="AD16998"/>
    </row>
    <row r="16999" spans="30:30" x14ac:dyDescent="0.25">
      <c r="AD16999"/>
    </row>
    <row r="17000" spans="30:30" x14ac:dyDescent="0.25">
      <c r="AD17000"/>
    </row>
    <row r="17001" spans="30:30" x14ac:dyDescent="0.25">
      <c r="AD17001"/>
    </row>
    <row r="17002" spans="30:30" x14ac:dyDescent="0.25">
      <c r="AD17002"/>
    </row>
    <row r="17003" spans="30:30" x14ac:dyDescent="0.25">
      <c r="AD17003"/>
    </row>
    <row r="17004" spans="30:30" x14ac:dyDescent="0.25">
      <c r="AD17004"/>
    </row>
    <row r="17005" spans="30:30" x14ac:dyDescent="0.25">
      <c r="AD17005"/>
    </row>
    <row r="17006" spans="30:30" x14ac:dyDescent="0.25">
      <c r="AD17006"/>
    </row>
    <row r="17007" spans="30:30" x14ac:dyDescent="0.25">
      <c r="AD17007"/>
    </row>
    <row r="17008" spans="30:30" x14ac:dyDescent="0.25">
      <c r="AD17008"/>
    </row>
    <row r="17009" spans="30:30" x14ac:dyDescent="0.25">
      <c r="AD17009"/>
    </row>
    <row r="17010" spans="30:30" x14ac:dyDescent="0.25">
      <c r="AD17010"/>
    </row>
    <row r="17011" spans="30:30" x14ac:dyDescent="0.25">
      <c r="AD17011"/>
    </row>
    <row r="17012" spans="30:30" x14ac:dyDescent="0.25">
      <c r="AD17012"/>
    </row>
    <row r="17013" spans="30:30" x14ac:dyDescent="0.25">
      <c r="AD17013"/>
    </row>
    <row r="17014" spans="30:30" x14ac:dyDescent="0.25">
      <c r="AD17014"/>
    </row>
    <row r="17015" spans="30:30" x14ac:dyDescent="0.25">
      <c r="AD17015"/>
    </row>
    <row r="17016" spans="30:30" x14ac:dyDescent="0.25">
      <c r="AD17016"/>
    </row>
    <row r="17017" spans="30:30" x14ac:dyDescent="0.25">
      <c r="AD17017"/>
    </row>
    <row r="17018" spans="30:30" x14ac:dyDescent="0.25">
      <c r="AD17018"/>
    </row>
    <row r="17019" spans="30:30" x14ac:dyDescent="0.25">
      <c r="AD17019"/>
    </row>
    <row r="17020" spans="30:30" x14ac:dyDescent="0.25">
      <c r="AD17020"/>
    </row>
    <row r="17021" spans="30:30" x14ac:dyDescent="0.25">
      <c r="AD17021"/>
    </row>
    <row r="17022" spans="30:30" x14ac:dyDescent="0.25">
      <c r="AD17022"/>
    </row>
    <row r="17023" spans="30:30" x14ac:dyDescent="0.25">
      <c r="AD17023"/>
    </row>
    <row r="17024" spans="30:30" x14ac:dyDescent="0.25">
      <c r="AD17024"/>
    </row>
    <row r="17025" spans="30:30" x14ac:dyDescent="0.25">
      <c r="AD17025"/>
    </row>
    <row r="17026" spans="30:30" x14ac:dyDescent="0.25">
      <c r="AD17026"/>
    </row>
    <row r="17027" spans="30:30" x14ac:dyDescent="0.25">
      <c r="AD17027"/>
    </row>
    <row r="17028" spans="30:30" x14ac:dyDescent="0.25">
      <c r="AD17028"/>
    </row>
    <row r="17029" spans="30:30" x14ac:dyDescent="0.25">
      <c r="AD17029"/>
    </row>
    <row r="17030" spans="30:30" x14ac:dyDescent="0.25">
      <c r="AD17030"/>
    </row>
    <row r="17031" spans="30:30" x14ac:dyDescent="0.25">
      <c r="AD17031"/>
    </row>
    <row r="17032" spans="30:30" x14ac:dyDescent="0.25">
      <c r="AD17032"/>
    </row>
    <row r="17033" spans="30:30" x14ac:dyDescent="0.25">
      <c r="AD17033"/>
    </row>
    <row r="17034" spans="30:30" x14ac:dyDescent="0.25">
      <c r="AD17034"/>
    </row>
    <row r="17035" spans="30:30" x14ac:dyDescent="0.25">
      <c r="AD17035"/>
    </row>
    <row r="17036" spans="30:30" x14ac:dyDescent="0.25">
      <c r="AD17036"/>
    </row>
    <row r="17037" spans="30:30" x14ac:dyDescent="0.25">
      <c r="AD17037"/>
    </row>
    <row r="17038" spans="30:30" x14ac:dyDescent="0.25">
      <c r="AD17038"/>
    </row>
    <row r="17039" spans="30:30" x14ac:dyDescent="0.25">
      <c r="AD17039"/>
    </row>
    <row r="17040" spans="30:30" x14ac:dyDescent="0.25">
      <c r="AD17040"/>
    </row>
    <row r="17041" spans="30:30" x14ac:dyDescent="0.25">
      <c r="AD17041"/>
    </row>
    <row r="17042" spans="30:30" x14ac:dyDescent="0.25">
      <c r="AD17042"/>
    </row>
    <row r="17043" spans="30:30" x14ac:dyDescent="0.25">
      <c r="AD17043"/>
    </row>
    <row r="17044" spans="30:30" x14ac:dyDescent="0.25">
      <c r="AD17044"/>
    </row>
    <row r="17045" spans="30:30" x14ac:dyDescent="0.25">
      <c r="AD17045"/>
    </row>
    <row r="17046" spans="30:30" x14ac:dyDescent="0.25">
      <c r="AD17046"/>
    </row>
    <row r="17047" spans="30:30" x14ac:dyDescent="0.25">
      <c r="AD17047"/>
    </row>
    <row r="17048" spans="30:30" x14ac:dyDescent="0.25">
      <c r="AD17048"/>
    </row>
    <row r="17049" spans="30:30" x14ac:dyDescent="0.25">
      <c r="AD17049"/>
    </row>
    <row r="17050" spans="30:30" x14ac:dyDescent="0.25">
      <c r="AD17050"/>
    </row>
    <row r="17051" spans="30:30" x14ac:dyDescent="0.25">
      <c r="AD17051"/>
    </row>
    <row r="17052" spans="30:30" x14ac:dyDescent="0.25">
      <c r="AD17052"/>
    </row>
    <row r="17053" spans="30:30" x14ac:dyDescent="0.25">
      <c r="AD17053"/>
    </row>
    <row r="17054" spans="30:30" x14ac:dyDescent="0.25">
      <c r="AD17054"/>
    </row>
    <row r="17055" spans="30:30" x14ac:dyDescent="0.25">
      <c r="AD17055"/>
    </row>
    <row r="17056" spans="30:30" x14ac:dyDescent="0.25">
      <c r="AD17056"/>
    </row>
    <row r="17057" spans="30:30" x14ac:dyDescent="0.25">
      <c r="AD17057"/>
    </row>
    <row r="17058" spans="30:30" x14ac:dyDescent="0.25">
      <c r="AD17058"/>
    </row>
    <row r="17059" spans="30:30" x14ac:dyDescent="0.25">
      <c r="AD17059"/>
    </row>
    <row r="17060" spans="30:30" x14ac:dyDescent="0.25">
      <c r="AD17060"/>
    </row>
    <row r="17061" spans="30:30" x14ac:dyDescent="0.25">
      <c r="AD17061"/>
    </row>
    <row r="17062" spans="30:30" x14ac:dyDescent="0.25">
      <c r="AD17062"/>
    </row>
    <row r="17063" spans="30:30" x14ac:dyDescent="0.25">
      <c r="AD17063"/>
    </row>
    <row r="17064" spans="30:30" x14ac:dyDescent="0.25">
      <c r="AD17064"/>
    </row>
    <row r="17065" spans="30:30" x14ac:dyDescent="0.25">
      <c r="AD17065"/>
    </row>
    <row r="17066" spans="30:30" x14ac:dyDescent="0.25">
      <c r="AD17066"/>
    </row>
    <row r="17067" spans="30:30" x14ac:dyDescent="0.25">
      <c r="AD17067"/>
    </row>
    <row r="17068" spans="30:30" x14ac:dyDescent="0.25">
      <c r="AD17068"/>
    </row>
    <row r="17069" spans="30:30" x14ac:dyDescent="0.25">
      <c r="AD17069"/>
    </row>
    <row r="17070" spans="30:30" x14ac:dyDescent="0.25">
      <c r="AD17070"/>
    </row>
    <row r="17071" spans="30:30" x14ac:dyDescent="0.25">
      <c r="AD17071"/>
    </row>
    <row r="17072" spans="30:30" x14ac:dyDescent="0.25">
      <c r="AD17072"/>
    </row>
    <row r="17073" spans="30:30" x14ac:dyDescent="0.25">
      <c r="AD17073"/>
    </row>
    <row r="17074" spans="30:30" x14ac:dyDescent="0.25">
      <c r="AD17074"/>
    </row>
    <row r="17075" spans="30:30" x14ac:dyDescent="0.25">
      <c r="AD17075"/>
    </row>
    <row r="17076" spans="30:30" x14ac:dyDescent="0.25">
      <c r="AD17076"/>
    </row>
    <row r="17077" spans="30:30" x14ac:dyDescent="0.25">
      <c r="AD17077"/>
    </row>
    <row r="17078" spans="30:30" x14ac:dyDescent="0.25">
      <c r="AD17078"/>
    </row>
    <row r="17079" spans="30:30" x14ac:dyDescent="0.25">
      <c r="AD17079"/>
    </row>
    <row r="17080" spans="30:30" x14ac:dyDescent="0.25">
      <c r="AD17080"/>
    </row>
    <row r="17081" spans="30:30" x14ac:dyDescent="0.25">
      <c r="AD17081"/>
    </row>
    <row r="17082" spans="30:30" x14ac:dyDescent="0.25">
      <c r="AD17082"/>
    </row>
    <row r="17083" spans="30:30" x14ac:dyDescent="0.25">
      <c r="AD17083"/>
    </row>
    <row r="17084" spans="30:30" x14ac:dyDescent="0.25">
      <c r="AD17084"/>
    </row>
    <row r="17085" spans="30:30" x14ac:dyDescent="0.25">
      <c r="AD17085"/>
    </row>
    <row r="17086" spans="30:30" x14ac:dyDescent="0.25">
      <c r="AD17086"/>
    </row>
    <row r="17087" spans="30:30" x14ac:dyDescent="0.25">
      <c r="AD17087"/>
    </row>
    <row r="17088" spans="30:30" x14ac:dyDescent="0.25">
      <c r="AD17088"/>
    </row>
    <row r="17089" spans="30:30" x14ac:dyDescent="0.25">
      <c r="AD17089"/>
    </row>
    <row r="17090" spans="30:30" x14ac:dyDescent="0.25">
      <c r="AD17090"/>
    </row>
    <row r="17091" spans="30:30" x14ac:dyDescent="0.25">
      <c r="AD17091"/>
    </row>
    <row r="17092" spans="30:30" x14ac:dyDescent="0.25">
      <c r="AD17092"/>
    </row>
    <row r="17093" spans="30:30" x14ac:dyDescent="0.25">
      <c r="AD17093"/>
    </row>
    <row r="17094" spans="30:30" x14ac:dyDescent="0.25">
      <c r="AD17094"/>
    </row>
    <row r="17095" spans="30:30" x14ac:dyDescent="0.25">
      <c r="AD17095"/>
    </row>
    <row r="17096" spans="30:30" x14ac:dyDescent="0.25">
      <c r="AD17096"/>
    </row>
    <row r="17097" spans="30:30" x14ac:dyDescent="0.25">
      <c r="AD17097"/>
    </row>
    <row r="17098" spans="30:30" x14ac:dyDescent="0.25">
      <c r="AD17098"/>
    </row>
    <row r="17099" spans="30:30" x14ac:dyDescent="0.25">
      <c r="AD17099"/>
    </row>
    <row r="17100" spans="30:30" x14ac:dyDescent="0.25">
      <c r="AD17100"/>
    </row>
    <row r="17101" spans="30:30" x14ac:dyDescent="0.25">
      <c r="AD17101"/>
    </row>
    <row r="17102" spans="30:30" x14ac:dyDescent="0.25">
      <c r="AD17102"/>
    </row>
    <row r="17103" spans="30:30" x14ac:dyDescent="0.25">
      <c r="AD17103"/>
    </row>
    <row r="17104" spans="30:30" x14ac:dyDescent="0.25">
      <c r="AD17104"/>
    </row>
    <row r="17105" spans="30:30" x14ac:dyDescent="0.25">
      <c r="AD17105"/>
    </row>
    <row r="17106" spans="30:30" x14ac:dyDescent="0.25">
      <c r="AD17106"/>
    </row>
    <row r="17107" spans="30:30" x14ac:dyDescent="0.25">
      <c r="AD17107"/>
    </row>
    <row r="17108" spans="30:30" x14ac:dyDescent="0.25">
      <c r="AD17108"/>
    </row>
    <row r="17109" spans="30:30" x14ac:dyDescent="0.25">
      <c r="AD17109"/>
    </row>
    <row r="17110" spans="30:30" x14ac:dyDescent="0.25">
      <c r="AD17110"/>
    </row>
    <row r="17111" spans="30:30" x14ac:dyDescent="0.25">
      <c r="AD17111"/>
    </row>
    <row r="17112" spans="30:30" x14ac:dyDescent="0.25">
      <c r="AD17112"/>
    </row>
    <row r="17113" spans="30:30" x14ac:dyDescent="0.25">
      <c r="AD17113"/>
    </row>
    <row r="17114" spans="30:30" x14ac:dyDescent="0.25">
      <c r="AD17114"/>
    </row>
    <row r="17115" spans="30:30" x14ac:dyDescent="0.25">
      <c r="AD17115"/>
    </row>
    <row r="17116" spans="30:30" x14ac:dyDescent="0.25">
      <c r="AD17116"/>
    </row>
    <row r="17117" spans="30:30" x14ac:dyDescent="0.25">
      <c r="AD17117"/>
    </row>
    <row r="17118" spans="30:30" x14ac:dyDescent="0.25">
      <c r="AD17118"/>
    </row>
    <row r="17119" spans="30:30" x14ac:dyDescent="0.25">
      <c r="AD17119"/>
    </row>
    <row r="17120" spans="30:30" x14ac:dyDescent="0.25">
      <c r="AD17120"/>
    </row>
    <row r="17121" spans="30:30" x14ac:dyDescent="0.25">
      <c r="AD17121"/>
    </row>
    <row r="17122" spans="30:30" x14ac:dyDescent="0.25">
      <c r="AD17122"/>
    </row>
    <row r="17123" spans="30:30" x14ac:dyDescent="0.25">
      <c r="AD17123"/>
    </row>
    <row r="17124" spans="30:30" x14ac:dyDescent="0.25">
      <c r="AD17124"/>
    </row>
    <row r="17125" spans="30:30" x14ac:dyDescent="0.25">
      <c r="AD17125"/>
    </row>
    <row r="17126" spans="30:30" x14ac:dyDescent="0.25">
      <c r="AD17126"/>
    </row>
    <row r="17127" spans="30:30" x14ac:dyDescent="0.25">
      <c r="AD17127"/>
    </row>
    <row r="17128" spans="30:30" x14ac:dyDescent="0.25">
      <c r="AD17128"/>
    </row>
    <row r="17129" spans="30:30" x14ac:dyDescent="0.25">
      <c r="AD17129"/>
    </row>
    <row r="17130" spans="30:30" x14ac:dyDescent="0.25">
      <c r="AD17130"/>
    </row>
    <row r="17131" spans="30:30" x14ac:dyDescent="0.25">
      <c r="AD17131"/>
    </row>
    <row r="17132" spans="30:30" x14ac:dyDescent="0.25">
      <c r="AD17132"/>
    </row>
    <row r="17133" spans="30:30" x14ac:dyDescent="0.25">
      <c r="AD17133"/>
    </row>
    <row r="17134" spans="30:30" x14ac:dyDescent="0.25">
      <c r="AD17134"/>
    </row>
    <row r="17135" spans="30:30" x14ac:dyDescent="0.25">
      <c r="AD17135"/>
    </row>
    <row r="17136" spans="30:30" x14ac:dyDescent="0.25">
      <c r="AD17136"/>
    </row>
    <row r="17137" spans="30:30" x14ac:dyDescent="0.25">
      <c r="AD17137"/>
    </row>
    <row r="17138" spans="30:30" x14ac:dyDescent="0.25">
      <c r="AD17138"/>
    </row>
    <row r="17139" spans="30:30" x14ac:dyDescent="0.25">
      <c r="AD17139"/>
    </row>
    <row r="17140" spans="30:30" x14ac:dyDescent="0.25">
      <c r="AD17140"/>
    </row>
    <row r="17141" spans="30:30" x14ac:dyDescent="0.25">
      <c r="AD17141"/>
    </row>
    <row r="17142" spans="30:30" x14ac:dyDescent="0.25">
      <c r="AD17142"/>
    </row>
    <row r="17143" spans="30:30" x14ac:dyDescent="0.25">
      <c r="AD17143"/>
    </row>
    <row r="17144" spans="30:30" x14ac:dyDescent="0.25">
      <c r="AD17144"/>
    </row>
    <row r="17145" spans="30:30" x14ac:dyDescent="0.25">
      <c r="AD17145"/>
    </row>
    <row r="17146" spans="30:30" x14ac:dyDescent="0.25">
      <c r="AD17146"/>
    </row>
    <row r="17147" spans="30:30" x14ac:dyDescent="0.25">
      <c r="AD17147"/>
    </row>
    <row r="17148" spans="30:30" x14ac:dyDescent="0.25">
      <c r="AD17148"/>
    </row>
    <row r="17149" spans="30:30" x14ac:dyDescent="0.25">
      <c r="AD17149"/>
    </row>
    <row r="17150" spans="30:30" x14ac:dyDescent="0.25">
      <c r="AD17150"/>
    </row>
    <row r="17151" spans="30:30" x14ac:dyDescent="0.25">
      <c r="AD17151"/>
    </row>
    <row r="17152" spans="30:30" x14ac:dyDescent="0.25">
      <c r="AD17152"/>
    </row>
    <row r="17153" spans="30:30" x14ac:dyDescent="0.25">
      <c r="AD17153"/>
    </row>
    <row r="17154" spans="30:30" x14ac:dyDescent="0.25">
      <c r="AD17154"/>
    </row>
    <row r="17155" spans="30:30" x14ac:dyDescent="0.25">
      <c r="AD17155"/>
    </row>
    <row r="17156" spans="30:30" x14ac:dyDescent="0.25">
      <c r="AD17156"/>
    </row>
    <row r="17157" spans="30:30" x14ac:dyDescent="0.25">
      <c r="AD17157"/>
    </row>
    <row r="17158" spans="30:30" x14ac:dyDescent="0.25">
      <c r="AD17158"/>
    </row>
    <row r="17159" spans="30:30" x14ac:dyDescent="0.25">
      <c r="AD17159"/>
    </row>
    <row r="17160" spans="30:30" x14ac:dyDescent="0.25">
      <c r="AD17160"/>
    </row>
    <row r="17161" spans="30:30" x14ac:dyDescent="0.25">
      <c r="AD17161"/>
    </row>
    <row r="17162" spans="30:30" x14ac:dyDescent="0.25">
      <c r="AD17162"/>
    </row>
    <row r="17163" spans="30:30" x14ac:dyDescent="0.25">
      <c r="AD17163"/>
    </row>
    <row r="17164" spans="30:30" x14ac:dyDescent="0.25">
      <c r="AD17164"/>
    </row>
    <row r="17165" spans="30:30" x14ac:dyDescent="0.25">
      <c r="AD17165"/>
    </row>
    <row r="17166" spans="30:30" x14ac:dyDescent="0.25">
      <c r="AD17166"/>
    </row>
    <row r="17167" spans="30:30" x14ac:dyDescent="0.25">
      <c r="AD17167"/>
    </row>
    <row r="17168" spans="30:30" x14ac:dyDescent="0.25">
      <c r="AD17168"/>
    </row>
    <row r="17169" spans="30:30" x14ac:dyDescent="0.25">
      <c r="AD17169"/>
    </row>
    <row r="17170" spans="30:30" x14ac:dyDescent="0.25">
      <c r="AD17170"/>
    </row>
    <row r="17171" spans="30:30" x14ac:dyDescent="0.25">
      <c r="AD17171"/>
    </row>
    <row r="17172" spans="30:30" x14ac:dyDescent="0.25">
      <c r="AD17172"/>
    </row>
    <row r="17173" spans="30:30" x14ac:dyDescent="0.25">
      <c r="AD17173"/>
    </row>
    <row r="17174" spans="30:30" x14ac:dyDescent="0.25">
      <c r="AD17174"/>
    </row>
    <row r="17175" spans="30:30" x14ac:dyDescent="0.25">
      <c r="AD17175"/>
    </row>
    <row r="17176" spans="30:30" x14ac:dyDescent="0.25">
      <c r="AD17176"/>
    </row>
    <row r="17177" spans="30:30" x14ac:dyDescent="0.25">
      <c r="AD17177"/>
    </row>
    <row r="17178" spans="30:30" x14ac:dyDescent="0.25">
      <c r="AD17178"/>
    </row>
    <row r="17179" spans="30:30" x14ac:dyDescent="0.25">
      <c r="AD17179"/>
    </row>
    <row r="17180" spans="30:30" x14ac:dyDescent="0.25">
      <c r="AD17180"/>
    </row>
    <row r="17181" spans="30:30" x14ac:dyDescent="0.25">
      <c r="AD17181"/>
    </row>
    <row r="17182" spans="30:30" x14ac:dyDescent="0.25">
      <c r="AD17182"/>
    </row>
    <row r="17183" spans="30:30" x14ac:dyDescent="0.25">
      <c r="AD17183"/>
    </row>
    <row r="17184" spans="30:30" x14ac:dyDescent="0.25">
      <c r="AD17184"/>
    </row>
    <row r="17185" spans="30:30" x14ac:dyDescent="0.25">
      <c r="AD17185"/>
    </row>
    <row r="17186" spans="30:30" x14ac:dyDescent="0.25">
      <c r="AD17186"/>
    </row>
    <row r="17187" spans="30:30" x14ac:dyDescent="0.25">
      <c r="AD17187"/>
    </row>
    <row r="17188" spans="30:30" x14ac:dyDescent="0.25">
      <c r="AD17188"/>
    </row>
    <row r="17189" spans="30:30" x14ac:dyDescent="0.25">
      <c r="AD17189"/>
    </row>
    <row r="17190" spans="30:30" x14ac:dyDescent="0.25">
      <c r="AD17190"/>
    </row>
    <row r="17191" spans="30:30" x14ac:dyDescent="0.25">
      <c r="AD17191"/>
    </row>
    <row r="17192" spans="30:30" x14ac:dyDescent="0.25">
      <c r="AD17192"/>
    </row>
    <row r="17193" spans="30:30" x14ac:dyDescent="0.25">
      <c r="AD17193"/>
    </row>
    <row r="17194" spans="30:30" x14ac:dyDescent="0.25">
      <c r="AD17194"/>
    </row>
    <row r="17195" spans="30:30" x14ac:dyDescent="0.25">
      <c r="AD17195"/>
    </row>
    <row r="17196" spans="30:30" x14ac:dyDescent="0.25">
      <c r="AD17196"/>
    </row>
    <row r="17197" spans="30:30" x14ac:dyDescent="0.25">
      <c r="AD17197"/>
    </row>
    <row r="17198" spans="30:30" x14ac:dyDescent="0.25">
      <c r="AD17198"/>
    </row>
    <row r="17199" spans="30:30" x14ac:dyDescent="0.25">
      <c r="AD17199"/>
    </row>
    <row r="17200" spans="30:30" x14ac:dyDescent="0.25">
      <c r="AD17200"/>
    </row>
    <row r="17201" spans="30:30" x14ac:dyDescent="0.25">
      <c r="AD17201"/>
    </row>
    <row r="17202" spans="30:30" x14ac:dyDescent="0.25">
      <c r="AD17202"/>
    </row>
    <row r="17203" spans="30:30" x14ac:dyDescent="0.25">
      <c r="AD17203"/>
    </row>
    <row r="17204" spans="30:30" x14ac:dyDescent="0.25">
      <c r="AD17204"/>
    </row>
    <row r="17205" spans="30:30" x14ac:dyDescent="0.25">
      <c r="AD17205"/>
    </row>
    <row r="17206" spans="30:30" x14ac:dyDescent="0.25">
      <c r="AD17206"/>
    </row>
    <row r="17207" spans="30:30" x14ac:dyDescent="0.25">
      <c r="AD17207"/>
    </row>
    <row r="17208" spans="30:30" x14ac:dyDescent="0.25">
      <c r="AD17208"/>
    </row>
    <row r="17209" spans="30:30" x14ac:dyDescent="0.25">
      <c r="AD17209"/>
    </row>
    <row r="17210" spans="30:30" x14ac:dyDescent="0.25">
      <c r="AD17210"/>
    </row>
    <row r="17211" spans="30:30" x14ac:dyDescent="0.25">
      <c r="AD17211"/>
    </row>
    <row r="17212" spans="30:30" x14ac:dyDescent="0.25">
      <c r="AD17212"/>
    </row>
    <row r="17213" spans="30:30" x14ac:dyDescent="0.25">
      <c r="AD17213"/>
    </row>
    <row r="17214" spans="30:30" x14ac:dyDescent="0.25">
      <c r="AD17214"/>
    </row>
    <row r="17215" spans="30:30" x14ac:dyDescent="0.25">
      <c r="AD17215"/>
    </row>
    <row r="17216" spans="30:30" x14ac:dyDescent="0.25">
      <c r="AD17216"/>
    </row>
    <row r="17217" spans="30:30" x14ac:dyDescent="0.25">
      <c r="AD17217"/>
    </row>
    <row r="17218" spans="30:30" x14ac:dyDescent="0.25">
      <c r="AD17218"/>
    </row>
    <row r="17219" spans="30:30" x14ac:dyDescent="0.25">
      <c r="AD17219"/>
    </row>
    <row r="17220" spans="30:30" x14ac:dyDescent="0.25">
      <c r="AD17220"/>
    </row>
    <row r="17221" spans="30:30" x14ac:dyDescent="0.25">
      <c r="AD17221"/>
    </row>
    <row r="17222" spans="30:30" x14ac:dyDescent="0.25">
      <c r="AD17222"/>
    </row>
    <row r="17223" spans="30:30" x14ac:dyDescent="0.25">
      <c r="AD17223"/>
    </row>
    <row r="17224" spans="30:30" x14ac:dyDescent="0.25">
      <c r="AD17224"/>
    </row>
    <row r="17225" spans="30:30" x14ac:dyDescent="0.25">
      <c r="AD17225"/>
    </row>
    <row r="17226" spans="30:30" x14ac:dyDescent="0.25">
      <c r="AD17226"/>
    </row>
    <row r="17227" spans="30:30" x14ac:dyDescent="0.25">
      <c r="AD17227"/>
    </row>
    <row r="17228" spans="30:30" x14ac:dyDescent="0.25">
      <c r="AD17228"/>
    </row>
    <row r="17229" spans="30:30" x14ac:dyDescent="0.25">
      <c r="AD17229"/>
    </row>
    <row r="17230" spans="30:30" x14ac:dyDescent="0.25">
      <c r="AD17230"/>
    </row>
    <row r="17231" spans="30:30" x14ac:dyDescent="0.25">
      <c r="AD17231"/>
    </row>
    <row r="17232" spans="30:30" x14ac:dyDescent="0.25">
      <c r="AD17232"/>
    </row>
    <row r="17233" spans="30:30" x14ac:dyDescent="0.25">
      <c r="AD17233"/>
    </row>
    <row r="17234" spans="30:30" x14ac:dyDescent="0.25">
      <c r="AD17234"/>
    </row>
    <row r="17235" spans="30:30" x14ac:dyDescent="0.25">
      <c r="AD17235"/>
    </row>
    <row r="17236" spans="30:30" x14ac:dyDescent="0.25">
      <c r="AD17236"/>
    </row>
    <row r="17237" spans="30:30" x14ac:dyDescent="0.25">
      <c r="AD17237"/>
    </row>
    <row r="17238" spans="30:30" x14ac:dyDescent="0.25">
      <c r="AD17238"/>
    </row>
    <row r="17239" spans="30:30" x14ac:dyDescent="0.25">
      <c r="AD17239"/>
    </row>
    <row r="17240" spans="30:30" x14ac:dyDescent="0.25">
      <c r="AD17240"/>
    </row>
    <row r="17241" spans="30:30" x14ac:dyDescent="0.25">
      <c r="AD17241"/>
    </row>
    <row r="17242" spans="30:30" x14ac:dyDescent="0.25">
      <c r="AD17242"/>
    </row>
    <row r="17243" spans="30:30" x14ac:dyDescent="0.25">
      <c r="AD17243"/>
    </row>
    <row r="17244" spans="30:30" x14ac:dyDescent="0.25">
      <c r="AD17244"/>
    </row>
    <row r="17245" spans="30:30" x14ac:dyDescent="0.25">
      <c r="AD17245"/>
    </row>
    <row r="17246" spans="30:30" x14ac:dyDescent="0.25">
      <c r="AD17246"/>
    </row>
    <row r="17247" spans="30:30" x14ac:dyDescent="0.25">
      <c r="AD17247"/>
    </row>
    <row r="17248" spans="30:30" x14ac:dyDescent="0.25">
      <c r="AD17248"/>
    </row>
    <row r="17249" spans="30:30" x14ac:dyDescent="0.25">
      <c r="AD17249"/>
    </row>
    <row r="17250" spans="30:30" x14ac:dyDescent="0.25">
      <c r="AD17250"/>
    </row>
    <row r="17251" spans="30:30" x14ac:dyDescent="0.25">
      <c r="AD17251"/>
    </row>
    <row r="17252" spans="30:30" x14ac:dyDescent="0.25">
      <c r="AD17252"/>
    </row>
    <row r="17253" spans="30:30" x14ac:dyDescent="0.25">
      <c r="AD17253"/>
    </row>
    <row r="17254" spans="30:30" x14ac:dyDescent="0.25">
      <c r="AD17254"/>
    </row>
    <row r="17255" spans="30:30" x14ac:dyDescent="0.25">
      <c r="AD17255"/>
    </row>
    <row r="17256" spans="30:30" x14ac:dyDescent="0.25">
      <c r="AD17256"/>
    </row>
    <row r="17257" spans="30:30" x14ac:dyDescent="0.25">
      <c r="AD17257"/>
    </row>
    <row r="17258" spans="30:30" x14ac:dyDescent="0.25">
      <c r="AD17258"/>
    </row>
    <row r="17259" spans="30:30" x14ac:dyDescent="0.25">
      <c r="AD17259"/>
    </row>
    <row r="17260" spans="30:30" x14ac:dyDescent="0.25">
      <c r="AD17260"/>
    </row>
    <row r="17261" spans="30:30" x14ac:dyDescent="0.25">
      <c r="AD17261"/>
    </row>
    <row r="17262" spans="30:30" x14ac:dyDescent="0.25">
      <c r="AD17262"/>
    </row>
    <row r="17263" spans="30:30" x14ac:dyDescent="0.25">
      <c r="AD17263"/>
    </row>
    <row r="17264" spans="30:30" x14ac:dyDescent="0.25">
      <c r="AD17264"/>
    </row>
    <row r="17265" spans="30:30" x14ac:dyDescent="0.25">
      <c r="AD17265"/>
    </row>
    <row r="17266" spans="30:30" x14ac:dyDescent="0.25">
      <c r="AD17266"/>
    </row>
    <row r="17267" spans="30:30" x14ac:dyDescent="0.25">
      <c r="AD17267"/>
    </row>
    <row r="17268" spans="30:30" x14ac:dyDescent="0.25">
      <c r="AD17268"/>
    </row>
    <row r="17269" spans="30:30" x14ac:dyDescent="0.25">
      <c r="AD17269"/>
    </row>
    <row r="17270" spans="30:30" x14ac:dyDescent="0.25">
      <c r="AD17270"/>
    </row>
    <row r="17271" spans="30:30" x14ac:dyDescent="0.25">
      <c r="AD17271"/>
    </row>
    <row r="17272" spans="30:30" x14ac:dyDescent="0.25">
      <c r="AD17272"/>
    </row>
    <row r="17273" spans="30:30" x14ac:dyDescent="0.25">
      <c r="AD17273"/>
    </row>
    <row r="17274" spans="30:30" x14ac:dyDescent="0.25">
      <c r="AD17274"/>
    </row>
    <row r="17275" spans="30:30" x14ac:dyDescent="0.25">
      <c r="AD17275"/>
    </row>
    <row r="17276" spans="30:30" x14ac:dyDescent="0.25">
      <c r="AD17276"/>
    </row>
    <row r="17277" spans="30:30" x14ac:dyDescent="0.25">
      <c r="AD17277"/>
    </row>
    <row r="17278" spans="30:30" x14ac:dyDescent="0.25">
      <c r="AD17278"/>
    </row>
    <row r="17279" spans="30:30" x14ac:dyDescent="0.25">
      <c r="AD17279"/>
    </row>
    <row r="17280" spans="30:30" x14ac:dyDescent="0.25">
      <c r="AD17280"/>
    </row>
    <row r="17281" spans="30:30" x14ac:dyDescent="0.25">
      <c r="AD17281"/>
    </row>
    <row r="17282" spans="30:30" x14ac:dyDescent="0.25">
      <c r="AD17282"/>
    </row>
    <row r="17283" spans="30:30" x14ac:dyDescent="0.25">
      <c r="AD17283"/>
    </row>
    <row r="17284" spans="30:30" x14ac:dyDescent="0.25">
      <c r="AD17284"/>
    </row>
    <row r="17285" spans="30:30" x14ac:dyDescent="0.25">
      <c r="AD17285"/>
    </row>
    <row r="17286" spans="30:30" x14ac:dyDescent="0.25">
      <c r="AD17286"/>
    </row>
    <row r="17287" spans="30:30" x14ac:dyDescent="0.25">
      <c r="AD17287"/>
    </row>
    <row r="17288" spans="30:30" x14ac:dyDescent="0.25">
      <c r="AD17288"/>
    </row>
    <row r="17289" spans="30:30" x14ac:dyDescent="0.25">
      <c r="AD17289"/>
    </row>
    <row r="17290" spans="30:30" x14ac:dyDescent="0.25">
      <c r="AD17290"/>
    </row>
    <row r="17291" spans="30:30" x14ac:dyDescent="0.25">
      <c r="AD17291"/>
    </row>
    <row r="17292" spans="30:30" x14ac:dyDescent="0.25">
      <c r="AD17292"/>
    </row>
    <row r="17293" spans="30:30" x14ac:dyDescent="0.25">
      <c r="AD17293"/>
    </row>
    <row r="17294" spans="30:30" x14ac:dyDescent="0.25">
      <c r="AD17294"/>
    </row>
    <row r="17295" spans="30:30" x14ac:dyDescent="0.25">
      <c r="AD17295"/>
    </row>
    <row r="17296" spans="30:30" x14ac:dyDescent="0.25">
      <c r="AD17296"/>
    </row>
    <row r="17297" spans="30:30" x14ac:dyDescent="0.25">
      <c r="AD17297"/>
    </row>
    <row r="17298" spans="30:30" x14ac:dyDescent="0.25">
      <c r="AD17298"/>
    </row>
    <row r="17299" spans="30:30" x14ac:dyDescent="0.25">
      <c r="AD17299"/>
    </row>
    <row r="17300" spans="30:30" x14ac:dyDescent="0.25">
      <c r="AD17300"/>
    </row>
    <row r="17301" spans="30:30" x14ac:dyDescent="0.25">
      <c r="AD17301"/>
    </row>
    <row r="17302" spans="30:30" x14ac:dyDescent="0.25">
      <c r="AD17302"/>
    </row>
    <row r="17303" spans="30:30" x14ac:dyDescent="0.25">
      <c r="AD17303"/>
    </row>
    <row r="17304" spans="30:30" x14ac:dyDescent="0.25">
      <c r="AD17304"/>
    </row>
    <row r="17305" spans="30:30" x14ac:dyDescent="0.25">
      <c r="AD17305"/>
    </row>
    <row r="17306" spans="30:30" x14ac:dyDescent="0.25">
      <c r="AD17306"/>
    </row>
    <row r="17307" spans="30:30" x14ac:dyDescent="0.25">
      <c r="AD17307"/>
    </row>
    <row r="17308" spans="30:30" x14ac:dyDescent="0.25">
      <c r="AD17308"/>
    </row>
    <row r="17309" spans="30:30" x14ac:dyDescent="0.25">
      <c r="AD17309"/>
    </row>
    <row r="17310" spans="30:30" x14ac:dyDescent="0.25">
      <c r="AD17310"/>
    </row>
    <row r="17311" spans="30:30" x14ac:dyDescent="0.25">
      <c r="AD17311"/>
    </row>
    <row r="17312" spans="30:30" x14ac:dyDescent="0.25">
      <c r="AD17312"/>
    </row>
    <row r="17313" spans="30:30" x14ac:dyDescent="0.25">
      <c r="AD17313"/>
    </row>
    <row r="17314" spans="30:30" x14ac:dyDescent="0.25">
      <c r="AD17314"/>
    </row>
    <row r="17315" spans="30:30" x14ac:dyDescent="0.25">
      <c r="AD17315"/>
    </row>
    <row r="17316" spans="30:30" x14ac:dyDescent="0.25">
      <c r="AD17316"/>
    </row>
    <row r="17317" spans="30:30" x14ac:dyDescent="0.25">
      <c r="AD17317"/>
    </row>
    <row r="17318" spans="30:30" x14ac:dyDescent="0.25">
      <c r="AD17318"/>
    </row>
    <row r="17319" spans="30:30" x14ac:dyDescent="0.25">
      <c r="AD17319"/>
    </row>
    <row r="17320" spans="30:30" x14ac:dyDescent="0.25">
      <c r="AD17320"/>
    </row>
    <row r="17321" spans="30:30" x14ac:dyDescent="0.25">
      <c r="AD17321"/>
    </row>
    <row r="17322" spans="30:30" x14ac:dyDescent="0.25">
      <c r="AD17322"/>
    </row>
    <row r="17323" spans="30:30" x14ac:dyDescent="0.25">
      <c r="AD17323"/>
    </row>
    <row r="17324" spans="30:30" x14ac:dyDescent="0.25">
      <c r="AD17324"/>
    </row>
    <row r="17325" spans="30:30" x14ac:dyDescent="0.25">
      <c r="AD17325"/>
    </row>
    <row r="17326" spans="30:30" x14ac:dyDescent="0.25">
      <c r="AD17326"/>
    </row>
    <row r="17327" spans="30:30" x14ac:dyDescent="0.25">
      <c r="AD17327"/>
    </row>
    <row r="17328" spans="30:30" x14ac:dyDescent="0.25">
      <c r="AD17328"/>
    </row>
    <row r="17329" spans="30:30" x14ac:dyDescent="0.25">
      <c r="AD17329"/>
    </row>
    <row r="17330" spans="30:30" x14ac:dyDescent="0.25">
      <c r="AD17330"/>
    </row>
    <row r="17331" spans="30:30" x14ac:dyDescent="0.25">
      <c r="AD17331"/>
    </row>
    <row r="17332" spans="30:30" x14ac:dyDescent="0.25">
      <c r="AD17332"/>
    </row>
    <row r="17333" spans="30:30" x14ac:dyDescent="0.25">
      <c r="AD17333"/>
    </row>
    <row r="17334" spans="30:30" x14ac:dyDescent="0.25">
      <c r="AD17334"/>
    </row>
    <row r="17335" spans="30:30" x14ac:dyDescent="0.25">
      <c r="AD17335"/>
    </row>
    <row r="17336" spans="30:30" x14ac:dyDescent="0.25">
      <c r="AD17336"/>
    </row>
    <row r="17337" spans="30:30" x14ac:dyDescent="0.25">
      <c r="AD17337"/>
    </row>
    <row r="17338" spans="30:30" x14ac:dyDescent="0.25">
      <c r="AD17338"/>
    </row>
    <row r="17339" spans="30:30" x14ac:dyDescent="0.25">
      <c r="AD17339"/>
    </row>
    <row r="17340" spans="30:30" x14ac:dyDescent="0.25">
      <c r="AD17340"/>
    </row>
    <row r="17341" spans="30:30" x14ac:dyDescent="0.25">
      <c r="AD17341"/>
    </row>
    <row r="17342" spans="30:30" x14ac:dyDescent="0.25">
      <c r="AD17342"/>
    </row>
    <row r="17343" spans="30:30" x14ac:dyDescent="0.25">
      <c r="AD17343"/>
    </row>
    <row r="17344" spans="30:30" x14ac:dyDescent="0.25">
      <c r="AD17344"/>
    </row>
    <row r="17345" spans="30:30" x14ac:dyDescent="0.25">
      <c r="AD17345"/>
    </row>
    <row r="17346" spans="30:30" x14ac:dyDescent="0.25">
      <c r="AD17346"/>
    </row>
    <row r="17347" spans="30:30" x14ac:dyDescent="0.25">
      <c r="AD17347"/>
    </row>
    <row r="17348" spans="30:30" x14ac:dyDescent="0.25">
      <c r="AD17348"/>
    </row>
    <row r="17349" spans="30:30" x14ac:dyDescent="0.25">
      <c r="AD17349"/>
    </row>
    <row r="17350" spans="30:30" x14ac:dyDescent="0.25">
      <c r="AD17350"/>
    </row>
    <row r="17351" spans="30:30" x14ac:dyDescent="0.25">
      <c r="AD17351"/>
    </row>
    <row r="17352" spans="30:30" x14ac:dyDescent="0.25">
      <c r="AD17352"/>
    </row>
    <row r="17353" spans="30:30" x14ac:dyDescent="0.25">
      <c r="AD17353"/>
    </row>
    <row r="17354" spans="30:30" x14ac:dyDescent="0.25">
      <c r="AD17354"/>
    </row>
    <row r="17355" spans="30:30" x14ac:dyDescent="0.25">
      <c r="AD17355"/>
    </row>
    <row r="17356" spans="30:30" x14ac:dyDescent="0.25">
      <c r="AD17356"/>
    </row>
    <row r="17357" spans="30:30" x14ac:dyDescent="0.25">
      <c r="AD17357"/>
    </row>
    <row r="17358" spans="30:30" x14ac:dyDescent="0.25">
      <c r="AD17358"/>
    </row>
    <row r="17359" spans="30:30" x14ac:dyDescent="0.25">
      <c r="AD17359"/>
    </row>
    <row r="17360" spans="30:30" x14ac:dyDescent="0.25">
      <c r="AD17360"/>
    </row>
    <row r="17361" spans="30:30" x14ac:dyDescent="0.25">
      <c r="AD17361"/>
    </row>
    <row r="17362" spans="30:30" x14ac:dyDescent="0.25">
      <c r="AD17362"/>
    </row>
    <row r="17363" spans="30:30" x14ac:dyDescent="0.25">
      <c r="AD17363"/>
    </row>
    <row r="17364" spans="30:30" x14ac:dyDescent="0.25">
      <c r="AD17364"/>
    </row>
    <row r="17365" spans="30:30" x14ac:dyDescent="0.25">
      <c r="AD17365"/>
    </row>
    <row r="17366" spans="30:30" x14ac:dyDescent="0.25">
      <c r="AD17366"/>
    </row>
    <row r="17367" spans="30:30" x14ac:dyDescent="0.25">
      <c r="AD17367"/>
    </row>
    <row r="17368" spans="30:30" x14ac:dyDescent="0.25">
      <c r="AD17368"/>
    </row>
    <row r="17369" spans="30:30" x14ac:dyDescent="0.25">
      <c r="AD17369"/>
    </row>
    <row r="17370" spans="30:30" x14ac:dyDescent="0.25">
      <c r="AD17370"/>
    </row>
    <row r="17371" spans="30:30" x14ac:dyDescent="0.25">
      <c r="AD17371"/>
    </row>
    <row r="17372" spans="30:30" x14ac:dyDescent="0.25">
      <c r="AD17372"/>
    </row>
    <row r="17373" spans="30:30" x14ac:dyDescent="0.25">
      <c r="AD17373"/>
    </row>
    <row r="17374" spans="30:30" x14ac:dyDescent="0.25">
      <c r="AD17374"/>
    </row>
    <row r="17375" spans="30:30" x14ac:dyDescent="0.25">
      <c r="AD17375"/>
    </row>
    <row r="17376" spans="30:30" x14ac:dyDescent="0.25">
      <c r="AD17376"/>
    </row>
    <row r="17377" spans="30:30" x14ac:dyDescent="0.25">
      <c r="AD17377"/>
    </row>
    <row r="17378" spans="30:30" x14ac:dyDescent="0.25">
      <c r="AD17378"/>
    </row>
    <row r="17379" spans="30:30" x14ac:dyDescent="0.25">
      <c r="AD17379"/>
    </row>
    <row r="17380" spans="30:30" x14ac:dyDescent="0.25">
      <c r="AD17380"/>
    </row>
    <row r="17381" spans="30:30" x14ac:dyDescent="0.25">
      <c r="AD17381"/>
    </row>
    <row r="17382" spans="30:30" x14ac:dyDescent="0.25">
      <c r="AD17382"/>
    </row>
    <row r="17383" spans="30:30" x14ac:dyDescent="0.25">
      <c r="AD17383"/>
    </row>
    <row r="17384" spans="30:30" x14ac:dyDescent="0.25">
      <c r="AD17384"/>
    </row>
    <row r="17385" spans="30:30" x14ac:dyDescent="0.25">
      <c r="AD17385"/>
    </row>
    <row r="17386" spans="30:30" x14ac:dyDescent="0.25">
      <c r="AD17386"/>
    </row>
    <row r="17387" spans="30:30" x14ac:dyDescent="0.25">
      <c r="AD17387"/>
    </row>
    <row r="17388" spans="30:30" x14ac:dyDescent="0.25">
      <c r="AD17388"/>
    </row>
    <row r="17389" spans="30:30" x14ac:dyDescent="0.25">
      <c r="AD17389"/>
    </row>
    <row r="17390" spans="30:30" x14ac:dyDescent="0.25">
      <c r="AD17390"/>
    </row>
    <row r="17391" spans="30:30" x14ac:dyDescent="0.25">
      <c r="AD17391"/>
    </row>
    <row r="17392" spans="30:30" x14ac:dyDescent="0.25">
      <c r="AD17392"/>
    </row>
    <row r="17393" spans="30:30" x14ac:dyDescent="0.25">
      <c r="AD17393"/>
    </row>
    <row r="17394" spans="30:30" x14ac:dyDescent="0.25">
      <c r="AD17394"/>
    </row>
    <row r="17395" spans="30:30" x14ac:dyDescent="0.25">
      <c r="AD17395"/>
    </row>
    <row r="17396" spans="30:30" x14ac:dyDescent="0.25">
      <c r="AD17396"/>
    </row>
    <row r="17397" spans="30:30" x14ac:dyDescent="0.25">
      <c r="AD17397"/>
    </row>
    <row r="17398" spans="30:30" x14ac:dyDescent="0.25">
      <c r="AD17398"/>
    </row>
    <row r="17399" spans="30:30" x14ac:dyDescent="0.25">
      <c r="AD17399"/>
    </row>
    <row r="17400" spans="30:30" x14ac:dyDescent="0.25">
      <c r="AD17400"/>
    </row>
    <row r="17401" spans="30:30" x14ac:dyDescent="0.25">
      <c r="AD17401"/>
    </row>
    <row r="17402" spans="30:30" x14ac:dyDescent="0.25">
      <c r="AD17402"/>
    </row>
    <row r="17403" spans="30:30" x14ac:dyDescent="0.25">
      <c r="AD17403"/>
    </row>
    <row r="17404" spans="30:30" x14ac:dyDescent="0.25">
      <c r="AD17404"/>
    </row>
    <row r="17405" spans="30:30" x14ac:dyDescent="0.25">
      <c r="AD17405"/>
    </row>
    <row r="17406" spans="30:30" x14ac:dyDescent="0.25">
      <c r="AD17406"/>
    </row>
    <row r="17407" spans="30:30" x14ac:dyDescent="0.25">
      <c r="AD17407"/>
    </row>
    <row r="17408" spans="30:30" x14ac:dyDescent="0.25">
      <c r="AD17408"/>
    </row>
    <row r="17409" spans="30:30" x14ac:dyDescent="0.25">
      <c r="AD17409"/>
    </row>
    <row r="17410" spans="30:30" x14ac:dyDescent="0.25">
      <c r="AD17410"/>
    </row>
    <row r="17411" spans="30:30" x14ac:dyDescent="0.25">
      <c r="AD17411"/>
    </row>
    <row r="17412" spans="30:30" x14ac:dyDescent="0.25">
      <c r="AD17412"/>
    </row>
    <row r="17413" spans="30:30" x14ac:dyDescent="0.25">
      <c r="AD17413"/>
    </row>
    <row r="17414" spans="30:30" x14ac:dyDescent="0.25">
      <c r="AD17414"/>
    </row>
    <row r="17415" spans="30:30" x14ac:dyDescent="0.25">
      <c r="AD17415"/>
    </row>
    <row r="17416" spans="30:30" x14ac:dyDescent="0.25">
      <c r="AD17416"/>
    </row>
    <row r="17417" spans="30:30" x14ac:dyDescent="0.25">
      <c r="AD17417"/>
    </row>
    <row r="17418" spans="30:30" x14ac:dyDescent="0.25">
      <c r="AD17418"/>
    </row>
    <row r="17419" spans="30:30" x14ac:dyDescent="0.25">
      <c r="AD17419"/>
    </row>
    <row r="17420" spans="30:30" x14ac:dyDescent="0.25">
      <c r="AD17420"/>
    </row>
    <row r="17421" spans="30:30" x14ac:dyDescent="0.25">
      <c r="AD17421"/>
    </row>
    <row r="17422" spans="30:30" x14ac:dyDescent="0.25">
      <c r="AD17422"/>
    </row>
    <row r="17423" spans="30:30" x14ac:dyDescent="0.25">
      <c r="AD17423"/>
    </row>
    <row r="17424" spans="30:30" x14ac:dyDescent="0.25">
      <c r="AD17424"/>
    </row>
    <row r="17425" spans="30:30" x14ac:dyDescent="0.25">
      <c r="AD17425"/>
    </row>
    <row r="17426" spans="30:30" x14ac:dyDescent="0.25">
      <c r="AD17426"/>
    </row>
    <row r="17427" spans="30:30" x14ac:dyDescent="0.25">
      <c r="AD17427"/>
    </row>
    <row r="17428" spans="30:30" x14ac:dyDescent="0.25">
      <c r="AD17428"/>
    </row>
    <row r="17429" spans="30:30" x14ac:dyDescent="0.25">
      <c r="AD17429"/>
    </row>
    <row r="17430" spans="30:30" x14ac:dyDescent="0.25">
      <c r="AD17430"/>
    </row>
    <row r="17431" spans="30:30" x14ac:dyDescent="0.25">
      <c r="AD17431"/>
    </row>
    <row r="17432" spans="30:30" x14ac:dyDescent="0.25">
      <c r="AD17432"/>
    </row>
    <row r="17433" spans="30:30" x14ac:dyDescent="0.25">
      <c r="AD17433"/>
    </row>
    <row r="17434" spans="30:30" x14ac:dyDescent="0.25">
      <c r="AD17434"/>
    </row>
    <row r="17435" spans="30:30" x14ac:dyDescent="0.25">
      <c r="AD17435"/>
    </row>
    <row r="17436" spans="30:30" x14ac:dyDescent="0.25">
      <c r="AD17436"/>
    </row>
    <row r="17437" spans="30:30" x14ac:dyDescent="0.25">
      <c r="AD17437"/>
    </row>
    <row r="17438" spans="30:30" x14ac:dyDescent="0.25">
      <c r="AD17438"/>
    </row>
    <row r="17439" spans="30:30" x14ac:dyDescent="0.25">
      <c r="AD17439"/>
    </row>
    <row r="17440" spans="30:30" x14ac:dyDescent="0.25">
      <c r="AD17440"/>
    </row>
    <row r="17441" spans="30:30" x14ac:dyDescent="0.25">
      <c r="AD17441"/>
    </row>
    <row r="17442" spans="30:30" x14ac:dyDescent="0.25">
      <c r="AD17442"/>
    </row>
    <row r="17443" spans="30:30" x14ac:dyDescent="0.25">
      <c r="AD17443"/>
    </row>
    <row r="17444" spans="30:30" x14ac:dyDescent="0.25">
      <c r="AD17444"/>
    </row>
    <row r="17445" spans="30:30" x14ac:dyDescent="0.25">
      <c r="AD17445"/>
    </row>
    <row r="17446" spans="30:30" x14ac:dyDescent="0.25">
      <c r="AD17446"/>
    </row>
    <row r="17447" spans="30:30" x14ac:dyDescent="0.25">
      <c r="AD17447"/>
    </row>
    <row r="17448" spans="30:30" x14ac:dyDescent="0.25">
      <c r="AD17448"/>
    </row>
    <row r="17449" spans="30:30" x14ac:dyDescent="0.25">
      <c r="AD17449"/>
    </row>
    <row r="17450" spans="30:30" x14ac:dyDescent="0.25">
      <c r="AD17450"/>
    </row>
    <row r="17451" spans="30:30" x14ac:dyDescent="0.25">
      <c r="AD17451"/>
    </row>
    <row r="17452" spans="30:30" x14ac:dyDescent="0.25">
      <c r="AD17452"/>
    </row>
    <row r="17453" spans="30:30" x14ac:dyDescent="0.25">
      <c r="AD17453"/>
    </row>
    <row r="17454" spans="30:30" x14ac:dyDescent="0.25">
      <c r="AD17454"/>
    </row>
    <row r="17455" spans="30:30" x14ac:dyDescent="0.25">
      <c r="AD17455"/>
    </row>
    <row r="17456" spans="30:30" x14ac:dyDescent="0.25">
      <c r="AD17456"/>
    </row>
    <row r="17457" spans="30:30" x14ac:dyDescent="0.25">
      <c r="AD17457"/>
    </row>
    <row r="17458" spans="30:30" x14ac:dyDescent="0.25">
      <c r="AD17458"/>
    </row>
    <row r="17459" spans="30:30" x14ac:dyDescent="0.25">
      <c r="AD17459"/>
    </row>
    <row r="17460" spans="30:30" x14ac:dyDescent="0.25">
      <c r="AD17460"/>
    </row>
    <row r="17461" spans="30:30" x14ac:dyDescent="0.25">
      <c r="AD17461"/>
    </row>
    <row r="17462" spans="30:30" x14ac:dyDescent="0.25">
      <c r="AD17462"/>
    </row>
    <row r="17463" spans="30:30" x14ac:dyDescent="0.25">
      <c r="AD17463"/>
    </row>
    <row r="17464" spans="30:30" x14ac:dyDescent="0.25">
      <c r="AD17464"/>
    </row>
    <row r="17465" spans="30:30" x14ac:dyDescent="0.25">
      <c r="AD17465"/>
    </row>
    <row r="17466" spans="30:30" x14ac:dyDescent="0.25">
      <c r="AD17466"/>
    </row>
    <row r="17467" spans="30:30" x14ac:dyDescent="0.25">
      <c r="AD17467"/>
    </row>
    <row r="17468" spans="30:30" x14ac:dyDescent="0.25">
      <c r="AD17468"/>
    </row>
    <row r="17469" spans="30:30" x14ac:dyDescent="0.25">
      <c r="AD17469"/>
    </row>
    <row r="17470" spans="30:30" x14ac:dyDescent="0.25">
      <c r="AD17470"/>
    </row>
    <row r="17471" spans="30:30" x14ac:dyDescent="0.25">
      <c r="AD17471"/>
    </row>
    <row r="17472" spans="30:30" x14ac:dyDescent="0.25">
      <c r="AD17472"/>
    </row>
    <row r="17473" spans="30:30" x14ac:dyDescent="0.25">
      <c r="AD17473"/>
    </row>
    <row r="17474" spans="30:30" x14ac:dyDescent="0.25">
      <c r="AD17474"/>
    </row>
    <row r="17475" spans="30:30" x14ac:dyDescent="0.25">
      <c r="AD17475"/>
    </row>
    <row r="17476" spans="30:30" x14ac:dyDescent="0.25">
      <c r="AD17476"/>
    </row>
    <row r="17477" spans="30:30" x14ac:dyDescent="0.25">
      <c r="AD17477"/>
    </row>
    <row r="17478" spans="30:30" x14ac:dyDescent="0.25">
      <c r="AD17478"/>
    </row>
    <row r="17479" spans="30:30" x14ac:dyDescent="0.25">
      <c r="AD17479"/>
    </row>
    <row r="17480" spans="30:30" x14ac:dyDescent="0.25">
      <c r="AD17480"/>
    </row>
    <row r="17481" spans="30:30" x14ac:dyDescent="0.25">
      <c r="AD17481"/>
    </row>
    <row r="17482" spans="30:30" x14ac:dyDescent="0.25">
      <c r="AD17482"/>
    </row>
    <row r="17483" spans="30:30" x14ac:dyDescent="0.25">
      <c r="AD17483"/>
    </row>
    <row r="17484" spans="30:30" x14ac:dyDescent="0.25">
      <c r="AD17484"/>
    </row>
    <row r="17485" spans="30:30" x14ac:dyDescent="0.25">
      <c r="AD17485"/>
    </row>
    <row r="17486" spans="30:30" x14ac:dyDescent="0.25">
      <c r="AD17486"/>
    </row>
    <row r="17487" spans="30:30" x14ac:dyDescent="0.25">
      <c r="AD17487"/>
    </row>
    <row r="17488" spans="30:30" x14ac:dyDescent="0.25">
      <c r="AD17488"/>
    </row>
    <row r="17489" spans="30:30" x14ac:dyDescent="0.25">
      <c r="AD17489"/>
    </row>
    <row r="17490" spans="30:30" x14ac:dyDescent="0.25">
      <c r="AD17490"/>
    </row>
    <row r="17491" spans="30:30" x14ac:dyDescent="0.25">
      <c r="AD17491"/>
    </row>
    <row r="17492" spans="30:30" x14ac:dyDescent="0.25">
      <c r="AD17492"/>
    </row>
    <row r="17493" spans="30:30" x14ac:dyDescent="0.25">
      <c r="AD17493"/>
    </row>
    <row r="17494" spans="30:30" x14ac:dyDescent="0.25">
      <c r="AD17494"/>
    </row>
    <row r="17495" spans="30:30" x14ac:dyDescent="0.25">
      <c r="AD17495"/>
    </row>
    <row r="17496" spans="30:30" x14ac:dyDescent="0.25">
      <c r="AD17496"/>
    </row>
    <row r="17497" spans="30:30" x14ac:dyDescent="0.25">
      <c r="AD17497"/>
    </row>
    <row r="17498" spans="30:30" x14ac:dyDescent="0.25">
      <c r="AD17498"/>
    </row>
    <row r="17499" spans="30:30" x14ac:dyDescent="0.25">
      <c r="AD17499"/>
    </row>
    <row r="17500" spans="30:30" x14ac:dyDescent="0.25">
      <c r="AD17500"/>
    </row>
    <row r="17501" spans="30:30" x14ac:dyDescent="0.25">
      <c r="AD17501"/>
    </row>
    <row r="17502" spans="30:30" x14ac:dyDescent="0.25">
      <c r="AD17502"/>
    </row>
    <row r="17503" spans="30:30" x14ac:dyDescent="0.25">
      <c r="AD17503"/>
    </row>
    <row r="17504" spans="30:30" x14ac:dyDescent="0.25">
      <c r="AD17504"/>
    </row>
    <row r="17505" spans="30:30" x14ac:dyDescent="0.25">
      <c r="AD17505"/>
    </row>
    <row r="17506" spans="30:30" x14ac:dyDescent="0.25">
      <c r="AD17506"/>
    </row>
    <row r="17507" spans="30:30" x14ac:dyDescent="0.25">
      <c r="AD17507"/>
    </row>
    <row r="17508" spans="30:30" x14ac:dyDescent="0.25">
      <c r="AD17508"/>
    </row>
    <row r="17509" spans="30:30" x14ac:dyDescent="0.25">
      <c r="AD17509"/>
    </row>
    <row r="17510" spans="30:30" x14ac:dyDescent="0.25">
      <c r="AD17510"/>
    </row>
    <row r="17511" spans="30:30" x14ac:dyDescent="0.25">
      <c r="AD17511"/>
    </row>
    <row r="17512" spans="30:30" x14ac:dyDescent="0.25">
      <c r="AD17512"/>
    </row>
    <row r="17513" spans="30:30" x14ac:dyDescent="0.25">
      <c r="AD17513"/>
    </row>
    <row r="17514" spans="30:30" x14ac:dyDescent="0.25">
      <c r="AD17514"/>
    </row>
    <row r="17515" spans="30:30" x14ac:dyDescent="0.25">
      <c r="AD17515"/>
    </row>
    <row r="17516" spans="30:30" x14ac:dyDescent="0.25">
      <c r="AD17516"/>
    </row>
    <row r="17517" spans="30:30" x14ac:dyDescent="0.25">
      <c r="AD17517"/>
    </row>
    <row r="17518" spans="30:30" x14ac:dyDescent="0.25">
      <c r="AD17518"/>
    </row>
    <row r="17519" spans="30:30" x14ac:dyDescent="0.25">
      <c r="AD17519"/>
    </row>
    <row r="17520" spans="30:30" x14ac:dyDescent="0.25">
      <c r="AD17520"/>
    </row>
    <row r="17521" spans="30:30" x14ac:dyDescent="0.25">
      <c r="AD17521"/>
    </row>
    <row r="17522" spans="30:30" x14ac:dyDescent="0.25">
      <c r="AD17522"/>
    </row>
    <row r="17523" spans="30:30" x14ac:dyDescent="0.25">
      <c r="AD17523"/>
    </row>
    <row r="17524" spans="30:30" x14ac:dyDescent="0.25">
      <c r="AD17524"/>
    </row>
    <row r="17525" spans="30:30" x14ac:dyDescent="0.25">
      <c r="AD17525"/>
    </row>
    <row r="17526" spans="30:30" x14ac:dyDescent="0.25">
      <c r="AD17526"/>
    </row>
    <row r="17527" spans="30:30" x14ac:dyDescent="0.25">
      <c r="AD17527"/>
    </row>
    <row r="17528" spans="30:30" x14ac:dyDescent="0.25">
      <c r="AD17528"/>
    </row>
    <row r="17529" spans="30:30" x14ac:dyDescent="0.25">
      <c r="AD17529"/>
    </row>
    <row r="17530" spans="30:30" x14ac:dyDescent="0.25">
      <c r="AD17530"/>
    </row>
    <row r="17531" spans="30:30" x14ac:dyDescent="0.25">
      <c r="AD17531"/>
    </row>
    <row r="17532" spans="30:30" x14ac:dyDescent="0.25">
      <c r="AD17532"/>
    </row>
    <row r="17533" spans="30:30" x14ac:dyDescent="0.25">
      <c r="AD17533"/>
    </row>
    <row r="17534" spans="30:30" x14ac:dyDescent="0.25">
      <c r="AD17534"/>
    </row>
    <row r="17535" spans="30:30" x14ac:dyDescent="0.25">
      <c r="AD17535"/>
    </row>
    <row r="17536" spans="30:30" x14ac:dyDescent="0.25">
      <c r="AD17536"/>
    </row>
    <row r="17537" spans="30:30" x14ac:dyDescent="0.25">
      <c r="AD17537"/>
    </row>
    <row r="17538" spans="30:30" x14ac:dyDescent="0.25">
      <c r="AD17538"/>
    </row>
    <row r="17539" spans="30:30" x14ac:dyDescent="0.25">
      <c r="AD17539"/>
    </row>
    <row r="17540" spans="30:30" x14ac:dyDescent="0.25">
      <c r="AD17540"/>
    </row>
    <row r="17541" spans="30:30" x14ac:dyDescent="0.25">
      <c r="AD17541"/>
    </row>
    <row r="17542" spans="30:30" x14ac:dyDescent="0.25">
      <c r="AD17542"/>
    </row>
    <row r="17543" spans="30:30" x14ac:dyDescent="0.25">
      <c r="AD17543"/>
    </row>
    <row r="17544" spans="30:30" x14ac:dyDescent="0.25">
      <c r="AD17544"/>
    </row>
    <row r="17545" spans="30:30" x14ac:dyDescent="0.25">
      <c r="AD17545"/>
    </row>
    <row r="17546" spans="30:30" x14ac:dyDescent="0.25">
      <c r="AD17546"/>
    </row>
    <row r="17547" spans="30:30" x14ac:dyDescent="0.25">
      <c r="AD17547"/>
    </row>
    <row r="17548" spans="30:30" x14ac:dyDescent="0.25">
      <c r="AD17548"/>
    </row>
    <row r="17549" spans="30:30" x14ac:dyDescent="0.25">
      <c r="AD17549"/>
    </row>
    <row r="17550" spans="30:30" x14ac:dyDescent="0.25">
      <c r="AD17550"/>
    </row>
    <row r="17551" spans="30:30" x14ac:dyDescent="0.25">
      <c r="AD17551"/>
    </row>
    <row r="17552" spans="30:30" x14ac:dyDescent="0.25">
      <c r="AD17552"/>
    </row>
    <row r="17553" spans="30:30" x14ac:dyDescent="0.25">
      <c r="AD17553"/>
    </row>
    <row r="17554" spans="30:30" x14ac:dyDescent="0.25">
      <c r="AD17554"/>
    </row>
    <row r="17555" spans="30:30" x14ac:dyDescent="0.25">
      <c r="AD17555"/>
    </row>
    <row r="17556" spans="30:30" x14ac:dyDescent="0.25">
      <c r="AD17556"/>
    </row>
    <row r="17557" spans="30:30" x14ac:dyDescent="0.25">
      <c r="AD17557"/>
    </row>
    <row r="17558" spans="30:30" x14ac:dyDescent="0.25">
      <c r="AD17558"/>
    </row>
    <row r="17559" spans="30:30" x14ac:dyDescent="0.25">
      <c r="AD17559"/>
    </row>
    <row r="17560" spans="30:30" x14ac:dyDescent="0.25">
      <c r="AD17560"/>
    </row>
    <row r="17561" spans="30:30" x14ac:dyDescent="0.25">
      <c r="AD17561"/>
    </row>
    <row r="17562" spans="30:30" x14ac:dyDescent="0.25">
      <c r="AD17562"/>
    </row>
    <row r="17563" spans="30:30" x14ac:dyDescent="0.25">
      <c r="AD17563"/>
    </row>
    <row r="17564" spans="30:30" x14ac:dyDescent="0.25">
      <c r="AD17564"/>
    </row>
    <row r="17565" spans="30:30" x14ac:dyDescent="0.25">
      <c r="AD17565"/>
    </row>
    <row r="17566" spans="30:30" x14ac:dyDescent="0.25">
      <c r="AD17566"/>
    </row>
    <row r="17567" spans="30:30" x14ac:dyDescent="0.25">
      <c r="AD17567"/>
    </row>
    <row r="17568" spans="30:30" x14ac:dyDescent="0.25">
      <c r="AD17568"/>
    </row>
    <row r="17569" spans="30:30" x14ac:dyDescent="0.25">
      <c r="AD17569"/>
    </row>
    <row r="17570" spans="30:30" x14ac:dyDescent="0.25">
      <c r="AD17570"/>
    </row>
    <row r="17571" spans="30:30" x14ac:dyDescent="0.25">
      <c r="AD17571"/>
    </row>
    <row r="17572" spans="30:30" x14ac:dyDescent="0.25">
      <c r="AD17572"/>
    </row>
    <row r="17573" spans="30:30" x14ac:dyDescent="0.25">
      <c r="AD17573"/>
    </row>
    <row r="17574" spans="30:30" x14ac:dyDescent="0.25">
      <c r="AD17574"/>
    </row>
    <row r="17575" spans="30:30" x14ac:dyDescent="0.25">
      <c r="AD17575"/>
    </row>
    <row r="17576" spans="30:30" x14ac:dyDescent="0.25">
      <c r="AD17576"/>
    </row>
    <row r="17577" spans="30:30" x14ac:dyDescent="0.25">
      <c r="AD17577"/>
    </row>
    <row r="17578" spans="30:30" x14ac:dyDescent="0.25">
      <c r="AD17578"/>
    </row>
    <row r="17579" spans="30:30" x14ac:dyDescent="0.25">
      <c r="AD17579"/>
    </row>
    <row r="17580" spans="30:30" x14ac:dyDescent="0.25">
      <c r="AD17580"/>
    </row>
    <row r="17581" spans="30:30" x14ac:dyDescent="0.25">
      <c r="AD17581"/>
    </row>
    <row r="17582" spans="30:30" x14ac:dyDescent="0.25">
      <c r="AD17582"/>
    </row>
    <row r="17583" spans="30:30" x14ac:dyDescent="0.25">
      <c r="AD17583"/>
    </row>
    <row r="17584" spans="30:30" x14ac:dyDescent="0.25">
      <c r="AD17584"/>
    </row>
    <row r="17585" spans="30:30" x14ac:dyDescent="0.25">
      <c r="AD17585"/>
    </row>
    <row r="17586" spans="30:30" x14ac:dyDescent="0.25">
      <c r="AD17586"/>
    </row>
    <row r="17587" spans="30:30" x14ac:dyDescent="0.25">
      <c r="AD17587"/>
    </row>
    <row r="17588" spans="30:30" x14ac:dyDescent="0.25">
      <c r="AD17588"/>
    </row>
    <row r="17589" spans="30:30" x14ac:dyDescent="0.25">
      <c r="AD17589"/>
    </row>
    <row r="17590" spans="30:30" x14ac:dyDescent="0.25">
      <c r="AD17590"/>
    </row>
    <row r="17591" spans="30:30" x14ac:dyDescent="0.25">
      <c r="AD17591"/>
    </row>
    <row r="17592" spans="30:30" x14ac:dyDescent="0.25">
      <c r="AD17592"/>
    </row>
    <row r="17593" spans="30:30" x14ac:dyDescent="0.25">
      <c r="AD17593"/>
    </row>
    <row r="17594" spans="30:30" x14ac:dyDescent="0.25">
      <c r="AD17594"/>
    </row>
    <row r="17595" spans="30:30" x14ac:dyDescent="0.25">
      <c r="AD17595"/>
    </row>
    <row r="17596" spans="30:30" x14ac:dyDescent="0.25">
      <c r="AD17596"/>
    </row>
    <row r="17597" spans="30:30" x14ac:dyDescent="0.25">
      <c r="AD17597"/>
    </row>
    <row r="17598" spans="30:30" x14ac:dyDescent="0.25">
      <c r="AD17598"/>
    </row>
    <row r="17599" spans="30:30" x14ac:dyDescent="0.25">
      <c r="AD17599"/>
    </row>
    <row r="17600" spans="30:30" x14ac:dyDescent="0.25">
      <c r="AD17600"/>
    </row>
    <row r="17601" spans="30:30" x14ac:dyDescent="0.25">
      <c r="AD17601"/>
    </row>
    <row r="17602" spans="30:30" x14ac:dyDescent="0.25">
      <c r="AD17602"/>
    </row>
    <row r="17603" spans="30:30" x14ac:dyDescent="0.25">
      <c r="AD17603"/>
    </row>
    <row r="17604" spans="30:30" x14ac:dyDescent="0.25">
      <c r="AD17604"/>
    </row>
    <row r="17605" spans="30:30" x14ac:dyDescent="0.25">
      <c r="AD17605"/>
    </row>
    <row r="17606" spans="30:30" x14ac:dyDescent="0.25">
      <c r="AD17606"/>
    </row>
    <row r="17607" spans="30:30" x14ac:dyDescent="0.25">
      <c r="AD17607"/>
    </row>
    <row r="17608" spans="30:30" x14ac:dyDescent="0.25">
      <c r="AD17608"/>
    </row>
    <row r="17609" spans="30:30" x14ac:dyDescent="0.25">
      <c r="AD17609"/>
    </row>
    <row r="17610" spans="30:30" x14ac:dyDescent="0.25">
      <c r="AD17610"/>
    </row>
    <row r="17611" spans="30:30" x14ac:dyDescent="0.25">
      <c r="AD17611"/>
    </row>
    <row r="17612" spans="30:30" x14ac:dyDescent="0.25">
      <c r="AD17612"/>
    </row>
    <row r="17613" spans="30:30" x14ac:dyDescent="0.25">
      <c r="AD17613"/>
    </row>
    <row r="17614" spans="30:30" x14ac:dyDescent="0.25">
      <c r="AD17614"/>
    </row>
    <row r="17615" spans="30:30" x14ac:dyDescent="0.25">
      <c r="AD17615"/>
    </row>
    <row r="17616" spans="30:30" x14ac:dyDescent="0.25">
      <c r="AD17616"/>
    </row>
    <row r="17617" spans="30:30" x14ac:dyDescent="0.25">
      <c r="AD17617"/>
    </row>
    <row r="17618" spans="30:30" x14ac:dyDescent="0.25">
      <c r="AD17618"/>
    </row>
    <row r="17619" spans="30:30" x14ac:dyDescent="0.25">
      <c r="AD17619"/>
    </row>
    <row r="17620" spans="30:30" x14ac:dyDescent="0.25">
      <c r="AD17620"/>
    </row>
    <row r="17621" spans="30:30" x14ac:dyDescent="0.25">
      <c r="AD17621"/>
    </row>
    <row r="17622" spans="30:30" x14ac:dyDescent="0.25">
      <c r="AD17622"/>
    </row>
    <row r="17623" spans="30:30" x14ac:dyDescent="0.25">
      <c r="AD17623"/>
    </row>
    <row r="17624" spans="30:30" x14ac:dyDescent="0.25">
      <c r="AD17624"/>
    </row>
    <row r="17625" spans="30:30" x14ac:dyDescent="0.25">
      <c r="AD17625"/>
    </row>
    <row r="17626" spans="30:30" x14ac:dyDescent="0.25">
      <c r="AD17626"/>
    </row>
    <row r="17627" spans="30:30" x14ac:dyDescent="0.25">
      <c r="AD17627"/>
    </row>
    <row r="17628" spans="30:30" x14ac:dyDescent="0.25">
      <c r="AD17628"/>
    </row>
    <row r="17629" spans="30:30" x14ac:dyDescent="0.25">
      <c r="AD17629"/>
    </row>
    <row r="17630" spans="30:30" x14ac:dyDescent="0.25">
      <c r="AD17630"/>
    </row>
    <row r="17631" spans="30:30" x14ac:dyDescent="0.25">
      <c r="AD17631"/>
    </row>
    <row r="17632" spans="30:30" x14ac:dyDescent="0.25">
      <c r="AD17632"/>
    </row>
    <row r="17633" spans="30:30" x14ac:dyDescent="0.25">
      <c r="AD17633"/>
    </row>
    <row r="17634" spans="30:30" x14ac:dyDescent="0.25">
      <c r="AD17634"/>
    </row>
    <row r="17635" spans="30:30" x14ac:dyDescent="0.25">
      <c r="AD17635"/>
    </row>
    <row r="17636" spans="30:30" x14ac:dyDescent="0.25">
      <c r="AD17636"/>
    </row>
    <row r="17637" spans="30:30" x14ac:dyDescent="0.25">
      <c r="AD17637"/>
    </row>
    <row r="17638" spans="30:30" x14ac:dyDescent="0.25">
      <c r="AD17638"/>
    </row>
    <row r="17639" spans="30:30" x14ac:dyDescent="0.25">
      <c r="AD17639"/>
    </row>
    <row r="17640" spans="30:30" x14ac:dyDescent="0.25">
      <c r="AD17640"/>
    </row>
    <row r="17641" spans="30:30" x14ac:dyDescent="0.25">
      <c r="AD17641"/>
    </row>
    <row r="17642" spans="30:30" x14ac:dyDescent="0.25">
      <c r="AD17642"/>
    </row>
    <row r="17643" spans="30:30" x14ac:dyDescent="0.25">
      <c r="AD17643"/>
    </row>
    <row r="17644" spans="30:30" x14ac:dyDescent="0.25">
      <c r="AD17644"/>
    </row>
    <row r="17645" spans="30:30" x14ac:dyDescent="0.25">
      <c r="AD17645"/>
    </row>
    <row r="17646" spans="30:30" x14ac:dyDescent="0.25">
      <c r="AD17646"/>
    </row>
    <row r="17647" spans="30:30" x14ac:dyDescent="0.25">
      <c r="AD17647"/>
    </row>
    <row r="17648" spans="30:30" x14ac:dyDescent="0.25">
      <c r="AD17648"/>
    </row>
    <row r="17649" spans="30:30" x14ac:dyDescent="0.25">
      <c r="AD17649"/>
    </row>
    <row r="17650" spans="30:30" x14ac:dyDescent="0.25">
      <c r="AD17650"/>
    </row>
    <row r="17651" spans="30:30" x14ac:dyDescent="0.25">
      <c r="AD17651"/>
    </row>
    <row r="17652" spans="30:30" x14ac:dyDescent="0.25">
      <c r="AD17652"/>
    </row>
    <row r="17653" spans="30:30" x14ac:dyDescent="0.25">
      <c r="AD17653"/>
    </row>
    <row r="17654" spans="30:30" x14ac:dyDescent="0.25">
      <c r="AD17654"/>
    </row>
    <row r="17655" spans="30:30" x14ac:dyDescent="0.25">
      <c r="AD17655"/>
    </row>
    <row r="17656" spans="30:30" x14ac:dyDescent="0.25">
      <c r="AD17656"/>
    </row>
    <row r="17657" spans="30:30" x14ac:dyDescent="0.25">
      <c r="AD17657"/>
    </row>
    <row r="17658" spans="30:30" x14ac:dyDescent="0.25">
      <c r="AD17658"/>
    </row>
    <row r="17659" spans="30:30" x14ac:dyDescent="0.25">
      <c r="AD17659"/>
    </row>
    <row r="17660" spans="30:30" x14ac:dyDescent="0.25">
      <c r="AD17660"/>
    </row>
    <row r="17661" spans="30:30" x14ac:dyDescent="0.25">
      <c r="AD17661"/>
    </row>
    <row r="17662" spans="30:30" x14ac:dyDescent="0.25">
      <c r="AD17662"/>
    </row>
    <row r="17663" spans="30:30" x14ac:dyDescent="0.25">
      <c r="AD17663"/>
    </row>
    <row r="17664" spans="30:30" x14ac:dyDescent="0.25">
      <c r="AD17664"/>
    </row>
    <row r="17665" spans="30:30" x14ac:dyDescent="0.25">
      <c r="AD17665"/>
    </row>
    <row r="17666" spans="30:30" x14ac:dyDescent="0.25">
      <c r="AD17666"/>
    </row>
    <row r="17667" spans="30:30" x14ac:dyDescent="0.25">
      <c r="AD17667"/>
    </row>
    <row r="17668" spans="30:30" x14ac:dyDescent="0.25">
      <c r="AD17668"/>
    </row>
    <row r="17669" spans="30:30" x14ac:dyDescent="0.25">
      <c r="AD17669"/>
    </row>
    <row r="17670" spans="30:30" x14ac:dyDescent="0.25">
      <c r="AD17670"/>
    </row>
    <row r="17671" spans="30:30" x14ac:dyDescent="0.25">
      <c r="AD17671"/>
    </row>
    <row r="17672" spans="30:30" x14ac:dyDescent="0.25">
      <c r="AD17672"/>
    </row>
    <row r="17673" spans="30:30" x14ac:dyDescent="0.25">
      <c r="AD17673"/>
    </row>
    <row r="17674" spans="30:30" x14ac:dyDescent="0.25">
      <c r="AD17674"/>
    </row>
    <row r="17675" spans="30:30" x14ac:dyDescent="0.25">
      <c r="AD17675"/>
    </row>
    <row r="17676" spans="30:30" x14ac:dyDescent="0.25">
      <c r="AD17676"/>
    </row>
    <row r="17677" spans="30:30" x14ac:dyDescent="0.25">
      <c r="AD17677"/>
    </row>
    <row r="17678" spans="30:30" x14ac:dyDescent="0.25">
      <c r="AD17678"/>
    </row>
    <row r="17679" spans="30:30" x14ac:dyDescent="0.25">
      <c r="AD17679"/>
    </row>
    <row r="17680" spans="30:30" x14ac:dyDescent="0.25">
      <c r="AD17680"/>
    </row>
    <row r="17681" spans="30:30" x14ac:dyDescent="0.25">
      <c r="AD17681"/>
    </row>
    <row r="17682" spans="30:30" x14ac:dyDescent="0.25">
      <c r="AD17682"/>
    </row>
    <row r="17683" spans="30:30" x14ac:dyDescent="0.25">
      <c r="AD17683"/>
    </row>
    <row r="17684" spans="30:30" x14ac:dyDescent="0.25">
      <c r="AD17684"/>
    </row>
    <row r="17685" spans="30:30" x14ac:dyDescent="0.25">
      <c r="AD17685"/>
    </row>
    <row r="17686" spans="30:30" x14ac:dyDescent="0.25">
      <c r="AD17686"/>
    </row>
    <row r="17687" spans="30:30" x14ac:dyDescent="0.25">
      <c r="AD17687"/>
    </row>
    <row r="17688" spans="30:30" x14ac:dyDescent="0.25">
      <c r="AD17688"/>
    </row>
    <row r="17689" spans="30:30" x14ac:dyDescent="0.25">
      <c r="AD17689"/>
    </row>
    <row r="17690" spans="30:30" x14ac:dyDescent="0.25">
      <c r="AD17690"/>
    </row>
    <row r="17691" spans="30:30" x14ac:dyDescent="0.25">
      <c r="AD17691"/>
    </row>
    <row r="17692" spans="30:30" x14ac:dyDescent="0.25">
      <c r="AD17692"/>
    </row>
    <row r="17693" spans="30:30" x14ac:dyDescent="0.25">
      <c r="AD17693"/>
    </row>
    <row r="17694" spans="30:30" x14ac:dyDescent="0.25">
      <c r="AD17694"/>
    </row>
    <row r="17695" spans="30:30" x14ac:dyDescent="0.25">
      <c r="AD17695"/>
    </row>
    <row r="17696" spans="30:30" x14ac:dyDescent="0.25">
      <c r="AD17696"/>
    </row>
    <row r="17697" spans="30:30" x14ac:dyDescent="0.25">
      <c r="AD17697"/>
    </row>
    <row r="17698" spans="30:30" x14ac:dyDescent="0.25">
      <c r="AD17698"/>
    </row>
    <row r="17699" spans="30:30" x14ac:dyDescent="0.25">
      <c r="AD17699"/>
    </row>
    <row r="17700" spans="30:30" x14ac:dyDescent="0.25">
      <c r="AD17700"/>
    </row>
    <row r="17701" spans="30:30" x14ac:dyDescent="0.25">
      <c r="AD17701"/>
    </row>
    <row r="17702" spans="30:30" x14ac:dyDescent="0.25">
      <c r="AD17702"/>
    </row>
    <row r="17703" spans="30:30" x14ac:dyDescent="0.25">
      <c r="AD17703"/>
    </row>
    <row r="17704" spans="30:30" x14ac:dyDescent="0.25">
      <c r="AD17704"/>
    </row>
    <row r="17705" spans="30:30" x14ac:dyDescent="0.25">
      <c r="AD17705"/>
    </row>
    <row r="17706" spans="30:30" x14ac:dyDescent="0.25">
      <c r="AD17706"/>
    </row>
    <row r="17707" spans="30:30" x14ac:dyDescent="0.25">
      <c r="AD17707"/>
    </row>
    <row r="17708" spans="30:30" x14ac:dyDescent="0.25">
      <c r="AD17708"/>
    </row>
    <row r="17709" spans="30:30" x14ac:dyDescent="0.25">
      <c r="AD17709"/>
    </row>
    <row r="17710" spans="30:30" x14ac:dyDescent="0.25">
      <c r="AD17710"/>
    </row>
    <row r="17711" spans="30:30" x14ac:dyDescent="0.25">
      <c r="AD17711"/>
    </row>
    <row r="17712" spans="30:30" x14ac:dyDescent="0.25">
      <c r="AD17712"/>
    </row>
    <row r="17713" spans="30:30" x14ac:dyDescent="0.25">
      <c r="AD17713"/>
    </row>
    <row r="17714" spans="30:30" x14ac:dyDescent="0.25">
      <c r="AD17714"/>
    </row>
    <row r="17715" spans="30:30" x14ac:dyDescent="0.25">
      <c r="AD17715"/>
    </row>
    <row r="17716" spans="30:30" x14ac:dyDescent="0.25">
      <c r="AD17716"/>
    </row>
    <row r="17717" spans="30:30" x14ac:dyDescent="0.25">
      <c r="AD17717"/>
    </row>
    <row r="17718" spans="30:30" x14ac:dyDescent="0.25">
      <c r="AD17718"/>
    </row>
    <row r="17719" spans="30:30" x14ac:dyDescent="0.25">
      <c r="AD17719"/>
    </row>
    <row r="17720" spans="30:30" x14ac:dyDescent="0.25">
      <c r="AD17720"/>
    </row>
    <row r="17721" spans="30:30" x14ac:dyDescent="0.25">
      <c r="AD17721"/>
    </row>
    <row r="17722" spans="30:30" x14ac:dyDescent="0.25">
      <c r="AD17722"/>
    </row>
    <row r="17723" spans="30:30" x14ac:dyDescent="0.25">
      <c r="AD17723"/>
    </row>
    <row r="17724" spans="30:30" x14ac:dyDescent="0.25">
      <c r="AD17724"/>
    </row>
    <row r="17725" spans="30:30" x14ac:dyDescent="0.25">
      <c r="AD17725"/>
    </row>
    <row r="17726" spans="30:30" x14ac:dyDescent="0.25">
      <c r="AD17726"/>
    </row>
    <row r="17727" spans="30:30" x14ac:dyDescent="0.25">
      <c r="AD17727"/>
    </row>
    <row r="17728" spans="30:30" x14ac:dyDescent="0.25">
      <c r="AD17728"/>
    </row>
    <row r="17729" spans="30:30" x14ac:dyDescent="0.25">
      <c r="AD17729"/>
    </row>
    <row r="17730" spans="30:30" x14ac:dyDescent="0.25">
      <c r="AD17730"/>
    </row>
    <row r="17731" spans="30:30" x14ac:dyDescent="0.25">
      <c r="AD17731"/>
    </row>
    <row r="17732" spans="30:30" x14ac:dyDescent="0.25">
      <c r="AD17732"/>
    </row>
    <row r="17733" spans="30:30" x14ac:dyDescent="0.25">
      <c r="AD17733"/>
    </row>
    <row r="17734" spans="30:30" x14ac:dyDescent="0.25">
      <c r="AD17734"/>
    </row>
    <row r="17735" spans="30:30" x14ac:dyDescent="0.25">
      <c r="AD17735"/>
    </row>
    <row r="17736" spans="30:30" x14ac:dyDescent="0.25">
      <c r="AD17736"/>
    </row>
    <row r="17737" spans="30:30" x14ac:dyDescent="0.25">
      <c r="AD17737"/>
    </row>
    <row r="17738" spans="30:30" x14ac:dyDescent="0.25">
      <c r="AD17738"/>
    </row>
    <row r="17739" spans="30:30" x14ac:dyDescent="0.25">
      <c r="AD17739"/>
    </row>
    <row r="17740" spans="30:30" x14ac:dyDescent="0.25">
      <c r="AD17740"/>
    </row>
    <row r="17741" spans="30:30" x14ac:dyDescent="0.25">
      <c r="AD17741"/>
    </row>
    <row r="17742" spans="30:30" x14ac:dyDescent="0.25">
      <c r="AD17742"/>
    </row>
    <row r="17743" spans="30:30" x14ac:dyDescent="0.25">
      <c r="AD17743"/>
    </row>
    <row r="17744" spans="30:30" x14ac:dyDescent="0.25">
      <c r="AD17744"/>
    </row>
    <row r="17745" spans="30:30" x14ac:dyDescent="0.25">
      <c r="AD17745"/>
    </row>
    <row r="17746" spans="30:30" x14ac:dyDescent="0.25">
      <c r="AD17746"/>
    </row>
    <row r="17747" spans="30:30" x14ac:dyDescent="0.25">
      <c r="AD17747"/>
    </row>
    <row r="17748" spans="30:30" x14ac:dyDescent="0.25">
      <c r="AD17748"/>
    </row>
    <row r="17749" spans="30:30" x14ac:dyDescent="0.25">
      <c r="AD17749"/>
    </row>
    <row r="17750" spans="30:30" x14ac:dyDescent="0.25">
      <c r="AD17750"/>
    </row>
    <row r="17751" spans="30:30" x14ac:dyDescent="0.25">
      <c r="AD17751"/>
    </row>
    <row r="17752" spans="30:30" x14ac:dyDescent="0.25">
      <c r="AD17752"/>
    </row>
    <row r="17753" spans="30:30" x14ac:dyDescent="0.25">
      <c r="AD17753"/>
    </row>
    <row r="17754" spans="30:30" x14ac:dyDescent="0.25">
      <c r="AD17754"/>
    </row>
    <row r="17755" spans="30:30" x14ac:dyDescent="0.25">
      <c r="AD17755"/>
    </row>
    <row r="17756" spans="30:30" x14ac:dyDescent="0.25">
      <c r="AD17756"/>
    </row>
    <row r="17757" spans="30:30" x14ac:dyDescent="0.25">
      <c r="AD17757"/>
    </row>
    <row r="17758" spans="30:30" x14ac:dyDescent="0.25">
      <c r="AD17758"/>
    </row>
    <row r="17759" spans="30:30" x14ac:dyDescent="0.25">
      <c r="AD17759"/>
    </row>
    <row r="17760" spans="30:30" x14ac:dyDescent="0.25">
      <c r="AD17760"/>
    </row>
    <row r="17761" spans="30:30" x14ac:dyDescent="0.25">
      <c r="AD17761"/>
    </row>
    <row r="17762" spans="30:30" x14ac:dyDescent="0.25">
      <c r="AD17762"/>
    </row>
    <row r="17763" spans="30:30" x14ac:dyDescent="0.25">
      <c r="AD17763"/>
    </row>
    <row r="17764" spans="30:30" x14ac:dyDescent="0.25">
      <c r="AD17764"/>
    </row>
    <row r="17765" spans="30:30" x14ac:dyDescent="0.25">
      <c r="AD17765"/>
    </row>
    <row r="17766" spans="30:30" x14ac:dyDescent="0.25">
      <c r="AD17766"/>
    </row>
    <row r="17767" spans="30:30" x14ac:dyDescent="0.25">
      <c r="AD17767"/>
    </row>
    <row r="17768" spans="30:30" x14ac:dyDescent="0.25">
      <c r="AD17768"/>
    </row>
    <row r="17769" spans="30:30" x14ac:dyDescent="0.25">
      <c r="AD17769"/>
    </row>
    <row r="17770" spans="30:30" x14ac:dyDescent="0.25">
      <c r="AD17770"/>
    </row>
    <row r="17771" spans="30:30" x14ac:dyDescent="0.25">
      <c r="AD17771"/>
    </row>
    <row r="17772" spans="30:30" x14ac:dyDescent="0.25">
      <c r="AD17772"/>
    </row>
    <row r="17773" spans="30:30" x14ac:dyDescent="0.25">
      <c r="AD17773"/>
    </row>
    <row r="17774" spans="30:30" x14ac:dyDescent="0.25">
      <c r="AD17774"/>
    </row>
    <row r="17775" spans="30:30" x14ac:dyDescent="0.25">
      <c r="AD17775"/>
    </row>
    <row r="17776" spans="30:30" x14ac:dyDescent="0.25">
      <c r="AD17776"/>
    </row>
    <row r="17777" spans="30:30" x14ac:dyDescent="0.25">
      <c r="AD17777"/>
    </row>
    <row r="17778" spans="30:30" x14ac:dyDescent="0.25">
      <c r="AD17778"/>
    </row>
    <row r="17779" spans="30:30" x14ac:dyDescent="0.25">
      <c r="AD17779"/>
    </row>
    <row r="17780" spans="30:30" x14ac:dyDescent="0.25">
      <c r="AD17780"/>
    </row>
    <row r="17781" spans="30:30" x14ac:dyDescent="0.25">
      <c r="AD17781"/>
    </row>
    <row r="17782" spans="30:30" x14ac:dyDescent="0.25">
      <c r="AD17782"/>
    </row>
    <row r="17783" spans="30:30" x14ac:dyDescent="0.25">
      <c r="AD17783"/>
    </row>
    <row r="17784" spans="30:30" x14ac:dyDescent="0.25">
      <c r="AD17784"/>
    </row>
    <row r="17785" spans="30:30" x14ac:dyDescent="0.25">
      <c r="AD17785"/>
    </row>
    <row r="17786" spans="30:30" x14ac:dyDescent="0.25">
      <c r="AD17786"/>
    </row>
    <row r="17787" spans="30:30" x14ac:dyDescent="0.25">
      <c r="AD17787"/>
    </row>
    <row r="17788" spans="30:30" x14ac:dyDescent="0.25">
      <c r="AD17788"/>
    </row>
    <row r="17789" spans="30:30" x14ac:dyDescent="0.25">
      <c r="AD17789"/>
    </row>
    <row r="17790" spans="30:30" x14ac:dyDescent="0.25">
      <c r="AD17790"/>
    </row>
    <row r="17791" spans="30:30" x14ac:dyDescent="0.25">
      <c r="AD17791"/>
    </row>
    <row r="17792" spans="30:30" x14ac:dyDescent="0.25">
      <c r="AD17792"/>
    </row>
    <row r="17793" spans="30:30" x14ac:dyDescent="0.25">
      <c r="AD17793"/>
    </row>
    <row r="17794" spans="30:30" x14ac:dyDescent="0.25">
      <c r="AD17794"/>
    </row>
    <row r="17795" spans="30:30" x14ac:dyDescent="0.25">
      <c r="AD17795"/>
    </row>
    <row r="17796" spans="30:30" x14ac:dyDescent="0.25">
      <c r="AD17796"/>
    </row>
    <row r="17797" spans="30:30" x14ac:dyDescent="0.25">
      <c r="AD17797"/>
    </row>
    <row r="17798" spans="30:30" x14ac:dyDescent="0.25">
      <c r="AD17798"/>
    </row>
    <row r="17799" spans="30:30" x14ac:dyDescent="0.25">
      <c r="AD17799"/>
    </row>
    <row r="17800" spans="30:30" x14ac:dyDescent="0.25">
      <c r="AD17800"/>
    </row>
    <row r="17801" spans="30:30" x14ac:dyDescent="0.25">
      <c r="AD17801"/>
    </row>
    <row r="17802" spans="30:30" x14ac:dyDescent="0.25">
      <c r="AD17802"/>
    </row>
    <row r="17803" spans="30:30" x14ac:dyDescent="0.25">
      <c r="AD17803"/>
    </row>
    <row r="17804" spans="30:30" x14ac:dyDescent="0.25">
      <c r="AD17804"/>
    </row>
    <row r="17805" spans="30:30" x14ac:dyDescent="0.25">
      <c r="AD17805"/>
    </row>
    <row r="17806" spans="30:30" x14ac:dyDescent="0.25">
      <c r="AD17806"/>
    </row>
    <row r="17807" spans="30:30" x14ac:dyDescent="0.25">
      <c r="AD17807"/>
    </row>
    <row r="17808" spans="30:30" x14ac:dyDescent="0.25">
      <c r="AD17808"/>
    </row>
    <row r="17809" spans="30:30" x14ac:dyDescent="0.25">
      <c r="AD17809"/>
    </row>
    <row r="17810" spans="30:30" x14ac:dyDescent="0.25">
      <c r="AD17810"/>
    </row>
    <row r="17811" spans="30:30" x14ac:dyDescent="0.25">
      <c r="AD17811"/>
    </row>
    <row r="17812" spans="30:30" x14ac:dyDescent="0.25">
      <c r="AD17812"/>
    </row>
    <row r="17813" spans="30:30" x14ac:dyDescent="0.25">
      <c r="AD17813"/>
    </row>
    <row r="17814" spans="30:30" x14ac:dyDescent="0.25">
      <c r="AD17814"/>
    </row>
    <row r="17815" spans="30:30" x14ac:dyDescent="0.25">
      <c r="AD17815"/>
    </row>
    <row r="17816" spans="30:30" x14ac:dyDescent="0.25">
      <c r="AD17816"/>
    </row>
    <row r="17817" spans="30:30" x14ac:dyDescent="0.25">
      <c r="AD17817"/>
    </row>
    <row r="17818" spans="30:30" x14ac:dyDescent="0.25">
      <c r="AD17818"/>
    </row>
    <row r="17819" spans="30:30" x14ac:dyDescent="0.25">
      <c r="AD17819"/>
    </row>
    <row r="17820" spans="30:30" x14ac:dyDescent="0.25">
      <c r="AD17820"/>
    </row>
    <row r="17821" spans="30:30" x14ac:dyDescent="0.25">
      <c r="AD17821"/>
    </row>
    <row r="17822" spans="30:30" x14ac:dyDescent="0.25">
      <c r="AD17822"/>
    </row>
    <row r="17823" spans="30:30" x14ac:dyDescent="0.25">
      <c r="AD17823"/>
    </row>
    <row r="17824" spans="30:30" x14ac:dyDescent="0.25">
      <c r="AD17824"/>
    </row>
    <row r="17825" spans="30:30" x14ac:dyDescent="0.25">
      <c r="AD17825"/>
    </row>
    <row r="17826" spans="30:30" x14ac:dyDescent="0.25">
      <c r="AD17826"/>
    </row>
    <row r="17827" spans="30:30" x14ac:dyDescent="0.25">
      <c r="AD17827"/>
    </row>
    <row r="17828" spans="30:30" x14ac:dyDescent="0.25">
      <c r="AD17828"/>
    </row>
    <row r="17829" spans="30:30" x14ac:dyDescent="0.25">
      <c r="AD17829"/>
    </row>
    <row r="17830" spans="30:30" x14ac:dyDescent="0.25">
      <c r="AD17830"/>
    </row>
    <row r="17831" spans="30:30" x14ac:dyDescent="0.25">
      <c r="AD17831"/>
    </row>
    <row r="17832" spans="30:30" x14ac:dyDescent="0.25">
      <c r="AD17832"/>
    </row>
    <row r="17833" spans="30:30" x14ac:dyDescent="0.25">
      <c r="AD17833"/>
    </row>
    <row r="17834" spans="30:30" x14ac:dyDescent="0.25">
      <c r="AD17834"/>
    </row>
    <row r="17835" spans="30:30" x14ac:dyDescent="0.25">
      <c r="AD17835"/>
    </row>
    <row r="17836" spans="30:30" x14ac:dyDescent="0.25">
      <c r="AD17836"/>
    </row>
    <row r="17837" spans="30:30" x14ac:dyDescent="0.25">
      <c r="AD17837"/>
    </row>
    <row r="17838" spans="30:30" x14ac:dyDescent="0.25">
      <c r="AD17838"/>
    </row>
    <row r="17839" spans="30:30" x14ac:dyDescent="0.25">
      <c r="AD17839"/>
    </row>
    <row r="17840" spans="30:30" x14ac:dyDescent="0.25">
      <c r="AD17840"/>
    </row>
    <row r="17841" spans="30:30" x14ac:dyDescent="0.25">
      <c r="AD17841"/>
    </row>
    <row r="17842" spans="30:30" x14ac:dyDescent="0.25">
      <c r="AD17842"/>
    </row>
    <row r="17843" spans="30:30" x14ac:dyDescent="0.25">
      <c r="AD17843"/>
    </row>
    <row r="17844" spans="30:30" x14ac:dyDescent="0.25">
      <c r="AD17844"/>
    </row>
    <row r="17845" spans="30:30" x14ac:dyDescent="0.25">
      <c r="AD17845"/>
    </row>
    <row r="17846" spans="30:30" x14ac:dyDescent="0.25">
      <c r="AD17846"/>
    </row>
    <row r="17847" spans="30:30" x14ac:dyDescent="0.25">
      <c r="AD17847"/>
    </row>
    <row r="17848" spans="30:30" x14ac:dyDescent="0.25">
      <c r="AD17848"/>
    </row>
    <row r="17849" spans="30:30" x14ac:dyDescent="0.25">
      <c r="AD17849"/>
    </row>
    <row r="17850" spans="30:30" x14ac:dyDescent="0.25">
      <c r="AD17850"/>
    </row>
    <row r="17851" spans="30:30" x14ac:dyDescent="0.25">
      <c r="AD17851"/>
    </row>
    <row r="17852" spans="30:30" x14ac:dyDescent="0.25">
      <c r="AD17852"/>
    </row>
    <row r="17853" spans="30:30" x14ac:dyDescent="0.25">
      <c r="AD17853"/>
    </row>
    <row r="17854" spans="30:30" x14ac:dyDescent="0.25">
      <c r="AD17854"/>
    </row>
    <row r="17855" spans="30:30" x14ac:dyDescent="0.25">
      <c r="AD17855"/>
    </row>
    <row r="17856" spans="30:30" x14ac:dyDescent="0.25">
      <c r="AD17856"/>
    </row>
    <row r="17857" spans="30:30" x14ac:dyDescent="0.25">
      <c r="AD17857"/>
    </row>
    <row r="17858" spans="30:30" x14ac:dyDescent="0.25">
      <c r="AD17858"/>
    </row>
    <row r="17859" spans="30:30" x14ac:dyDescent="0.25">
      <c r="AD17859"/>
    </row>
    <row r="17860" spans="30:30" x14ac:dyDescent="0.25">
      <c r="AD17860"/>
    </row>
    <row r="17861" spans="30:30" x14ac:dyDescent="0.25">
      <c r="AD17861"/>
    </row>
    <row r="17862" spans="30:30" x14ac:dyDescent="0.25">
      <c r="AD17862"/>
    </row>
    <row r="17863" spans="30:30" x14ac:dyDescent="0.25">
      <c r="AD17863"/>
    </row>
    <row r="17864" spans="30:30" x14ac:dyDescent="0.25">
      <c r="AD17864"/>
    </row>
    <row r="17865" spans="30:30" x14ac:dyDescent="0.25">
      <c r="AD17865"/>
    </row>
    <row r="17866" spans="30:30" x14ac:dyDescent="0.25">
      <c r="AD17866"/>
    </row>
    <row r="17867" spans="30:30" x14ac:dyDescent="0.25">
      <c r="AD17867"/>
    </row>
    <row r="17868" spans="30:30" x14ac:dyDescent="0.25">
      <c r="AD17868"/>
    </row>
    <row r="17869" spans="30:30" x14ac:dyDescent="0.25">
      <c r="AD17869"/>
    </row>
    <row r="17870" spans="30:30" x14ac:dyDescent="0.25">
      <c r="AD17870"/>
    </row>
    <row r="17871" spans="30:30" x14ac:dyDescent="0.25">
      <c r="AD17871"/>
    </row>
    <row r="17872" spans="30:30" x14ac:dyDescent="0.25">
      <c r="AD17872"/>
    </row>
    <row r="17873" spans="30:30" x14ac:dyDescent="0.25">
      <c r="AD17873"/>
    </row>
    <row r="17874" spans="30:30" x14ac:dyDescent="0.25">
      <c r="AD17874"/>
    </row>
    <row r="17875" spans="30:30" x14ac:dyDescent="0.25">
      <c r="AD17875"/>
    </row>
    <row r="17876" spans="30:30" x14ac:dyDescent="0.25">
      <c r="AD17876"/>
    </row>
    <row r="17877" spans="30:30" x14ac:dyDescent="0.25">
      <c r="AD17877"/>
    </row>
    <row r="17878" spans="30:30" x14ac:dyDescent="0.25">
      <c r="AD17878"/>
    </row>
    <row r="17879" spans="30:30" x14ac:dyDescent="0.25">
      <c r="AD17879"/>
    </row>
    <row r="17880" spans="30:30" x14ac:dyDescent="0.25">
      <c r="AD17880"/>
    </row>
    <row r="17881" spans="30:30" x14ac:dyDescent="0.25">
      <c r="AD17881"/>
    </row>
    <row r="17882" spans="30:30" x14ac:dyDescent="0.25">
      <c r="AD17882"/>
    </row>
    <row r="17883" spans="30:30" x14ac:dyDescent="0.25">
      <c r="AD17883"/>
    </row>
    <row r="17884" spans="30:30" x14ac:dyDescent="0.25">
      <c r="AD17884"/>
    </row>
    <row r="17885" spans="30:30" x14ac:dyDescent="0.25">
      <c r="AD17885"/>
    </row>
    <row r="17886" spans="30:30" x14ac:dyDescent="0.25">
      <c r="AD17886"/>
    </row>
    <row r="17887" spans="30:30" x14ac:dyDescent="0.25">
      <c r="AD17887"/>
    </row>
    <row r="17888" spans="30:30" x14ac:dyDescent="0.25">
      <c r="AD17888"/>
    </row>
    <row r="17889" spans="30:30" x14ac:dyDescent="0.25">
      <c r="AD17889"/>
    </row>
    <row r="17890" spans="30:30" x14ac:dyDescent="0.25">
      <c r="AD17890"/>
    </row>
    <row r="17891" spans="30:30" x14ac:dyDescent="0.25">
      <c r="AD17891"/>
    </row>
    <row r="17892" spans="30:30" x14ac:dyDescent="0.25">
      <c r="AD17892"/>
    </row>
    <row r="17893" spans="30:30" x14ac:dyDescent="0.25">
      <c r="AD17893"/>
    </row>
    <row r="17894" spans="30:30" x14ac:dyDescent="0.25">
      <c r="AD17894"/>
    </row>
    <row r="17895" spans="30:30" x14ac:dyDescent="0.25">
      <c r="AD17895"/>
    </row>
    <row r="17896" spans="30:30" x14ac:dyDescent="0.25">
      <c r="AD17896"/>
    </row>
    <row r="17897" spans="30:30" x14ac:dyDescent="0.25">
      <c r="AD17897"/>
    </row>
    <row r="17898" spans="30:30" x14ac:dyDescent="0.25">
      <c r="AD17898"/>
    </row>
    <row r="17899" spans="30:30" x14ac:dyDescent="0.25">
      <c r="AD17899"/>
    </row>
    <row r="17900" spans="30:30" x14ac:dyDescent="0.25">
      <c r="AD17900"/>
    </row>
    <row r="17901" spans="30:30" x14ac:dyDescent="0.25">
      <c r="AD17901"/>
    </row>
    <row r="17902" spans="30:30" x14ac:dyDescent="0.25">
      <c r="AD17902"/>
    </row>
    <row r="17903" spans="30:30" x14ac:dyDescent="0.25">
      <c r="AD17903"/>
    </row>
    <row r="17904" spans="30:30" x14ac:dyDescent="0.25">
      <c r="AD17904"/>
    </row>
    <row r="17905" spans="30:30" x14ac:dyDescent="0.25">
      <c r="AD17905"/>
    </row>
    <row r="17906" spans="30:30" x14ac:dyDescent="0.25">
      <c r="AD17906"/>
    </row>
    <row r="17907" spans="30:30" x14ac:dyDescent="0.25">
      <c r="AD17907"/>
    </row>
    <row r="17908" spans="30:30" x14ac:dyDescent="0.25">
      <c r="AD17908"/>
    </row>
    <row r="17909" spans="30:30" x14ac:dyDescent="0.25">
      <c r="AD17909"/>
    </row>
    <row r="17910" spans="30:30" x14ac:dyDescent="0.25">
      <c r="AD17910"/>
    </row>
    <row r="17911" spans="30:30" x14ac:dyDescent="0.25">
      <c r="AD17911"/>
    </row>
    <row r="17912" spans="30:30" x14ac:dyDescent="0.25">
      <c r="AD17912"/>
    </row>
    <row r="17913" spans="30:30" x14ac:dyDescent="0.25">
      <c r="AD17913"/>
    </row>
    <row r="17914" spans="30:30" x14ac:dyDescent="0.25">
      <c r="AD17914"/>
    </row>
    <row r="17915" spans="30:30" x14ac:dyDescent="0.25">
      <c r="AD17915"/>
    </row>
    <row r="17916" spans="30:30" x14ac:dyDescent="0.25">
      <c r="AD17916"/>
    </row>
    <row r="17917" spans="30:30" x14ac:dyDescent="0.25">
      <c r="AD17917"/>
    </row>
    <row r="17918" spans="30:30" x14ac:dyDescent="0.25">
      <c r="AD17918"/>
    </row>
    <row r="17919" spans="30:30" x14ac:dyDescent="0.25">
      <c r="AD17919"/>
    </row>
    <row r="17920" spans="30:30" x14ac:dyDescent="0.25">
      <c r="AD17920"/>
    </row>
    <row r="17921" spans="30:30" x14ac:dyDescent="0.25">
      <c r="AD17921"/>
    </row>
    <row r="17922" spans="30:30" x14ac:dyDescent="0.25">
      <c r="AD17922"/>
    </row>
    <row r="17923" spans="30:30" x14ac:dyDescent="0.25">
      <c r="AD17923"/>
    </row>
    <row r="17924" spans="30:30" x14ac:dyDescent="0.25">
      <c r="AD17924"/>
    </row>
    <row r="17925" spans="30:30" x14ac:dyDescent="0.25">
      <c r="AD17925"/>
    </row>
    <row r="17926" spans="30:30" x14ac:dyDescent="0.25">
      <c r="AD17926"/>
    </row>
    <row r="17927" spans="30:30" x14ac:dyDescent="0.25">
      <c r="AD17927"/>
    </row>
    <row r="17928" spans="30:30" x14ac:dyDescent="0.25">
      <c r="AD17928"/>
    </row>
    <row r="17929" spans="30:30" x14ac:dyDescent="0.25">
      <c r="AD17929"/>
    </row>
    <row r="17930" spans="30:30" x14ac:dyDescent="0.25">
      <c r="AD17930"/>
    </row>
    <row r="17931" spans="30:30" x14ac:dyDescent="0.25">
      <c r="AD17931"/>
    </row>
    <row r="17932" spans="30:30" x14ac:dyDescent="0.25">
      <c r="AD17932"/>
    </row>
    <row r="17933" spans="30:30" x14ac:dyDescent="0.25">
      <c r="AD17933"/>
    </row>
    <row r="17934" spans="30:30" x14ac:dyDescent="0.25">
      <c r="AD17934"/>
    </row>
    <row r="17935" spans="30:30" x14ac:dyDescent="0.25">
      <c r="AD17935"/>
    </row>
    <row r="17936" spans="30:30" x14ac:dyDescent="0.25">
      <c r="AD17936"/>
    </row>
    <row r="17937" spans="30:30" x14ac:dyDescent="0.25">
      <c r="AD17937"/>
    </row>
    <row r="17938" spans="30:30" x14ac:dyDescent="0.25">
      <c r="AD17938"/>
    </row>
    <row r="17939" spans="30:30" x14ac:dyDescent="0.25">
      <c r="AD17939"/>
    </row>
    <row r="17940" spans="30:30" x14ac:dyDescent="0.25">
      <c r="AD17940"/>
    </row>
    <row r="17941" spans="30:30" x14ac:dyDescent="0.25">
      <c r="AD17941"/>
    </row>
    <row r="17942" spans="30:30" x14ac:dyDescent="0.25">
      <c r="AD17942"/>
    </row>
    <row r="17943" spans="30:30" x14ac:dyDescent="0.25">
      <c r="AD17943"/>
    </row>
    <row r="17944" spans="30:30" x14ac:dyDescent="0.25">
      <c r="AD17944"/>
    </row>
    <row r="17945" spans="30:30" x14ac:dyDescent="0.25">
      <c r="AD17945"/>
    </row>
    <row r="17946" spans="30:30" x14ac:dyDescent="0.25">
      <c r="AD17946"/>
    </row>
    <row r="17947" spans="30:30" x14ac:dyDescent="0.25">
      <c r="AD17947"/>
    </row>
    <row r="17948" spans="30:30" x14ac:dyDescent="0.25">
      <c r="AD17948"/>
    </row>
    <row r="17949" spans="30:30" x14ac:dyDescent="0.25">
      <c r="AD17949"/>
    </row>
    <row r="17950" spans="30:30" x14ac:dyDescent="0.25">
      <c r="AD17950"/>
    </row>
    <row r="17951" spans="30:30" x14ac:dyDescent="0.25">
      <c r="AD17951"/>
    </row>
    <row r="17952" spans="30:30" x14ac:dyDescent="0.25">
      <c r="AD17952"/>
    </row>
    <row r="17953" spans="30:30" x14ac:dyDescent="0.25">
      <c r="AD17953"/>
    </row>
    <row r="17954" spans="30:30" x14ac:dyDescent="0.25">
      <c r="AD17954"/>
    </row>
    <row r="17955" spans="30:30" x14ac:dyDescent="0.25">
      <c r="AD17955"/>
    </row>
    <row r="17956" spans="30:30" x14ac:dyDescent="0.25">
      <c r="AD17956"/>
    </row>
    <row r="17957" spans="30:30" x14ac:dyDescent="0.25">
      <c r="AD17957"/>
    </row>
    <row r="17958" spans="30:30" x14ac:dyDescent="0.25">
      <c r="AD17958"/>
    </row>
    <row r="17959" spans="30:30" x14ac:dyDescent="0.25">
      <c r="AD17959"/>
    </row>
    <row r="17960" spans="30:30" x14ac:dyDescent="0.25">
      <c r="AD17960"/>
    </row>
    <row r="17961" spans="30:30" x14ac:dyDescent="0.25">
      <c r="AD17961"/>
    </row>
    <row r="17962" spans="30:30" x14ac:dyDescent="0.25">
      <c r="AD17962"/>
    </row>
    <row r="17963" spans="30:30" x14ac:dyDescent="0.25">
      <c r="AD17963"/>
    </row>
    <row r="17964" spans="30:30" x14ac:dyDescent="0.25">
      <c r="AD17964"/>
    </row>
    <row r="17965" spans="30:30" x14ac:dyDescent="0.25">
      <c r="AD17965"/>
    </row>
    <row r="17966" spans="30:30" x14ac:dyDescent="0.25">
      <c r="AD17966"/>
    </row>
    <row r="17967" spans="30:30" x14ac:dyDescent="0.25">
      <c r="AD17967"/>
    </row>
    <row r="17968" spans="30:30" x14ac:dyDescent="0.25">
      <c r="AD17968"/>
    </row>
    <row r="17969" spans="30:30" x14ac:dyDescent="0.25">
      <c r="AD17969"/>
    </row>
    <row r="17970" spans="30:30" x14ac:dyDescent="0.25">
      <c r="AD17970"/>
    </row>
    <row r="17971" spans="30:30" x14ac:dyDescent="0.25">
      <c r="AD17971"/>
    </row>
    <row r="17972" spans="30:30" x14ac:dyDescent="0.25">
      <c r="AD17972"/>
    </row>
    <row r="17973" spans="30:30" x14ac:dyDescent="0.25">
      <c r="AD17973"/>
    </row>
    <row r="17974" spans="30:30" x14ac:dyDescent="0.25">
      <c r="AD17974"/>
    </row>
    <row r="17975" spans="30:30" x14ac:dyDescent="0.25">
      <c r="AD17975"/>
    </row>
    <row r="17976" spans="30:30" x14ac:dyDescent="0.25">
      <c r="AD17976"/>
    </row>
    <row r="17977" spans="30:30" x14ac:dyDescent="0.25">
      <c r="AD17977"/>
    </row>
    <row r="17978" spans="30:30" x14ac:dyDescent="0.25">
      <c r="AD17978"/>
    </row>
    <row r="17979" spans="30:30" x14ac:dyDescent="0.25">
      <c r="AD17979"/>
    </row>
    <row r="17980" spans="30:30" x14ac:dyDescent="0.25">
      <c r="AD17980"/>
    </row>
    <row r="17981" spans="30:30" x14ac:dyDescent="0.25">
      <c r="AD17981"/>
    </row>
    <row r="17982" spans="30:30" x14ac:dyDescent="0.25">
      <c r="AD17982"/>
    </row>
    <row r="17983" spans="30:30" x14ac:dyDescent="0.25">
      <c r="AD17983"/>
    </row>
    <row r="17984" spans="30:30" x14ac:dyDescent="0.25">
      <c r="AD17984"/>
    </row>
    <row r="17985" spans="30:30" x14ac:dyDescent="0.25">
      <c r="AD17985"/>
    </row>
    <row r="17986" spans="30:30" x14ac:dyDescent="0.25">
      <c r="AD17986"/>
    </row>
    <row r="17987" spans="30:30" x14ac:dyDescent="0.25">
      <c r="AD17987"/>
    </row>
    <row r="17988" spans="30:30" x14ac:dyDescent="0.25">
      <c r="AD17988"/>
    </row>
    <row r="17989" spans="30:30" x14ac:dyDescent="0.25">
      <c r="AD17989"/>
    </row>
    <row r="17990" spans="30:30" x14ac:dyDescent="0.25">
      <c r="AD17990"/>
    </row>
    <row r="17991" spans="30:30" x14ac:dyDescent="0.25">
      <c r="AD17991"/>
    </row>
    <row r="17992" spans="30:30" x14ac:dyDescent="0.25">
      <c r="AD17992"/>
    </row>
    <row r="17993" spans="30:30" x14ac:dyDescent="0.25">
      <c r="AD17993"/>
    </row>
    <row r="17994" spans="30:30" x14ac:dyDescent="0.25">
      <c r="AD17994"/>
    </row>
    <row r="17995" spans="30:30" x14ac:dyDescent="0.25">
      <c r="AD17995"/>
    </row>
    <row r="17996" spans="30:30" x14ac:dyDescent="0.25">
      <c r="AD17996"/>
    </row>
    <row r="17997" spans="30:30" x14ac:dyDescent="0.25">
      <c r="AD17997"/>
    </row>
    <row r="17998" spans="30:30" x14ac:dyDescent="0.25">
      <c r="AD17998"/>
    </row>
    <row r="17999" spans="30:30" x14ac:dyDescent="0.25">
      <c r="AD17999"/>
    </row>
    <row r="18000" spans="30:30" x14ac:dyDescent="0.25">
      <c r="AD18000"/>
    </row>
    <row r="18001" spans="30:30" x14ac:dyDescent="0.25">
      <c r="AD18001"/>
    </row>
    <row r="18002" spans="30:30" x14ac:dyDescent="0.25">
      <c r="AD18002"/>
    </row>
    <row r="18003" spans="30:30" x14ac:dyDescent="0.25">
      <c r="AD18003"/>
    </row>
    <row r="18004" spans="30:30" x14ac:dyDescent="0.25">
      <c r="AD18004"/>
    </row>
    <row r="18005" spans="30:30" x14ac:dyDescent="0.25">
      <c r="AD18005"/>
    </row>
    <row r="18006" spans="30:30" x14ac:dyDescent="0.25">
      <c r="AD18006"/>
    </row>
    <row r="18007" spans="30:30" x14ac:dyDescent="0.25">
      <c r="AD18007"/>
    </row>
    <row r="18008" spans="30:30" x14ac:dyDescent="0.25">
      <c r="AD18008"/>
    </row>
    <row r="18009" spans="30:30" x14ac:dyDescent="0.25">
      <c r="AD18009"/>
    </row>
    <row r="18010" spans="30:30" x14ac:dyDescent="0.25">
      <c r="AD18010"/>
    </row>
    <row r="18011" spans="30:30" x14ac:dyDescent="0.25">
      <c r="AD18011"/>
    </row>
    <row r="18012" spans="30:30" x14ac:dyDescent="0.25">
      <c r="AD18012"/>
    </row>
    <row r="18013" spans="30:30" x14ac:dyDescent="0.25">
      <c r="AD18013"/>
    </row>
    <row r="18014" spans="30:30" x14ac:dyDescent="0.25">
      <c r="AD18014"/>
    </row>
    <row r="18015" spans="30:30" x14ac:dyDescent="0.25">
      <c r="AD18015"/>
    </row>
    <row r="18016" spans="30:30" x14ac:dyDescent="0.25">
      <c r="AD18016"/>
    </row>
    <row r="18017" spans="30:30" x14ac:dyDescent="0.25">
      <c r="AD18017"/>
    </row>
    <row r="18018" spans="30:30" x14ac:dyDescent="0.25">
      <c r="AD18018"/>
    </row>
    <row r="18019" spans="30:30" x14ac:dyDescent="0.25">
      <c r="AD18019"/>
    </row>
    <row r="18020" spans="30:30" x14ac:dyDescent="0.25">
      <c r="AD18020"/>
    </row>
    <row r="18021" spans="30:30" x14ac:dyDescent="0.25">
      <c r="AD18021"/>
    </row>
    <row r="18022" spans="30:30" x14ac:dyDescent="0.25">
      <c r="AD18022"/>
    </row>
    <row r="18023" spans="30:30" x14ac:dyDescent="0.25">
      <c r="AD18023"/>
    </row>
    <row r="18024" spans="30:30" x14ac:dyDescent="0.25">
      <c r="AD18024"/>
    </row>
    <row r="18025" spans="30:30" x14ac:dyDescent="0.25">
      <c r="AD18025"/>
    </row>
    <row r="18026" spans="30:30" x14ac:dyDescent="0.25">
      <c r="AD18026"/>
    </row>
    <row r="18027" spans="30:30" x14ac:dyDescent="0.25">
      <c r="AD18027"/>
    </row>
    <row r="18028" spans="30:30" x14ac:dyDescent="0.25">
      <c r="AD18028"/>
    </row>
    <row r="18029" spans="30:30" x14ac:dyDescent="0.25">
      <c r="AD18029"/>
    </row>
    <row r="18030" spans="30:30" x14ac:dyDescent="0.25">
      <c r="AD18030"/>
    </row>
    <row r="18031" spans="30:30" x14ac:dyDescent="0.25">
      <c r="AD18031"/>
    </row>
    <row r="18032" spans="30:30" x14ac:dyDescent="0.25">
      <c r="AD18032"/>
    </row>
    <row r="18033" spans="30:30" x14ac:dyDescent="0.25">
      <c r="AD18033"/>
    </row>
    <row r="18034" spans="30:30" x14ac:dyDescent="0.25">
      <c r="AD18034"/>
    </row>
    <row r="18035" spans="30:30" x14ac:dyDescent="0.25">
      <c r="AD18035"/>
    </row>
    <row r="18036" spans="30:30" x14ac:dyDescent="0.25">
      <c r="AD18036"/>
    </row>
    <row r="18037" spans="30:30" x14ac:dyDescent="0.25">
      <c r="AD18037"/>
    </row>
    <row r="18038" spans="30:30" x14ac:dyDescent="0.25">
      <c r="AD18038"/>
    </row>
    <row r="18039" spans="30:30" x14ac:dyDescent="0.25">
      <c r="AD18039"/>
    </row>
    <row r="18040" spans="30:30" x14ac:dyDescent="0.25">
      <c r="AD18040"/>
    </row>
    <row r="18041" spans="30:30" x14ac:dyDescent="0.25">
      <c r="AD18041"/>
    </row>
    <row r="18042" spans="30:30" x14ac:dyDescent="0.25">
      <c r="AD18042"/>
    </row>
    <row r="18043" spans="30:30" x14ac:dyDescent="0.25">
      <c r="AD18043"/>
    </row>
    <row r="18044" spans="30:30" x14ac:dyDescent="0.25">
      <c r="AD18044"/>
    </row>
    <row r="18045" spans="30:30" x14ac:dyDescent="0.25">
      <c r="AD18045"/>
    </row>
    <row r="18046" spans="30:30" x14ac:dyDescent="0.25">
      <c r="AD18046"/>
    </row>
    <row r="18047" spans="30:30" x14ac:dyDescent="0.25">
      <c r="AD18047"/>
    </row>
    <row r="18048" spans="30:30" x14ac:dyDescent="0.25">
      <c r="AD18048"/>
    </row>
    <row r="18049" spans="30:30" x14ac:dyDescent="0.25">
      <c r="AD18049"/>
    </row>
    <row r="18050" spans="30:30" x14ac:dyDescent="0.25">
      <c r="AD18050"/>
    </row>
    <row r="18051" spans="30:30" x14ac:dyDescent="0.25">
      <c r="AD18051"/>
    </row>
    <row r="18052" spans="30:30" x14ac:dyDescent="0.25">
      <c r="AD18052"/>
    </row>
    <row r="18053" spans="30:30" x14ac:dyDescent="0.25">
      <c r="AD18053"/>
    </row>
    <row r="18054" spans="30:30" x14ac:dyDescent="0.25">
      <c r="AD18054"/>
    </row>
    <row r="18055" spans="30:30" x14ac:dyDescent="0.25">
      <c r="AD18055"/>
    </row>
    <row r="18056" spans="30:30" x14ac:dyDescent="0.25">
      <c r="AD18056"/>
    </row>
    <row r="18057" spans="30:30" x14ac:dyDescent="0.25">
      <c r="AD18057"/>
    </row>
    <row r="18058" spans="30:30" x14ac:dyDescent="0.25">
      <c r="AD18058"/>
    </row>
    <row r="18059" spans="30:30" x14ac:dyDescent="0.25">
      <c r="AD18059"/>
    </row>
    <row r="18060" spans="30:30" x14ac:dyDescent="0.25">
      <c r="AD18060"/>
    </row>
    <row r="18061" spans="30:30" x14ac:dyDescent="0.25">
      <c r="AD18061"/>
    </row>
    <row r="18062" spans="30:30" x14ac:dyDescent="0.25">
      <c r="AD18062"/>
    </row>
    <row r="18063" spans="30:30" x14ac:dyDescent="0.25">
      <c r="AD18063"/>
    </row>
    <row r="18064" spans="30:30" x14ac:dyDescent="0.25">
      <c r="AD18064"/>
    </row>
    <row r="18065" spans="30:30" x14ac:dyDescent="0.25">
      <c r="AD18065"/>
    </row>
    <row r="18066" spans="30:30" x14ac:dyDescent="0.25">
      <c r="AD18066"/>
    </row>
    <row r="18067" spans="30:30" x14ac:dyDescent="0.25">
      <c r="AD18067"/>
    </row>
    <row r="18068" spans="30:30" x14ac:dyDescent="0.25">
      <c r="AD18068"/>
    </row>
    <row r="18069" spans="30:30" x14ac:dyDescent="0.25">
      <c r="AD18069"/>
    </row>
    <row r="18070" spans="30:30" x14ac:dyDescent="0.25">
      <c r="AD18070"/>
    </row>
    <row r="18071" spans="30:30" x14ac:dyDescent="0.25">
      <c r="AD18071"/>
    </row>
    <row r="18072" spans="30:30" x14ac:dyDescent="0.25">
      <c r="AD18072"/>
    </row>
    <row r="18073" spans="30:30" x14ac:dyDescent="0.25">
      <c r="AD18073"/>
    </row>
    <row r="18074" spans="30:30" x14ac:dyDescent="0.25">
      <c r="AD18074"/>
    </row>
    <row r="18075" spans="30:30" x14ac:dyDescent="0.25">
      <c r="AD18075"/>
    </row>
    <row r="18076" spans="30:30" x14ac:dyDescent="0.25">
      <c r="AD18076"/>
    </row>
    <row r="18077" spans="30:30" x14ac:dyDescent="0.25">
      <c r="AD18077"/>
    </row>
    <row r="18078" spans="30:30" x14ac:dyDescent="0.25">
      <c r="AD18078"/>
    </row>
    <row r="18079" spans="30:30" x14ac:dyDescent="0.25">
      <c r="AD18079"/>
    </row>
    <row r="18080" spans="30:30" x14ac:dyDescent="0.25">
      <c r="AD18080"/>
    </row>
    <row r="18081" spans="30:30" x14ac:dyDescent="0.25">
      <c r="AD18081"/>
    </row>
    <row r="18082" spans="30:30" x14ac:dyDescent="0.25">
      <c r="AD18082"/>
    </row>
    <row r="18083" spans="30:30" x14ac:dyDescent="0.25">
      <c r="AD18083"/>
    </row>
    <row r="18084" spans="30:30" x14ac:dyDescent="0.25">
      <c r="AD18084"/>
    </row>
    <row r="18085" spans="30:30" x14ac:dyDescent="0.25">
      <c r="AD18085"/>
    </row>
    <row r="18086" spans="30:30" x14ac:dyDescent="0.25">
      <c r="AD18086"/>
    </row>
    <row r="18087" spans="30:30" x14ac:dyDescent="0.25">
      <c r="AD18087"/>
    </row>
    <row r="18088" spans="30:30" x14ac:dyDescent="0.25">
      <c r="AD18088"/>
    </row>
    <row r="18089" spans="30:30" x14ac:dyDescent="0.25">
      <c r="AD18089"/>
    </row>
    <row r="18090" spans="30:30" x14ac:dyDescent="0.25">
      <c r="AD18090"/>
    </row>
    <row r="18091" spans="30:30" x14ac:dyDescent="0.25">
      <c r="AD18091"/>
    </row>
    <row r="18092" spans="30:30" x14ac:dyDescent="0.25">
      <c r="AD18092"/>
    </row>
    <row r="18093" spans="30:30" x14ac:dyDescent="0.25">
      <c r="AD18093"/>
    </row>
    <row r="18094" spans="30:30" x14ac:dyDescent="0.25">
      <c r="AD18094"/>
    </row>
    <row r="18095" spans="30:30" x14ac:dyDescent="0.25">
      <c r="AD18095"/>
    </row>
    <row r="18096" spans="30:30" x14ac:dyDescent="0.25">
      <c r="AD18096"/>
    </row>
    <row r="18097" spans="30:30" x14ac:dyDescent="0.25">
      <c r="AD18097"/>
    </row>
    <row r="18098" spans="30:30" x14ac:dyDescent="0.25">
      <c r="AD18098"/>
    </row>
    <row r="18099" spans="30:30" x14ac:dyDescent="0.25">
      <c r="AD18099"/>
    </row>
    <row r="18100" spans="30:30" x14ac:dyDescent="0.25">
      <c r="AD18100"/>
    </row>
    <row r="18101" spans="30:30" x14ac:dyDescent="0.25">
      <c r="AD18101"/>
    </row>
    <row r="18102" spans="30:30" x14ac:dyDescent="0.25">
      <c r="AD18102"/>
    </row>
    <row r="18103" spans="30:30" x14ac:dyDescent="0.25">
      <c r="AD18103"/>
    </row>
    <row r="18104" spans="30:30" x14ac:dyDescent="0.25">
      <c r="AD18104"/>
    </row>
    <row r="18105" spans="30:30" x14ac:dyDescent="0.25">
      <c r="AD18105"/>
    </row>
    <row r="18106" spans="30:30" x14ac:dyDescent="0.25">
      <c r="AD18106"/>
    </row>
    <row r="18107" spans="30:30" x14ac:dyDescent="0.25">
      <c r="AD18107"/>
    </row>
    <row r="18108" spans="30:30" x14ac:dyDescent="0.25">
      <c r="AD18108"/>
    </row>
    <row r="18109" spans="30:30" x14ac:dyDescent="0.25">
      <c r="AD18109"/>
    </row>
    <row r="18110" spans="30:30" x14ac:dyDescent="0.25">
      <c r="AD18110"/>
    </row>
    <row r="18111" spans="30:30" x14ac:dyDescent="0.25">
      <c r="AD18111"/>
    </row>
    <row r="18112" spans="30:30" x14ac:dyDescent="0.25">
      <c r="AD18112"/>
    </row>
    <row r="18113" spans="30:30" x14ac:dyDescent="0.25">
      <c r="AD18113"/>
    </row>
    <row r="18114" spans="30:30" x14ac:dyDescent="0.25">
      <c r="AD18114"/>
    </row>
    <row r="18115" spans="30:30" x14ac:dyDescent="0.25">
      <c r="AD18115"/>
    </row>
    <row r="18116" spans="30:30" x14ac:dyDescent="0.25">
      <c r="AD18116"/>
    </row>
    <row r="18117" spans="30:30" x14ac:dyDescent="0.25">
      <c r="AD18117"/>
    </row>
    <row r="18118" spans="30:30" x14ac:dyDescent="0.25">
      <c r="AD18118"/>
    </row>
    <row r="18119" spans="30:30" x14ac:dyDescent="0.25">
      <c r="AD18119"/>
    </row>
    <row r="18120" spans="30:30" x14ac:dyDescent="0.25">
      <c r="AD18120"/>
    </row>
    <row r="18121" spans="30:30" x14ac:dyDescent="0.25">
      <c r="AD18121"/>
    </row>
    <row r="18122" spans="30:30" x14ac:dyDescent="0.25">
      <c r="AD18122"/>
    </row>
    <row r="18123" spans="30:30" x14ac:dyDescent="0.25">
      <c r="AD18123"/>
    </row>
    <row r="18124" spans="30:30" x14ac:dyDescent="0.25">
      <c r="AD18124"/>
    </row>
    <row r="18125" spans="30:30" x14ac:dyDescent="0.25">
      <c r="AD18125"/>
    </row>
    <row r="18126" spans="30:30" x14ac:dyDescent="0.25">
      <c r="AD18126"/>
    </row>
    <row r="18127" spans="30:30" x14ac:dyDescent="0.25">
      <c r="AD18127"/>
    </row>
    <row r="18128" spans="30:30" x14ac:dyDescent="0.25">
      <c r="AD18128"/>
    </row>
    <row r="18129" spans="30:30" x14ac:dyDescent="0.25">
      <c r="AD18129"/>
    </row>
    <row r="18130" spans="30:30" x14ac:dyDescent="0.25">
      <c r="AD18130"/>
    </row>
    <row r="18131" spans="30:30" x14ac:dyDescent="0.25">
      <c r="AD18131"/>
    </row>
    <row r="18132" spans="30:30" x14ac:dyDescent="0.25">
      <c r="AD18132"/>
    </row>
    <row r="18133" spans="30:30" x14ac:dyDescent="0.25">
      <c r="AD18133"/>
    </row>
    <row r="18134" spans="30:30" x14ac:dyDescent="0.25">
      <c r="AD18134"/>
    </row>
    <row r="18135" spans="30:30" x14ac:dyDescent="0.25">
      <c r="AD18135"/>
    </row>
    <row r="18136" spans="30:30" x14ac:dyDescent="0.25">
      <c r="AD18136"/>
    </row>
    <row r="18137" spans="30:30" x14ac:dyDescent="0.25">
      <c r="AD18137"/>
    </row>
    <row r="18138" spans="30:30" x14ac:dyDescent="0.25">
      <c r="AD18138"/>
    </row>
    <row r="18139" spans="30:30" x14ac:dyDescent="0.25">
      <c r="AD18139"/>
    </row>
    <row r="18140" spans="30:30" x14ac:dyDescent="0.25">
      <c r="AD18140"/>
    </row>
    <row r="18141" spans="30:30" x14ac:dyDescent="0.25">
      <c r="AD18141"/>
    </row>
    <row r="18142" spans="30:30" x14ac:dyDescent="0.25">
      <c r="AD18142"/>
    </row>
    <row r="18143" spans="30:30" x14ac:dyDescent="0.25">
      <c r="AD18143"/>
    </row>
    <row r="18144" spans="30:30" x14ac:dyDescent="0.25">
      <c r="AD18144"/>
    </row>
    <row r="18145" spans="30:30" x14ac:dyDescent="0.25">
      <c r="AD18145"/>
    </row>
    <row r="18146" spans="30:30" x14ac:dyDescent="0.25">
      <c r="AD18146"/>
    </row>
    <row r="18147" spans="30:30" x14ac:dyDescent="0.25">
      <c r="AD18147"/>
    </row>
    <row r="18148" spans="30:30" x14ac:dyDescent="0.25">
      <c r="AD18148"/>
    </row>
    <row r="18149" spans="30:30" x14ac:dyDescent="0.25">
      <c r="AD18149"/>
    </row>
    <row r="18150" spans="30:30" x14ac:dyDescent="0.25">
      <c r="AD18150"/>
    </row>
    <row r="18151" spans="30:30" x14ac:dyDescent="0.25">
      <c r="AD18151"/>
    </row>
    <row r="18152" spans="30:30" x14ac:dyDescent="0.25">
      <c r="AD18152"/>
    </row>
    <row r="18153" spans="30:30" x14ac:dyDescent="0.25">
      <c r="AD18153"/>
    </row>
    <row r="18154" spans="30:30" x14ac:dyDescent="0.25">
      <c r="AD18154"/>
    </row>
    <row r="18155" spans="30:30" x14ac:dyDescent="0.25">
      <c r="AD18155"/>
    </row>
    <row r="18156" spans="30:30" x14ac:dyDescent="0.25">
      <c r="AD18156"/>
    </row>
    <row r="18157" spans="30:30" x14ac:dyDescent="0.25">
      <c r="AD18157"/>
    </row>
    <row r="18158" spans="30:30" x14ac:dyDescent="0.25">
      <c r="AD18158"/>
    </row>
    <row r="18159" spans="30:30" x14ac:dyDescent="0.25">
      <c r="AD18159"/>
    </row>
    <row r="18160" spans="30:30" x14ac:dyDescent="0.25">
      <c r="AD18160"/>
    </row>
    <row r="18161" spans="30:30" x14ac:dyDescent="0.25">
      <c r="AD18161"/>
    </row>
    <row r="18162" spans="30:30" x14ac:dyDescent="0.25">
      <c r="AD18162"/>
    </row>
    <row r="18163" spans="30:30" x14ac:dyDescent="0.25">
      <c r="AD18163"/>
    </row>
    <row r="18164" spans="30:30" x14ac:dyDescent="0.25">
      <c r="AD18164"/>
    </row>
    <row r="18165" spans="30:30" x14ac:dyDescent="0.25">
      <c r="AD18165"/>
    </row>
    <row r="18166" spans="30:30" x14ac:dyDescent="0.25">
      <c r="AD18166"/>
    </row>
    <row r="18167" spans="30:30" x14ac:dyDescent="0.25">
      <c r="AD18167"/>
    </row>
    <row r="18168" spans="30:30" x14ac:dyDescent="0.25">
      <c r="AD18168"/>
    </row>
    <row r="18169" spans="30:30" x14ac:dyDescent="0.25">
      <c r="AD18169"/>
    </row>
    <row r="18170" spans="30:30" x14ac:dyDescent="0.25">
      <c r="AD18170"/>
    </row>
    <row r="18171" spans="30:30" x14ac:dyDescent="0.25">
      <c r="AD18171"/>
    </row>
    <row r="18172" spans="30:30" x14ac:dyDescent="0.25">
      <c r="AD18172"/>
    </row>
    <row r="18173" spans="30:30" x14ac:dyDescent="0.25">
      <c r="AD18173"/>
    </row>
    <row r="18174" spans="30:30" x14ac:dyDescent="0.25">
      <c r="AD18174"/>
    </row>
    <row r="18175" spans="30:30" x14ac:dyDescent="0.25">
      <c r="AD18175"/>
    </row>
    <row r="18176" spans="30:30" x14ac:dyDescent="0.25">
      <c r="AD18176"/>
    </row>
    <row r="18177" spans="30:30" x14ac:dyDescent="0.25">
      <c r="AD18177"/>
    </row>
    <row r="18178" spans="30:30" x14ac:dyDescent="0.25">
      <c r="AD18178"/>
    </row>
    <row r="18179" spans="30:30" x14ac:dyDescent="0.25">
      <c r="AD18179"/>
    </row>
    <row r="18180" spans="30:30" x14ac:dyDescent="0.25">
      <c r="AD18180"/>
    </row>
    <row r="18181" spans="30:30" x14ac:dyDescent="0.25">
      <c r="AD18181"/>
    </row>
    <row r="18182" spans="30:30" x14ac:dyDescent="0.25">
      <c r="AD18182"/>
    </row>
    <row r="18183" spans="30:30" x14ac:dyDescent="0.25">
      <c r="AD18183"/>
    </row>
    <row r="18184" spans="30:30" x14ac:dyDescent="0.25">
      <c r="AD18184"/>
    </row>
    <row r="18185" spans="30:30" x14ac:dyDescent="0.25">
      <c r="AD18185"/>
    </row>
    <row r="18186" spans="30:30" x14ac:dyDescent="0.25">
      <c r="AD18186"/>
    </row>
    <row r="18187" spans="30:30" x14ac:dyDescent="0.25">
      <c r="AD18187"/>
    </row>
    <row r="18188" spans="30:30" x14ac:dyDescent="0.25">
      <c r="AD18188"/>
    </row>
    <row r="18189" spans="30:30" x14ac:dyDescent="0.25">
      <c r="AD18189"/>
    </row>
    <row r="18190" spans="30:30" x14ac:dyDescent="0.25">
      <c r="AD18190"/>
    </row>
    <row r="18191" spans="30:30" x14ac:dyDescent="0.25">
      <c r="AD18191"/>
    </row>
    <row r="18192" spans="30:30" x14ac:dyDescent="0.25">
      <c r="AD18192"/>
    </row>
    <row r="18193" spans="30:30" x14ac:dyDescent="0.25">
      <c r="AD18193"/>
    </row>
    <row r="18194" spans="30:30" x14ac:dyDescent="0.25">
      <c r="AD18194"/>
    </row>
    <row r="18195" spans="30:30" x14ac:dyDescent="0.25">
      <c r="AD18195"/>
    </row>
    <row r="18196" spans="30:30" x14ac:dyDescent="0.25">
      <c r="AD18196"/>
    </row>
    <row r="18197" spans="30:30" x14ac:dyDescent="0.25">
      <c r="AD18197"/>
    </row>
    <row r="18198" spans="30:30" x14ac:dyDescent="0.25">
      <c r="AD18198"/>
    </row>
    <row r="18199" spans="30:30" x14ac:dyDescent="0.25">
      <c r="AD18199"/>
    </row>
    <row r="18200" spans="30:30" x14ac:dyDescent="0.25">
      <c r="AD18200"/>
    </row>
    <row r="18201" spans="30:30" x14ac:dyDescent="0.25">
      <c r="AD18201"/>
    </row>
    <row r="18202" spans="30:30" x14ac:dyDescent="0.25">
      <c r="AD18202"/>
    </row>
    <row r="18203" spans="30:30" x14ac:dyDescent="0.25">
      <c r="AD18203"/>
    </row>
    <row r="18204" spans="30:30" x14ac:dyDescent="0.25">
      <c r="AD18204"/>
    </row>
    <row r="18205" spans="30:30" x14ac:dyDescent="0.25">
      <c r="AD18205"/>
    </row>
    <row r="18206" spans="30:30" x14ac:dyDescent="0.25">
      <c r="AD18206"/>
    </row>
    <row r="18207" spans="30:30" x14ac:dyDescent="0.25">
      <c r="AD18207"/>
    </row>
    <row r="18208" spans="30:30" x14ac:dyDescent="0.25">
      <c r="AD18208"/>
    </row>
    <row r="18209" spans="30:30" x14ac:dyDescent="0.25">
      <c r="AD18209"/>
    </row>
    <row r="18210" spans="30:30" x14ac:dyDescent="0.25">
      <c r="AD18210"/>
    </row>
    <row r="18211" spans="30:30" x14ac:dyDescent="0.25">
      <c r="AD18211"/>
    </row>
    <row r="18212" spans="30:30" x14ac:dyDescent="0.25">
      <c r="AD18212"/>
    </row>
    <row r="18213" spans="30:30" x14ac:dyDescent="0.25">
      <c r="AD18213"/>
    </row>
    <row r="18214" spans="30:30" x14ac:dyDescent="0.25">
      <c r="AD18214"/>
    </row>
    <row r="18215" spans="30:30" x14ac:dyDescent="0.25">
      <c r="AD18215"/>
    </row>
    <row r="18216" spans="30:30" x14ac:dyDescent="0.25">
      <c r="AD18216"/>
    </row>
    <row r="18217" spans="30:30" x14ac:dyDescent="0.25">
      <c r="AD18217"/>
    </row>
    <row r="18218" spans="30:30" x14ac:dyDescent="0.25">
      <c r="AD18218"/>
    </row>
    <row r="18219" spans="30:30" x14ac:dyDescent="0.25">
      <c r="AD18219"/>
    </row>
    <row r="18220" spans="30:30" x14ac:dyDescent="0.25">
      <c r="AD18220"/>
    </row>
    <row r="18221" spans="30:30" x14ac:dyDescent="0.25">
      <c r="AD18221"/>
    </row>
    <row r="18222" spans="30:30" x14ac:dyDescent="0.25">
      <c r="AD18222"/>
    </row>
    <row r="18223" spans="30:30" x14ac:dyDescent="0.25">
      <c r="AD18223"/>
    </row>
    <row r="18224" spans="30:30" x14ac:dyDescent="0.25">
      <c r="AD18224"/>
    </row>
    <row r="18225" spans="30:30" x14ac:dyDescent="0.25">
      <c r="AD18225"/>
    </row>
    <row r="18226" spans="30:30" x14ac:dyDescent="0.25">
      <c r="AD18226"/>
    </row>
    <row r="18227" spans="30:30" x14ac:dyDescent="0.25">
      <c r="AD18227"/>
    </row>
    <row r="18228" spans="30:30" x14ac:dyDescent="0.25">
      <c r="AD18228"/>
    </row>
    <row r="18229" spans="30:30" x14ac:dyDescent="0.25">
      <c r="AD18229"/>
    </row>
    <row r="18230" spans="30:30" x14ac:dyDescent="0.25">
      <c r="AD18230"/>
    </row>
    <row r="18231" spans="30:30" x14ac:dyDescent="0.25">
      <c r="AD18231"/>
    </row>
    <row r="18232" spans="30:30" x14ac:dyDescent="0.25">
      <c r="AD18232"/>
    </row>
    <row r="18233" spans="30:30" x14ac:dyDescent="0.25">
      <c r="AD18233"/>
    </row>
    <row r="18234" spans="30:30" x14ac:dyDescent="0.25">
      <c r="AD18234"/>
    </row>
    <row r="18235" spans="30:30" x14ac:dyDescent="0.25">
      <c r="AD18235"/>
    </row>
    <row r="18236" spans="30:30" x14ac:dyDescent="0.25">
      <c r="AD18236"/>
    </row>
    <row r="18237" spans="30:30" x14ac:dyDescent="0.25">
      <c r="AD18237"/>
    </row>
    <row r="18238" spans="30:30" x14ac:dyDescent="0.25">
      <c r="AD18238"/>
    </row>
    <row r="18239" spans="30:30" x14ac:dyDescent="0.25">
      <c r="AD18239"/>
    </row>
    <row r="18240" spans="30:30" x14ac:dyDescent="0.25">
      <c r="AD18240"/>
    </row>
    <row r="18241" spans="30:30" x14ac:dyDescent="0.25">
      <c r="AD18241"/>
    </row>
    <row r="18242" spans="30:30" x14ac:dyDescent="0.25">
      <c r="AD18242"/>
    </row>
    <row r="18243" spans="30:30" x14ac:dyDescent="0.25">
      <c r="AD18243"/>
    </row>
    <row r="18244" spans="30:30" x14ac:dyDescent="0.25">
      <c r="AD18244"/>
    </row>
    <row r="18245" spans="30:30" x14ac:dyDescent="0.25">
      <c r="AD18245"/>
    </row>
    <row r="18246" spans="30:30" x14ac:dyDescent="0.25">
      <c r="AD18246"/>
    </row>
    <row r="18247" spans="30:30" x14ac:dyDescent="0.25">
      <c r="AD18247"/>
    </row>
    <row r="18248" spans="30:30" x14ac:dyDescent="0.25">
      <c r="AD18248"/>
    </row>
    <row r="18249" spans="30:30" x14ac:dyDescent="0.25">
      <c r="AD18249"/>
    </row>
    <row r="18250" spans="30:30" x14ac:dyDescent="0.25">
      <c r="AD18250"/>
    </row>
    <row r="18251" spans="30:30" x14ac:dyDescent="0.25">
      <c r="AD18251"/>
    </row>
    <row r="18252" spans="30:30" x14ac:dyDescent="0.25">
      <c r="AD18252"/>
    </row>
    <row r="18253" spans="30:30" x14ac:dyDescent="0.25">
      <c r="AD18253"/>
    </row>
    <row r="18254" spans="30:30" x14ac:dyDescent="0.25">
      <c r="AD18254"/>
    </row>
    <row r="18255" spans="30:30" x14ac:dyDescent="0.25">
      <c r="AD18255"/>
    </row>
    <row r="18256" spans="30:30" x14ac:dyDescent="0.25">
      <c r="AD18256"/>
    </row>
    <row r="18257" spans="30:30" x14ac:dyDescent="0.25">
      <c r="AD18257"/>
    </row>
    <row r="18258" spans="30:30" x14ac:dyDescent="0.25">
      <c r="AD18258"/>
    </row>
    <row r="18259" spans="30:30" x14ac:dyDescent="0.25">
      <c r="AD18259"/>
    </row>
    <row r="18260" spans="30:30" x14ac:dyDescent="0.25">
      <c r="AD18260"/>
    </row>
    <row r="18261" spans="30:30" x14ac:dyDescent="0.25">
      <c r="AD18261"/>
    </row>
    <row r="18262" spans="30:30" x14ac:dyDescent="0.25">
      <c r="AD18262"/>
    </row>
    <row r="18263" spans="30:30" x14ac:dyDescent="0.25">
      <c r="AD18263"/>
    </row>
    <row r="18264" spans="30:30" x14ac:dyDescent="0.25">
      <c r="AD18264"/>
    </row>
    <row r="18265" spans="30:30" x14ac:dyDescent="0.25">
      <c r="AD18265"/>
    </row>
    <row r="18266" spans="30:30" x14ac:dyDescent="0.25">
      <c r="AD18266"/>
    </row>
    <row r="18267" spans="30:30" x14ac:dyDescent="0.25">
      <c r="AD18267"/>
    </row>
    <row r="18268" spans="30:30" x14ac:dyDescent="0.25">
      <c r="AD18268"/>
    </row>
    <row r="18269" spans="30:30" x14ac:dyDescent="0.25">
      <c r="AD18269"/>
    </row>
    <row r="18270" spans="30:30" x14ac:dyDescent="0.25">
      <c r="AD18270"/>
    </row>
    <row r="18271" spans="30:30" x14ac:dyDescent="0.25">
      <c r="AD18271"/>
    </row>
    <row r="18272" spans="30:30" x14ac:dyDescent="0.25">
      <c r="AD18272"/>
    </row>
    <row r="18273" spans="30:30" x14ac:dyDescent="0.25">
      <c r="AD18273"/>
    </row>
    <row r="18274" spans="30:30" x14ac:dyDescent="0.25">
      <c r="AD18274"/>
    </row>
    <row r="18275" spans="30:30" x14ac:dyDescent="0.25">
      <c r="AD18275"/>
    </row>
    <row r="18276" spans="30:30" x14ac:dyDescent="0.25">
      <c r="AD18276"/>
    </row>
    <row r="18277" spans="30:30" x14ac:dyDescent="0.25">
      <c r="AD18277"/>
    </row>
    <row r="18278" spans="30:30" x14ac:dyDescent="0.25">
      <c r="AD18278"/>
    </row>
    <row r="18279" spans="30:30" x14ac:dyDescent="0.25">
      <c r="AD18279"/>
    </row>
    <row r="18280" spans="30:30" x14ac:dyDescent="0.25">
      <c r="AD18280"/>
    </row>
    <row r="18281" spans="30:30" x14ac:dyDescent="0.25">
      <c r="AD18281"/>
    </row>
    <row r="18282" spans="30:30" x14ac:dyDescent="0.25">
      <c r="AD18282"/>
    </row>
    <row r="18283" spans="30:30" x14ac:dyDescent="0.25">
      <c r="AD18283"/>
    </row>
    <row r="18284" spans="30:30" x14ac:dyDescent="0.25">
      <c r="AD18284"/>
    </row>
    <row r="18285" spans="30:30" x14ac:dyDescent="0.25">
      <c r="AD18285"/>
    </row>
    <row r="18286" spans="30:30" x14ac:dyDescent="0.25">
      <c r="AD18286"/>
    </row>
    <row r="18287" spans="30:30" x14ac:dyDescent="0.25">
      <c r="AD18287"/>
    </row>
    <row r="18288" spans="30:30" x14ac:dyDescent="0.25">
      <c r="AD18288"/>
    </row>
    <row r="18289" spans="30:30" x14ac:dyDescent="0.25">
      <c r="AD18289"/>
    </row>
    <row r="18290" spans="30:30" x14ac:dyDescent="0.25">
      <c r="AD18290"/>
    </row>
    <row r="18291" spans="30:30" x14ac:dyDescent="0.25">
      <c r="AD18291"/>
    </row>
    <row r="18292" spans="30:30" x14ac:dyDescent="0.25">
      <c r="AD18292"/>
    </row>
    <row r="18293" spans="30:30" x14ac:dyDescent="0.25">
      <c r="AD18293"/>
    </row>
    <row r="18294" spans="30:30" x14ac:dyDescent="0.25">
      <c r="AD18294"/>
    </row>
    <row r="18295" spans="30:30" x14ac:dyDescent="0.25">
      <c r="AD18295"/>
    </row>
    <row r="18296" spans="30:30" x14ac:dyDescent="0.25">
      <c r="AD18296"/>
    </row>
    <row r="18297" spans="30:30" x14ac:dyDescent="0.25">
      <c r="AD18297"/>
    </row>
    <row r="18298" spans="30:30" x14ac:dyDescent="0.25">
      <c r="AD18298"/>
    </row>
    <row r="18299" spans="30:30" x14ac:dyDescent="0.25">
      <c r="AD18299"/>
    </row>
    <row r="18300" spans="30:30" x14ac:dyDescent="0.25">
      <c r="AD18300"/>
    </row>
    <row r="18301" spans="30:30" x14ac:dyDescent="0.25">
      <c r="AD18301"/>
    </row>
    <row r="18302" spans="30:30" x14ac:dyDescent="0.25">
      <c r="AD18302"/>
    </row>
    <row r="18303" spans="30:30" x14ac:dyDescent="0.25">
      <c r="AD18303"/>
    </row>
    <row r="18304" spans="30:30" x14ac:dyDescent="0.25">
      <c r="AD18304"/>
    </row>
    <row r="18305" spans="30:30" x14ac:dyDescent="0.25">
      <c r="AD18305"/>
    </row>
    <row r="18306" spans="30:30" x14ac:dyDescent="0.25">
      <c r="AD18306"/>
    </row>
    <row r="18307" spans="30:30" x14ac:dyDescent="0.25">
      <c r="AD18307"/>
    </row>
    <row r="18308" spans="30:30" x14ac:dyDescent="0.25">
      <c r="AD18308"/>
    </row>
    <row r="18309" spans="30:30" x14ac:dyDescent="0.25">
      <c r="AD18309"/>
    </row>
    <row r="18310" spans="30:30" x14ac:dyDescent="0.25">
      <c r="AD18310"/>
    </row>
    <row r="18311" spans="30:30" x14ac:dyDescent="0.25">
      <c r="AD18311"/>
    </row>
    <row r="18312" spans="30:30" x14ac:dyDescent="0.25">
      <c r="AD18312"/>
    </row>
    <row r="18313" spans="30:30" x14ac:dyDescent="0.25">
      <c r="AD18313"/>
    </row>
    <row r="18314" spans="30:30" x14ac:dyDescent="0.25">
      <c r="AD18314"/>
    </row>
    <row r="18315" spans="30:30" x14ac:dyDescent="0.25">
      <c r="AD18315"/>
    </row>
    <row r="18316" spans="30:30" x14ac:dyDescent="0.25">
      <c r="AD18316"/>
    </row>
    <row r="18317" spans="30:30" x14ac:dyDescent="0.25">
      <c r="AD18317"/>
    </row>
    <row r="18318" spans="30:30" x14ac:dyDescent="0.25">
      <c r="AD18318"/>
    </row>
    <row r="18319" spans="30:30" x14ac:dyDescent="0.25">
      <c r="AD18319"/>
    </row>
    <row r="18320" spans="30:30" x14ac:dyDescent="0.25">
      <c r="AD18320"/>
    </row>
    <row r="18321" spans="30:30" x14ac:dyDescent="0.25">
      <c r="AD18321"/>
    </row>
    <row r="18322" spans="30:30" x14ac:dyDescent="0.25">
      <c r="AD18322"/>
    </row>
    <row r="18323" spans="30:30" x14ac:dyDescent="0.25">
      <c r="AD18323"/>
    </row>
    <row r="18324" spans="30:30" x14ac:dyDescent="0.25">
      <c r="AD18324"/>
    </row>
    <row r="18325" spans="30:30" x14ac:dyDescent="0.25">
      <c r="AD18325"/>
    </row>
    <row r="18326" spans="30:30" x14ac:dyDescent="0.25">
      <c r="AD18326"/>
    </row>
    <row r="18327" spans="30:30" x14ac:dyDescent="0.25">
      <c r="AD18327"/>
    </row>
    <row r="18328" spans="30:30" x14ac:dyDescent="0.25">
      <c r="AD18328"/>
    </row>
    <row r="18329" spans="30:30" x14ac:dyDescent="0.25">
      <c r="AD18329"/>
    </row>
    <row r="18330" spans="30:30" x14ac:dyDescent="0.25">
      <c r="AD18330"/>
    </row>
    <row r="18331" spans="30:30" x14ac:dyDescent="0.25">
      <c r="AD18331"/>
    </row>
    <row r="18332" spans="30:30" x14ac:dyDescent="0.25">
      <c r="AD18332"/>
    </row>
    <row r="18333" spans="30:30" x14ac:dyDescent="0.25">
      <c r="AD18333"/>
    </row>
    <row r="18334" spans="30:30" x14ac:dyDescent="0.25">
      <c r="AD18334"/>
    </row>
    <row r="18335" spans="30:30" x14ac:dyDescent="0.25">
      <c r="AD18335"/>
    </row>
    <row r="18336" spans="30:30" x14ac:dyDescent="0.25">
      <c r="AD18336"/>
    </row>
    <row r="18337" spans="30:30" x14ac:dyDescent="0.25">
      <c r="AD18337"/>
    </row>
    <row r="18338" spans="30:30" x14ac:dyDescent="0.25">
      <c r="AD18338"/>
    </row>
    <row r="18339" spans="30:30" x14ac:dyDescent="0.25">
      <c r="AD18339"/>
    </row>
    <row r="18340" spans="30:30" x14ac:dyDescent="0.25">
      <c r="AD18340"/>
    </row>
    <row r="18341" spans="30:30" x14ac:dyDescent="0.25">
      <c r="AD18341"/>
    </row>
    <row r="18342" spans="30:30" x14ac:dyDescent="0.25">
      <c r="AD18342"/>
    </row>
    <row r="18343" spans="30:30" x14ac:dyDescent="0.25">
      <c r="AD18343"/>
    </row>
    <row r="18344" spans="30:30" x14ac:dyDescent="0.25">
      <c r="AD18344"/>
    </row>
    <row r="18345" spans="30:30" x14ac:dyDescent="0.25">
      <c r="AD18345"/>
    </row>
    <row r="18346" spans="30:30" x14ac:dyDescent="0.25">
      <c r="AD18346"/>
    </row>
    <row r="18347" spans="30:30" x14ac:dyDescent="0.25">
      <c r="AD18347"/>
    </row>
    <row r="18348" spans="30:30" x14ac:dyDescent="0.25">
      <c r="AD18348"/>
    </row>
    <row r="18349" spans="30:30" x14ac:dyDescent="0.25">
      <c r="AD18349"/>
    </row>
    <row r="18350" spans="30:30" x14ac:dyDescent="0.25">
      <c r="AD18350"/>
    </row>
    <row r="18351" spans="30:30" x14ac:dyDescent="0.25">
      <c r="AD18351"/>
    </row>
    <row r="18352" spans="30:30" x14ac:dyDescent="0.25">
      <c r="AD18352"/>
    </row>
    <row r="18353" spans="30:30" x14ac:dyDescent="0.25">
      <c r="AD18353"/>
    </row>
    <row r="18354" spans="30:30" x14ac:dyDescent="0.25">
      <c r="AD18354"/>
    </row>
    <row r="18355" spans="30:30" x14ac:dyDescent="0.25">
      <c r="AD18355"/>
    </row>
    <row r="18356" spans="30:30" x14ac:dyDescent="0.25">
      <c r="AD18356"/>
    </row>
    <row r="18357" spans="30:30" x14ac:dyDescent="0.25">
      <c r="AD18357"/>
    </row>
    <row r="18358" spans="30:30" x14ac:dyDescent="0.25">
      <c r="AD18358"/>
    </row>
    <row r="18359" spans="30:30" x14ac:dyDescent="0.25">
      <c r="AD18359"/>
    </row>
    <row r="18360" spans="30:30" x14ac:dyDescent="0.25">
      <c r="AD18360"/>
    </row>
    <row r="18361" spans="30:30" x14ac:dyDescent="0.25">
      <c r="AD18361"/>
    </row>
    <row r="18362" spans="30:30" x14ac:dyDescent="0.25">
      <c r="AD18362"/>
    </row>
    <row r="18363" spans="30:30" x14ac:dyDescent="0.25">
      <c r="AD18363"/>
    </row>
    <row r="18364" spans="30:30" x14ac:dyDescent="0.25">
      <c r="AD18364"/>
    </row>
    <row r="18365" spans="30:30" x14ac:dyDescent="0.25">
      <c r="AD18365"/>
    </row>
    <row r="18366" spans="30:30" x14ac:dyDescent="0.25">
      <c r="AD18366"/>
    </row>
    <row r="18367" spans="30:30" x14ac:dyDescent="0.25">
      <c r="AD18367"/>
    </row>
    <row r="18368" spans="30:30" x14ac:dyDescent="0.25">
      <c r="AD18368"/>
    </row>
    <row r="18369" spans="30:30" x14ac:dyDescent="0.25">
      <c r="AD18369"/>
    </row>
    <row r="18370" spans="30:30" x14ac:dyDescent="0.25">
      <c r="AD18370"/>
    </row>
    <row r="18371" spans="30:30" x14ac:dyDescent="0.25">
      <c r="AD18371"/>
    </row>
    <row r="18372" spans="30:30" x14ac:dyDescent="0.25">
      <c r="AD18372"/>
    </row>
    <row r="18373" spans="30:30" x14ac:dyDescent="0.25">
      <c r="AD18373"/>
    </row>
    <row r="18374" spans="30:30" x14ac:dyDescent="0.25">
      <c r="AD18374"/>
    </row>
    <row r="18375" spans="30:30" x14ac:dyDescent="0.25">
      <c r="AD18375"/>
    </row>
    <row r="18376" spans="30:30" x14ac:dyDescent="0.25">
      <c r="AD18376"/>
    </row>
    <row r="18377" spans="30:30" x14ac:dyDescent="0.25">
      <c r="AD18377"/>
    </row>
    <row r="18378" spans="30:30" x14ac:dyDescent="0.25">
      <c r="AD18378"/>
    </row>
    <row r="18379" spans="30:30" x14ac:dyDescent="0.25">
      <c r="AD18379"/>
    </row>
    <row r="18380" spans="30:30" x14ac:dyDescent="0.25">
      <c r="AD18380"/>
    </row>
    <row r="18381" spans="30:30" x14ac:dyDescent="0.25">
      <c r="AD18381"/>
    </row>
    <row r="18382" spans="30:30" x14ac:dyDescent="0.25">
      <c r="AD18382"/>
    </row>
    <row r="18383" spans="30:30" x14ac:dyDescent="0.25">
      <c r="AD18383"/>
    </row>
    <row r="18384" spans="30:30" x14ac:dyDescent="0.25">
      <c r="AD18384"/>
    </row>
    <row r="18385" spans="30:30" x14ac:dyDescent="0.25">
      <c r="AD18385"/>
    </row>
    <row r="18386" spans="30:30" x14ac:dyDescent="0.25">
      <c r="AD18386"/>
    </row>
    <row r="18387" spans="30:30" x14ac:dyDescent="0.25">
      <c r="AD18387"/>
    </row>
    <row r="18388" spans="30:30" x14ac:dyDescent="0.25">
      <c r="AD18388"/>
    </row>
    <row r="18389" spans="30:30" x14ac:dyDescent="0.25">
      <c r="AD18389"/>
    </row>
    <row r="18390" spans="30:30" x14ac:dyDescent="0.25">
      <c r="AD18390"/>
    </row>
    <row r="18391" spans="30:30" x14ac:dyDescent="0.25">
      <c r="AD18391"/>
    </row>
    <row r="18392" spans="30:30" x14ac:dyDescent="0.25">
      <c r="AD18392"/>
    </row>
    <row r="18393" spans="30:30" x14ac:dyDescent="0.25">
      <c r="AD18393"/>
    </row>
    <row r="18394" spans="30:30" x14ac:dyDescent="0.25">
      <c r="AD18394"/>
    </row>
    <row r="18395" spans="30:30" x14ac:dyDescent="0.25">
      <c r="AD18395"/>
    </row>
    <row r="18396" spans="30:30" x14ac:dyDescent="0.25">
      <c r="AD18396"/>
    </row>
    <row r="18397" spans="30:30" x14ac:dyDescent="0.25">
      <c r="AD18397"/>
    </row>
    <row r="18398" spans="30:30" x14ac:dyDescent="0.25">
      <c r="AD18398"/>
    </row>
    <row r="18399" spans="30:30" x14ac:dyDescent="0.25">
      <c r="AD18399"/>
    </row>
    <row r="18400" spans="30:30" x14ac:dyDescent="0.25">
      <c r="AD18400"/>
    </row>
    <row r="18401" spans="30:30" x14ac:dyDescent="0.25">
      <c r="AD18401"/>
    </row>
    <row r="18402" spans="30:30" x14ac:dyDescent="0.25">
      <c r="AD18402"/>
    </row>
    <row r="18403" spans="30:30" x14ac:dyDescent="0.25">
      <c r="AD18403"/>
    </row>
    <row r="18404" spans="30:30" x14ac:dyDescent="0.25">
      <c r="AD18404"/>
    </row>
    <row r="18405" spans="30:30" x14ac:dyDescent="0.25">
      <c r="AD18405"/>
    </row>
    <row r="18406" spans="30:30" x14ac:dyDescent="0.25">
      <c r="AD18406"/>
    </row>
    <row r="18407" spans="30:30" x14ac:dyDescent="0.25">
      <c r="AD18407"/>
    </row>
    <row r="18408" spans="30:30" x14ac:dyDescent="0.25">
      <c r="AD18408"/>
    </row>
    <row r="18409" spans="30:30" x14ac:dyDescent="0.25">
      <c r="AD18409"/>
    </row>
    <row r="18410" spans="30:30" x14ac:dyDescent="0.25">
      <c r="AD18410"/>
    </row>
    <row r="18411" spans="30:30" x14ac:dyDescent="0.25">
      <c r="AD18411"/>
    </row>
    <row r="18412" spans="30:30" x14ac:dyDescent="0.25">
      <c r="AD18412"/>
    </row>
    <row r="18413" spans="30:30" x14ac:dyDescent="0.25">
      <c r="AD18413"/>
    </row>
    <row r="18414" spans="30:30" x14ac:dyDescent="0.25">
      <c r="AD18414"/>
    </row>
    <row r="18415" spans="30:30" x14ac:dyDescent="0.25">
      <c r="AD18415"/>
    </row>
    <row r="18416" spans="30:30" x14ac:dyDescent="0.25">
      <c r="AD18416"/>
    </row>
    <row r="18417" spans="30:30" x14ac:dyDescent="0.25">
      <c r="AD18417"/>
    </row>
    <row r="18418" spans="30:30" x14ac:dyDescent="0.25">
      <c r="AD18418"/>
    </row>
    <row r="18419" spans="30:30" x14ac:dyDescent="0.25">
      <c r="AD18419"/>
    </row>
    <row r="18420" spans="30:30" x14ac:dyDescent="0.25">
      <c r="AD18420"/>
    </row>
    <row r="18421" spans="30:30" x14ac:dyDescent="0.25">
      <c r="AD18421"/>
    </row>
    <row r="18422" spans="30:30" x14ac:dyDescent="0.25">
      <c r="AD18422"/>
    </row>
    <row r="18423" spans="30:30" x14ac:dyDescent="0.25">
      <c r="AD18423"/>
    </row>
    <row r="18424" spans="30:30" x14ac:dyDescent="0.25">
      <c r="AD18424"/>
    </row>
    <row r="18425" spans="30:30" x14ac:dyDescent="0.25">
      <c r="AD18425"/>
    </row>
    <row r="18426" spans="30:30" x14ac:dyDescent="0.25">
      <c r="AD18426"/>
    </row>
    <row r="18427" spans="30:30" x14ac:dyDescent="0.25">
      <c r="AD18427"/>
    </row>
    <row r="18428" spans="30:30" x14ac:dyDescent="0.25">
      <c r="AD18428"/>
    </row>
    <row r="18429" spans="30:30" x14ac:dyDescent="0.25">
      <c r="AD18429"/>
    </row>
    <row r="18430" spans="30:30" x14ac:dyDescent="0.25">
      <c r="AD18430"/>
    </row>
    <row r="18431" spans="30:30" x14ac:dyDescent="0.25">
      <c r="AD18431"/>
    </row>
    <row r="18432" spans="30:30" x14ac:dyDescent="0.25">
      <c r="AD18432"/>
    </row>
    <row r="18433" spans="30:30" x14ac:dyDescent="0.25">
      <c r="AD18433"/>
    </row>
    <row r="18434" spans="30:30" x14ac:dyDescent="0.25">
      <c r="AD18434"/>
    </row>
    <row r="18435" spans="30:30" x14ac:dyDescent="0.25">
      <c r="AD18435"/>
    </row>
    <row r="18436" spans="30:30" x14ac:dyDescent="0.25">
      <c r="AD18436"/>
    </row>
    <row r="18437" spans="30:30" x14ac:dyDescent="0.25">
      <c r="AD18437"/>
    </row>
    <row r="18438" spans="30:30" x14ac:dyDescent="0.25">
      <c r="AD18438"/>
    </row>
    <row r="18439" spans="30:30" x14ac:dyDescent="0.25">
      <c r="AD18439"/>
    </row>
    <row r="18440" spans="30:30" x14ac:dyDescent="0.25">
      <c r="AD18440"/>
    </row>
    <row r="18441" spans="30:30" x14ac:dyDescent="0.25">
      <c r="AD18441"/>
    </row>
    <row r="18442" spans="30:30" x14ac:dyDescent="0.25">
      <c r="AD18442"/>
    </row>
    <row r="18443" spans="30:30" x14ac:dyDescent="0.25">
      <c r="AD18443"/>
    </row>
    <row r="18444" spans="30:30" x14ac:dyDescent="0.25">
      <c r="AD18444"/>
    </row>
    <row r="18445" spans="30:30" x14ac:dyDescent="0.25">
      <c r="AD18445"/>
    </row>
    <row r="18446" spans="30:30" x14ac:dyDescent="0.25">
      <c r="AD18446"/>
    </row>
    <row r="18447" spans="30:30" x14ac:dyDescent="0.25">
      <c r="AD18447"/>
    </row>
    <row r="18448" spans="30:30" x14ac:dyDescent="0.25">
      <c r="AD18448"/>
    </row>
    <row r="18449" spans="30:30" x14ac:dyDescent="0.25">
      <c r="AD18449"/>
    </row>
    <row r="18450" spans="30:30" x14ac:dyDescent="0.25">
      <c r="AD18450"/>
    </row>
    <row r="18451" spans="30:30" x14ac:dyDescent="0.25">
      <c r="AD18451"/>
    </row>
    <row r="18452" spans="30:30" x14ac:dyDescent="0.25">
      <c r="AD18452"/>
    </row>
    <row r="18453" spans="30:30" x14ac:dyDescent="0.25">
      <c r="AD18453"/>
    </row>
    <row r="18454" spans="30:30" x14ac:dyDescent="0.25">
      <c r="AD18454"/>
    </row>
    <row r="18455" spans="30:30" x14ac:dyDescent="0.25">
      <c r="AD18455"/>
    </row>
    <row r="18456" spans="30:30" x14ac:dyDescent="0.25">
      <c r="AD18456"/>
    </row>
    <row r="18457" spans="30:30" x14ac:dyDescent="0.25">
      <c r="AD18457"/>
    </row>
    <row r="18458" spans="30:30" x14ac:dyDescent="0.25">
      <c r="AD18458"/>
    </row>
    <row r="18459" spans="30:30" x14ac:dyDescent="0.25">
      <c r="AD18459"/>
    </row>
    <row r="18460" spans="30:30" x14ac:dyDescent="0.25">
      <c r="AD18460"/>
    </row>
    <row r="18461" spans="30:30" x14ac:dyDescent="0.25">
      <c r="AD18461"/>
    </row>
    <row r="18462" spans="30:30" x14ac:dyDescent="0.25">
      <c r="AD18462"/>
    </row>
    <row r="18463" spans="30:30" x14ac:dyDescent="0.25">
      <c r="AD18463"/>
    </row>
    <row r="18464" spans="30:30" x14ac:dyDescent="0.25">
      <c r="AD18464"/>
    </row>
    <row r="18465" spans="30:30" x14ac:dyDescent="0.25">
      <c r="AD18465"/>
    </row>
    <row r="18466" spans="30:30" x14ac:dyDescent="0.25">
      <c r="AD18466"/>
    </row>
    <row r="18467" spans="30:30" x14ac:dyDescent="0.25">
      <c r="AD18467"/>
    </row>
    <row r="18468" spans="30:30" x14ac:dyDescent="0.25">
      <c r="AD18468"/>
    </row>
    <row r="18469" spans="30:30" x14ac:dyDescent="0.25">
      <c r="AD18469"/>
    </row>
    <row r="18470" spans="30:30" x14ac:dyDescent="0.25">
      <c r="AD18470"/>
    </row>
    <row r="18471" spans="30:30" x14ac:dyDescent="0.25">
      <c r="AD18471"/>
    </row>
    <row r="18472" spans="30:30" x14ac:dyDescent="0.25">
      <c r="AD18472"/>
    </row>
    <row r="18473" spans="30:30" x14ac:dyDescent="0.25">
      <c r="AD18473"/>
    </row>
    <row r="18474" spans="30:30" x14ac:dyDescent="0.25">
      <c r="AD18474"/>
    </row>
    <row r="18475" spans="30:30" x14ac:dyDescent="0.25">
      <c r="AD18475"/>
    </row>
    <row r="18476" spans="30:30" x14ac:dyDescent="0.25">
      <c r="AD18476"/>
    </row>
    <row r="18477" spans="30:30" x14ac:dyDescent="0.25">
      <c r="AD18477"/>
    </row>
    <row r="18478" spans="30:30" x14ac:dyDescent="0.25">
      <c r="AD18478"/>
    </row>
    <row r="18479" spans="30:30" x14ac:dyDescent="0.25">
      <c r="AD18479"/>
    </row>
    <row r="18480" spans="30:30" x14ac:dyDescent="0.25">
      <c r="AD18480"/>
    </row>
    <row r="18481" spans="30:30" x14ac:dyDescent="0.25">
      <c r="AD18481"/>
    </row>
    <row r="18482" spans="30:30" x14ac:dyDescent="0.25">
      <c r="AD18482"/>
    </row>
    <row r="18483" spans="30:30" x14ac:dyDescent="0.25">
      <c r="AD18483"/>
    </row>
    <row r="18484" spans="30:30" x14ac:dyDescent="0.25">
      <c r="AD18484"/>
    </row>
    <row r="18485" spans="30:30" x14ac:dyDescent="0.25">
      <c r="AD18485"/>
    </row>
    <row r="18486" spans="30:30" x14ac:dyDescent="0.25">
      <c r="AD18486"/>
    </row>
    <row r="18487" spans="30:30" x14ac:dyDescent="0.25">
      <c r="AD18487"/>
    </row>
    <row r="18488" spans="30:30" x14ac:dyDescent="0.25">
      <c r="AD18488"/>
    </row>
    <row r="18489" spans="30:30" x14ac:dyDescent="0.25">
      <c r="AD18489"/>
    </row>
    <row r="18490" spans="30:30" x14ac:dyDescent="0.25">
      <c r="AD18490"/>
    </row>
    <row r="18491" spans="30:30" x14ac:dyDescent="0.25">
      <c r="AD18491"/>
    </row>
    <row r="18492" spans="30:30" x14ac:dyDescent="0.25">
      <c r="AD18492"/>
    </row>
    <row r="18493" spans="30:30" x14ac:dyDescent="0.25">
      <c r="AD18493"/>
    </row>
    <row r="18494" spans="30:30" x14ac:dyDescent="0.25">
      <c r="AD18494"/>
    </row>
    <row r="18495" spans="30:30" x14ac:dyDescent="0.25">
      <c r="AD18495"/>
    </row>
    <row r="18496" spans="30:30" x14ac:dyDescent="0.25">
      <c r="AD18496"/>
    </row>
    <row r="18497" spans="30:30" x14ac:dyDescent="0.25">
      <c r="AD18497"/>
    </row>
    <row r="18498" spans="30:30" x14ac:dyDescent="0.25">
      <c r="AD18498"/>
    </row>
    <row r="18499" spans="30:30" x14ac:dyDescent="0.25">
      <c r="AD18499"/>
    </row>
    <row r="18500" spans="30:30" x14ac:dyDescent="0.25">
      <c r="AD18500"/>
    </row>
    <row r="18501" spans="30:30" x14ac:dyDescent="0.25">
      <c r="AD18501"/>
    </row>
    <row r="18502" spans="30:30" x14ac:dyDescent="0.25">
      <c r="AD18502"/>
    </row>
    <row r="18503" spans="30:30" x14ac:dyDescent="0.25">
      <c r="AD18503"/>
    </row>
    <row r="18504" spans="30:30" x14ac:dyDescent="0.25">
      <c r="AD18504"/>
    </row>
    <row r="18505" spans="30:30" x14ac:dyDescent="0.25">
      <c r="AD18505"/>
    </row>
    <row r="18506" spans="30:30" x14ac:dyDescent="0.25">
      <c r="AD18506"/>
    </row>
    <row r="18507" spans="30:30" x14ac:dyDescent="0.25">
      <c r="AD18507"/>
    </row>
    <row r="18508" spans="30:30" x14ac:dyDescent="0.25">
      <c r="AD18508"/>
    </row>
    <row r="18509" spans="30:30" x14ac:dyDescent="0.25">
      <c r="AD18509"/>
    </row>
    <row r="18510" spans="30:30" x14ac:dyDescent="0.25">
      <c r="AD18510"/>
    </row>
    <row r="18511" spans="30:30" x14ac:dyDescent="0.25">
      <c r="AD18511"/>
    </row>
    <row r="18512" spans="30:30" x14ac:dyDescent="0.25">
      <c r="AD18512"/>
    </row>
    <row r="18513" spans="30:30" x14ac:dyDescent="0.25">
      <c r="AD18513"/>
    </row>
    <row r="18514" spans="30:30" x14ac:dyDescent="0.25">
      <c r="AD18514"/>
    </row>
    <row r="18515" spans="30:30" x14ac:dyDescent="0.25">
      <c r="AD18515"/>
    </row>
    <row r="18516" spans="30:30" x14ac:dyDescent="0.25">
      <c r="AD18516"/>
    </row>
    <row r="18517" spans="30:30" x14ac:dyDescent="0.25">
      <c r="AD18517"/>
    </row>
    <row r="18518" spans="30:30" x14ac:dyDescent="0.25">
      <c r="AD18518"/>
    </row>
    <row r="18519" spans="30:30" x14ac:dyDescent="0.25">
      <c r="AD18519"/>
    </row>
    <row r="18520" spans="30:30" x14ac:dyDescent="0.25">
      <c r="AD18520"/>
    </row>
    <row r="18521" spans="30:30" x14ac:dyDescent="0.25">
      <c r="AD18521"/>
    </row>
    <row r="18522" spans="30:30" x14ac:dyDescent="0.25">
      <c r="AD18522"/>
    </row>
    <row r="18523" spans="30:30" x14ac:dyDescent="0.25">
      <c r="AD18523"/>
    </row>
    <row r="18524" spans="30:30" x14ac:dyDescent="0.25">
      <c r="AD18524"/>
    </row>
    <row r="18525" spans="30:30" x14ac:dyDescent="0.25">
      <c r="AD18525"/>
    </row>
    <row r="18526" spans="30:30" x14ac:dyDescent="0.25">
      <c r="AD18526"/>
    </row>
    <row r="18527" spans="30:30" x14ac:dyDescent="0.25">
      <c r="AD18527"/>
    </row>
    <row r="18528" spans="30:30" x14ac:dyDescent="0.25">
      <c r="AD18528"/>
    </row>
    <row r="18529" spans="30:30" x14ac:dyDescent="0.25">
      <c r="AD18529"/>
    </row>
    <row r="18530" spans="30:30" x14ac:dyDescent="0.25">
      <c r="AD18530"/>
    </row>
    <row r="18531" spans="30:30" x14ac:dyDescent="0.25">
      <c r="AD18531"/>
    </row>
    <row r="18532" spans="30:30" x14ac:dyDescent="0.25">
      <c r="AD18532"/>
    </row>
    <row r="18533" spans="30:30" x14ac:dyDescent="0.25">
      <c r="AD18533"/>
    </row>
    <row r="18534" spans="30:30" x14ac:dyDescent="0.25">
      <c r="AD18534"/>
    </row>
    <row r="18535" spans="30:30" x14ac:dyDescent="0.25">
      <c r="AD18535"/>
    </row>
    <row r="18536" spans="30:30" x14ac:dyDescent="0.25">
      <c r="AD18536"/>
    </row>
    <row r="18537" spans="30:30" x14ac:dyDescent="0.25">
      <c r="AD18537"/>
    </row>
    <row r="18538" spans="30:30" x14ac:dyDescent="0.25">
      <c r="AD18538"/>
    </row>
    <row r="18539" spans="30:30" x14ac:dyDescent="0.25">
      <c r="AD18539"/>
    </row>
    <row r="18540" spans="30:30" x14ac:dyDescent="0.25">
      <c r="AD18540"/>
    </row>
    <row r="18541" spans="30:30" x14ac:dyDescent="0.25">
      <c r="AD18541"/>
    </row>
    <row r="18542" spans="30:30" x14ac:dyDescent="0.25">
      <c r="AD18542"/>
    </row>
    <row r="18543" spans="30:30" x14ac:dyDescent="0.25">
      <c r="AD18543"/>
    </row>
    <row r="18544" spans="30:30" x14ac:dyDescent="0.25">
      <c r="AD18544"/>
    </row>
    <row r="18545" spans="30:30" x14ac:dyDescent="0.25">
      <c r="AD18545"/>
    </row>
    <row r="18546" spans="30:30" x14ac:dyDescent="0.25">
      <c r="AD18546"/>
    </row>
    <row r="18547" spans="30:30" x14ac:dyDescent="0.25">
      <c r="AD18547"/>
    </row>
    <row r="18548" spans="30:30" x14ac:dyDescent="0.25">
      <c r="AD18548"/>
    </row>
    <row r="18549" spans="30:30" x14ac:dyDescent="0.25">
      <c r="AD18549"/>
    </row>
    <row r="18550" spans="30:30" x14ac:dyDescent="0.25">
      <c r="AD18550"/>
    </row>
    <row r="18551" spans="30:30" x14ac:dyDescent="0.25">
      <c r="AD18551"/>
    </row>
    <row r="18552" spans="30:30" x14ac:dyDescent="0.25">
      <c r="AD18552"/>
    </row>
    <row r="18553" spans="30:30" x14ac:dyDescent="0.25">
      <c r="AD18553"/>
    </row>
    <row r="18554" spans="30:30" x14ac:dyDescent="0.25">
      <c r="AD18554"/>
    </row>
    <row r="18555" spans="30:30" x14ac:dyDescent="0.25">
      <c r="AD18555"/>
    </row>
    <row r="18556" spans="30:30" x14ac:dyDescent="0.25">
      <c r="AD18556"/>
    </row>
    <row r="18557" spans="30:30" x14ac:dyDescent="0.25">
      <c r="AD18557"/>
    </row>
    <row r="18558" spans="30:30" x14ac:dyDescent="0.25">
      <c r="AD18558"/>
    </row>
    <row r="18559" spans="30:30" x14ac:dyDescent="0.25">
      <c r="AD18559"/>
    </row>
    <row r="18560" spans="30:30" x14ac:dyDescent="0.25">
      <c r="AD18560"/>
    </row>
    <row r="18561" spans="30:30" x14ac:dyDescent="0.25">
      <c r="AD18561"/>
    </row>
    <row r="18562" spans="30:30" x14ac:dyDescent="0.25">
      <c r="AD18562"/>
    </row>
    <row r="18563" spans="30:30" x14ac:dyDescent="0.25">
      <c r="AD18563"/>
    </row>
    <row r="18564" spans="30:30" x14ac:dyDescent="0.25">
      <c r="AD18564"/>
    </row>
    <row r="18565" spans="30:30" x14ac:dyDescent="0.25">
      <c r="AD18565"/>
    </row>
    <row r="18566" spans="30:30" x14ac:dyDescent="0.25">
      <c r="AD18566"/>
    </row>
    <row r="18567" spans="30:30" x14ac:dyDescent="0.25">
      <c r="AD18567"/>
    </row>
    <row r="18568" spans="30:30" x14ac:dyDescent="0.25">
      <c r="AD18568"/>
    </row>
    <row r="18569" spans="30:30" x14ac:dyDescent="0.25">
      <c r="AD18569"/>
    </row>
    <row r="18570" spans="30:30" x14ac:dyDescent="0.25">
      <c r="AD18570"/>
    </row>
    <row r="18571" spans="30:30" x14ac:dyDescent="0.25">
      <c r="AD18571"/>
    </row>
    <row r="18572" spans="30:30" x14ac:dyDescent="0.25">
      <c r="AD18572"/>
    </row>
    <row r="18573" spans="30:30" x14ac:dyDescent="0.25">
      <c r="AD18573"/>
    </row>
    <row r="18574" spans="30:30" x14ac:dyDescent="0.25">
      <c r="AD18574"/>
    </row>
    <row r="18575" spans="30:30" x14ac:dyDescent="0.25">
      <c r="AD18575"/>
    </row>
    <row r="18576" spans="30:30" x14ac:dyDescent="0.25">
      <c r="AD18576"/>
    </row>
    <row r="18577" spans="30:30" x14ac:dyDescent="0.25">
      <c r="AD18577"/>
    </row>
    <row r="18578" spans="30:30" x14ac:dyDescent="0.25">
      <c r="AD18578"/>
    </row>
    <row r="18579" spans="30:30" x14ac:dyDescent="0.25">
      <c r="AD18579"/>
    </row>
    <row r="18580" spans="30:30" x14ac:dyDescent="0.25">
      <c r="AD18580"/>
    </row>
    <row r="18581" spans="30:30" x14ac:dyDescent="0.25">
      <c r="AD18581"/>
    </row>
    <row r="18582" spans="30:30" x14ac:dyDescent="0.25">
      <c r="AD18582"/>
    </row>
    <row r="18583" spans="30:30" x14ac:dyDescent="0.25">
      <c r="AD18583"/>
    </row>
    <row r="18584" spans="30:30" x14ac:dyDescent="0.25">
      <c r="AD18584"/>
    </row>
    <row r="18585" spans="30:30" x14ac:dyDescent="0.25">
      <c r="AD18585"/>
    </row>
    <row r="18586" spans="30:30" x14ac:dyDescent="0.25">
      <c r="AD18586"/>
    </row>
    <row r="18587" spans="30:30" x14ac:dyDescent="0.25">
      <c r="AD18587"/>
    </row>
    <row r="18588" spans="30:30" x14ac:dyDescent="0.25">
      <c r="AD18588"/>
    </row>
    <row r="18589" spans="30:30" x14ac:dyDescent="0.25">
      <c r="AD18589"/>
    </row>
    <row r="18590" spans="30:30" x14ac:dyDescent="0.25">
      <c r="AD18590"/>
    </row>
    <row r="18591" spans="30:30" x14ac:dyDescent="0.25">
      <c r="AD18591"/>
    </row>
    <row r="18592" spans="30:30" x14ac:dyDescent="0.25">
      <c r="AD18592"/>
    </row>
    <row r="18593" spans="30:30" x14ac:dyDescent="0.25">
      <c r="AD18593"/>
    </row>
    <row r="18594" spans="30:30" x14ac:dyDescent="0.25">
      <c r="AD18594"/>
    </row>
    <row r="18595" spans="30:30" x14ac:dyDescent="0.25">
      <c r="AD18595"/>
    </row>
    <row r="18596" spans="30:30" x14ac:dyDescent="0.25">
      <c r="AD18596"/>
    </row>
    <row r="18597" spans="30:30" x14ac:dyDescent="0.25">
      <c r="AD18597"/>
    </row>
    <row r="18598" spans="30:30" x14ac:dyDescent="0.25">
      <c r="AD18598"/>
    </row>
    <row r="18599" spans="30:30" x14ac:dyDescent="0.25">
      <c r="AD18599"/>
    </row>
    <row r="18600" spans="30:30" x14ac:dyDescent="0.25">
      <c r="AD18600"/>
    </row>
    <row r="18601" spans="30:30" x14ac:dyDescent="0.25">
      <c r="AD18601"/>
    </row>
    <row r="18602" spans="30:30" x14ac:dyDescent="0.25">
      <c r="AD18602"/>
    </row>
    <row r="18603" spans="30:30" x14ac:dyDescent="0.25">
      <c r="AD18603"/>
    </row>
    <row r="18604" spans="30:30" x14ac:dyDescent="0.25">
      <c r="AD18604"/>
    </row>
    <row r="18605" spans="30:30" x14ac:dyDescent="0.25">
      <c r="AD18605"/>
    </row>
    <row r="18606" spans="30:30" x14ac:dyDescent="0.25">
      <c r="AD18606"/>
    </row>
    <row r="18607" spans="30:30" x14ac:dyDescent="0.25">
      <c r="AD18607"/>
    </row>
    <row r="18608" spans="30:30" x14ac:dyDescent="0.25">
      <c r="AD18608"/>
    </row>
    <row r="18609" spans="30:30" x14ac:dyDescent="0.25">
      <c r="AD18609"/>
    </row>
    <row r="18610" spans="30:30" x14ac:dyDescent="0.25">
      <c r="AD18610"/>
    </row>
    <row r="18611" spans="30:30" x14ac:dyDescent="0.25">
      <c r="AD18611"/>
    </row>
    <row r="18612" spans="30:30" x14ac:dyDescent="0.25">
      <c r="AD18612"/>
    </row>
    <row r="18613" spans="30:30" x14ac:dyDescent="0.25">
      <c r="AD18613"/>
    </row>
    <row r="18614" spans="30:30" x14ac:dyDescent="0.25">
      <c r="AD18614"/>
    </row>
    <row r="18615" spans="30:30" x14ac:dyDescent="0.25">
      <c r="AD18615"/>
    </row>
    <row r="18616" spans="30:30" x14ac:dyDescent="0.25">
      <c r="AD18616"/>
    </row>
    <row r="18617" spans="30:30" x14ac:dyDescent="0.25">
      <c r="AD18617"/>
    </row>
    <row r="18618" spans="30:30" x14ac:dyDescent="0.25">
      <c r="AD18618"/>
    </row>
    <row r="18619" spans="30:30" x14ac:dyDescent="0.25">
      <c r="AD18619"/>
    </row>
    <row r="18620" spans="30:30" x14ac:dyDescent="0.25">
      <c r="AD18620"/>
    </row>
    <row r="18621" spans="30:30" x14ac:dyDescent="0.25">
      <c r="AD18621"/>
    </row>
    <row r="18622" spans="30:30" x14ac:dyDescent="0.25">
      <c r="AD18622"/>
    </row>
    <row r="18623" spans="30:30" x14ac:dyDescent="0.25">
      <c r="AD18623"/>
    </row>
    <row r="18624" spans="30:30" x14ac:dyDescent="0.25">
      <c r="AD18624"/>
    </row>
    <row r="18625" spans="30:30" x14ac:dyDescent="0.25">
      <c r="AD18625"/>
    </row>
    <row r="18626" spans="30:30" x14ac:dyDescent="0.25">
      <c r="AD18626"/>
    </row>
    <row r="18627" spans="30:30" x14ac:dyDescent="0.25">
      <c r="AD18627"/>
    </row>
    <row r="18628" spans="30:30" x14ac:dyDescent="0.25">
      <c r="AD18628"/>
    </row>
    <row r="18629" spans="30:30" x14ac:dyDescent="0.25">
      <c r="AD18629"/>
    </row>
    <row r="18630" spans="30:30" x14ac:dyDescent="0.25">
      <c r="AD18630"/>
    </row>
    <row r="18631" spans="30:30" x14ac:dyDescent="0.25">
      <c r="AD18631"/>
    </row>
    <row r="18632" spans="30:30" x14ac:dyDescent="0.25">
      <c r="AD18632"/>
    </row>
    <row r="18633" spans="30:30" x14ac:dyDescent="0.25">
      <c r="AD18633"/>
    </row>
    <row r="18634" spans="30:30" x14ac:dyDescent="0.25">
      <c r="AD18634"/>
    </row>
    <row r="18635" spans="30:30" x14ac:dyDescent="0.25">
      <c r="AD18635"/>
    </row>
    <row r="18636" spans="30:30" x14ac:dyDescent="0.25">
      <c r="AD18636"/>
    </row>
    <row r="18637" spans="30:30" x14ac:dyDescent="0.25">
      <c r="AD18637"/>
    </row>
    <row r="18638" spans="30:30" x14ac:dyDescent="0.25">
      <c r="AD18638"/>
    </row>
    <row r="18639" spans="30:30" x14ac:dyDescent="0.25">
      <c r="AD18639"/>
    </row>
    <row r="18640" spans="30:30" x14ac:dyDescent="0.25">
      <c r="AD18640"/>
    </row>
    <row r="18641" spans="30:30" x14ac:dyDescent="0.25">
      <c r="AD18641"/>
    </row>
    <row r="18642" spans="30:30" x14ac:dyDescent="0.25">
      <c r="AD18642"/>
    </row>
    <row r="18643" spans="30:30" x14ac:dyDescent="0.25">
      <c r="AD18643"/>
    </row>
    <row r="18644" spans="30:30" x14ac:dyDescent="0.25">
      <c r="AD18644"/>
    </row>
    <row r="18645" spans="30:30" x14ac:dyDescent="0.25">
      <c r="AD18645"/>
    </row>
    <row r="18646" spans="30:30" x14ac:dyDescent="0.25">
      <c r="AD18646"/>
    </row>
    <row r="18647" spans="30:30" x14ac:dyDescent="0.25">
      <c r="AD18647"/>
    </row>
    <row r="18648" spans="30:30" x14ac:dyDescent="0.25">
      <c r="AD18648"/>
    </row>
    <row r="18649" spans="30:30" x14ac:dyDescent="0.25">
      <c r="AD18649"/>
    </row>
    <row r="18650" spans="30:30" x14ac:dyDescent="0.25">
      <c r="AD18650"/>
    </row>
    <row r="18651" spans="30:30" x14ac:dyDescent="0.25">
      <c r="AD18651"/>
    </row>
    <row r="18652" spans="30:30" x14ac:dyDescent="0.25">
      <c r="AD18652"/>
    </row>
    <row r="18653" spans="30:30" x14ac:dyDescent="0.25">
      <c r="AD18653"/>
    </row>
    <row r="18654" spans="30:30" x14ac:dyDescent="0.25">
      <c r="AD18654"/>
    </row>
    <row r="18655" spans="30:30" x14ac:dyDescent="0.25">
      <c r="AD18655"/>
    </row>
    <row r="18656" spans="30:30" x14ac:dyDescent="0.25">
      <c r="AD18656"/>
    </row>
    <row r="18657" spans="30:30" x14ac:dyDescent="0.25">
      <c r="AD18657"/>
    </row>
    <row r="18658" spans="30:30" x14ac:dyDescent="0.25">
      <c r="AD18658"/>
    </row>
    <row r="18659" spans="30:30" x14ac:dyDescent="0.25">
      <c r="AD18659"/>
    </row>
    <row r="18660" spans="30:30" x14ac:dyDescent="0.25">
      <c r="AD18660"/>
    </row>
    <row r="18661" spans="30:30" x14ac:dyDescent="0.25">
      <c r="AD18661"/>
    </row>
    <row r="18662" spans="30:30" x14ac:dyDescent="0.25">
      <c r="AD18662"/>
    </row>
    <row r="18663" spans="30:30" x14ac:dyDescent="0.25">
      <c r="AD18663"/>
    </row>
    <row r="18664" spans="30:30" x14ac:dyDescent="0.25">
      <c r="AD18664"/>
    </row>
    <row r="18665" spans="30:30" x14ac:dyDescent="0.25">
      <c r="AD18665"/>
    </row>
    <row r="18666" spans="30:30" x14ac:dyDescent="0.25">
      <c r="AD18666"/>
    </row>
    <row r="18667" spans="30:30" x14ac:dyDescent="0.25">
      <c r="AD18667"/>
    </row>
    <row r="18668" spans="30:30" x14ac:dyDescent="0.25">
      <c r="AD18668"/>
    </row>
    <row r="18669" spans="30:30" x14ac:dyDescent="0.25">
      <c r="AD18669"/>
    </row>
    <row r="18670" spans="30:30" x14ac:dyDescent="0.25">
      <c r="AD18670"/>
    </row>
    <row r="18671" spans="30:30" x14ac:dyDescent="0.25">
      <c r="AD18671"/>
    </row>
    <row r="18672" spans="30:30" x14ac:dyDescent="0.25">
      <c r="AD18672"/>
    </row>
    <row r="18673" spans="30:30" x14ac:dyDescent="0.25">
      <c r="AD18673"/>
    </row>
    <row r="18674" spans="30:30" x14ac:dyDescent="0.25">
      <c r="AD18674"/>
    </row>
    <row r="18675" spans="30:30" x14ac:dyDescent="0.25">
      <c r="AD18675"/>
    </row>
    <row r="18676" spans="30:30" x14ac:dyDescent="0.25">
      <c r="AD18676"/>
    </row>
    <row r="18677" spans="30:30" x14ac:dyDescent="0.25">
      <c r="AD18677"/>
    </row>
    <row r="18678" spans="30:30" x14ac:dyDescent="0.25">
      <c r="AD18678"/>
    </row>
    <row r="18679" spans="30:30" x14ac:dyDescent="0.25">
      <c r="AD18679"/>
    </row>
    <row r="18680" spans="30:30" x14ac:dyDescent="0.25">
      <c r="AD18680"/>
    </row>
    <row r="18681" spans="30:30" x14ac:dyDescent="0.25">
      <c r="AD18681"/>
    </row>
    <row r="18682" spans="30:30" x14ac:dyDescent="0.25">
      <c r="AD18682"/>
    </row>
    <row r="18683" spans="30:30" x14ac:dyDescent="0.25">
      <c r="AD18683"/>
    </row>
    <row r="18684" spans="30:30" x14ac:dyDescent="0.25">
      <c r="AD18684"/>
    </row>
    <row r="18685" spans="30:30" x14ac:dyDescent="0.25">
      <c r="AD18685"/>
    </row>
    <row r="18686" spans="30:30" x14ac:dyDescent="0.25">
      <c r="AD18686"/>
    </row>
    <row r="18687" spans="30:30" x14ac:dyDescent="0.25">
      <c r="AD18687"/>
    </row>
    <row r="18688" spans="30:30" x14ac:dyDescent="0.25">
      <c r="AD18688"/>
    </row>
    <row r="18689" spans="30:30" x14ac:dyDescent="0.25">
      <c r="AD18689"/>
    </row>
    <row r="18690" spans="30:30" x14ac:dyDescent="0.25">
      <c r="AD18690"/>
    </row>
    <row r="18691" spans="30:30" x14ac:dyDescent="0.25">
      <c r="AD18691"/>
    </row>
    <row r="18692" spans="30:30" x14ac:dyDescent="0.25">
      <c r="AD18692"/>
    </row>
    <row r="18693" spans="30:30" x14ac:dyDescent="0.25">
      <c r="AD18693"/>
    </row>
    <row r="18694" spans="30:30" x14ac:dyDescent="0.25">
      <c r="AD18694"/>
    </row>
    <row r="18695" spans="30:30" x14ac:dyDescent="0.25">
      <c r="AD18695"/>
    </row>
    <row r="18696" spans="30:30" x14ac:dyDescent="0.25">
      <c r="AD18696"/>
    </row>
    <row r="18697" spans="30:30" x14ac:dyDescent="0.25">
      <c r="AD18697"/>
    </row>
    <row r="18698" spans="30:30" x14ac:dyDescent="0.25">
      <c r="AD18698"/>
    </row>
    <row r="18699" spans="30:30" x14ac:dyDescent="0.25">
      <c r="AD18699"/>
    </row>
    <row r="18700" spans="30:30" x14ac:dyDescent="0.25">
      <c r="AD18700"/>
    </row>
    <row r="18701" spans="30:30" x14ac:dyDescent="0.25">
      <c r="AD18701"/>
    </row>
    <row r="18702" spans="30:30" x14ac:dyDescent="0.25">
      <c r="AD18702"/>
    </row>
    <row r="18703" spans="30:30" x14ac:dyDescent="0.25">
      <c r="AD18703"/>
    </row>
    <row r="18704" spans="30:30" x14ac:dyDescent="0.25">
      <c r="AD18704"/>
    </row>
    <row r="18705" spans="30:30" x14ac:dyDescent="0.25">
      <c r="AD18705"/>
    </row>
    <row r="18706" spans="30:30" x14ac:dyDescent="0.25">
      <c r="AD18706"/>
    </row>
    <row r="18707" spans="30:30" x14ac:dyDescent="0.25">
      <c r="AD18707"/>
    </row>
    <row r="18708" spans="30:30" x14ac:dyDescent="0.25">
      <c r="AD18708"/>
    </row>
    <row r="18709" spans="30:30" x14ac:dyDescent="0.25">
      <c r="AD18709"/>
    </row>
    <row r="18710" spans="30:30" x14ac:dyDescent="0.25">
      <c r="AD18710"/>
    </row>
    <row r="18711" spans="30:30" x14ac:dyDescent="0.25">
      <c r="AD18711"/>
    </row>
    <row r="18712" spans="30:30" x14ac:dyDescent="0.25">
      <c r="AD18712"/>
    </row>
    <row r="18713" spans="30:30" x14ac:dyDescent="0.25">
      <c r="AD18713"/>
    </row>
    <row r="18714" spans="30:30" x14ac:dyDescent="0.25">
      <c r="AD18714"/>
    </row>
    <row r="18715" spans="30:30" x14ac:dyDescent="0.25">
      <c r="AD18715"/>
    </row>
    <row r="18716" spans="30:30" x14ac:dyDescent="0.25">
      <c r="AD18716"/>
    </row>
    <row r="18717" spans="30:30" x14ac:dyDescent="0.25">
      <c r="AD18717"/>
    </row>
    <row r="18718" spans="30:30" x14ac:dyDescent="0.25">
      <c r="AD18718"/>
    </row>
    <row r="18719" spans="30:30" x14ac:dyDescent="0.25">
      <c r="AD18719"/>
    </row>
    <row r="18720" spans="30:30" x14ac:dyDescent="0.25">
      <c r="AD18720"/>
    </row>
    <row r="18721" spans="30:30" x14ac:dyDescent="0.25">
      <c r="AD18721"/>
    </row>
    <row r="18722" spans="30:30" x14ac:dyDescent="0.25">
      <c r="AD18722"/>
    </row>
    <row r="18723" spans="30:30" x14ac:dyDescent="0.25">
      <c r="AD18723"/>
    </row>
    <row r="18724" spans="30:30" x14ac:dyDescent="0.25">
      <c r="AD18724"/>
    </row>
    <row r="18725" spans="30:30" x14ac:dyDescent="0.25">
      <c r="AD18725"/>
    </row>
    <row r="18726" spans="30:30" x14ac:dyDescent="0.25">
      <c r="AD18726"/>
    </row>
    <row r="18727" spans="30:30" x14ac:dyDescent="0.25">
      <c r="AD18727"/>
    </row>
    <row r="18728" spans="30:30" x14ac:dyDescent="0.25">
      <c r="AD18728"/>
    </row>
    <row r="18729" spans="30:30" x14ac:dyDescent="0.25">
      <c r="AD18729"/>
    </row>
    <row r="18730" spans="30:30" x14ac:dyDescent="0.25">
      <c r="AD18730"/>
    </row>
    <row r="18731" spans="30:30" x14ac:dyDescent="0.25">
      <c r="AD18731"/>
    </row>
    <row r="18732" spans="30:30" x14ac:dyDescent="0.25">
      <c r="AD18732"/>
    </row>
    <row r="18733" spans="30:30" x14ac:dyDescent="0.25">
      <c r="AD18733"/>
    </row>
    <row r="18734" spans="30:30" x14ac:dyDescent="0.25">
      <c r="AD18734"/>
    </row>
    <row r="18735" spans="30:30" x14ac:dyDescent="0.25">
      <c r="AD18735"/>
    </row>
    <row r="18736" spans="30:30" x14ac:dyDescent="0.25">
      <c r="AD18736"/>
    </row>
    <row r="18737" spans="30:30" x14ac:dyDescent="0.25">
      <c r="AD18737"/>
    </row>
    <row r="18738" spans="30:30" x14ac:dyDescent="0.25">
      <c r="AD18738"/>
    </row>
    <row r="18739" spans="30:30" x14ac:dyDescent="0.25">
      <c r="AD18739"/>
    </row>
    <row r="18740" spans="30:30" x14ac:dyDescent="0.25">
      <c r="AD18740"/>
    </row>
    <row r="18741" spans="30:30" x14ac:dyDescent="0.25">
      <c r="AD18741"/>
    </row>
    <row r="18742" spans="30:30" x14ac:dyDescent="0.25">
      <c r="AD18742"/>
    </row>
    <row r="18743" spans="30:30" x14ac:dyDescent="0.25">
      <c r="AD18743"/>
    </row>
    <row r="18744" spans="30:30" x14ac:dyDescent="0.25">
      <c r="AD18744"/>
    </row>
    <row r="18745" spans="30:30" x14ac:dyDescent="0.25">
      <c r="AD18745"/>
    </row>
    <row r="18746" spans="30:30" x14ac:dyDescent="0.25">
      <c r="AD18746"/>
    </row>
    <row r="18747" spans="30:30" x14ac:dyDescent="0.25">
      <c r="AD18747"/>
    </row>
    <row r="18748" spans="30:30" x14ac:dyDescent="0.25">
      <c r="AD18748"/>
    </row>
    <row r="18749" spans="30:30" x14ac:dyDescent="0.25">
      <c r="AD18749"/>
    </row>
    <row r="18750" spans="30:30" x14ac:dyDescent="0.25">
      <c r="AD18750"/>
    </row>
    <row r="18751" spans="30:30" x14ac:dyDescent="0.25">
      <c r="AD18751"/>
    </row>
    <row r="18752" spans="30:30" x14ac:dyDescent="0.25">
      <c r="AD18752"/>
    </row>
    <row r="18753" spans="30:30" x14ac:dyDescent="0.25">
      <c r="AD18753"/>
    </row>
    <row r="18754" spans="30:30" x14ac:dyDescent="0.25">
      <c r="AD18754"/>
    </row>
    <row r="18755" spans="30:30" x14ac:dyDescent="0.25">
      <c r="AD18755"/>
    </row>
    <row r="18756" spans="30:30" x14ac:dyDescent="0.25">
      <c r="AD18756"/>
    </row>
    <row r="18757" spans="30:30" x14ac:dyDescent="0.25">
      <c r="AD18757"/>
    </row>
    <row r="18758" spans="30:30" x14ac:dyDescent="0.25">
      <c r="AD18758"/>
    </row>
    <row r="18759" spans="30:30" x14ac:dyDescent="0.25">
      <c r="AD18759"/>
    </row>
    <row r="18760" spans="30:30" x14ac:dyDescent="0.25">
      <c r="AD18760"/>
    </row>
    <row r="18761" spans="30:30" x14ac:dyDescent="0.25">
      <c r="AD18761"/>
    </row>
    <row r="18762" spans="30:30" x14ac:dyDescent="0.25">
      <c r="AD18762"/>
    </row>
    <row r="18763" spans="30:30" x14ac:dyDescent="0.25">
      <c r="AD18763"/>
    </row>
    <row r="18764" spans="30:30" x14ac:dyDescent="0.25">
      <c r="AD18764"/>
    </row>
    <row r="18765" spans="30:30" x14ac:dyDescent="0.25">
      <c r="AD18765"/>
    </row>
    <row r="18766" spans="30:30" x14ac:dyDescent="0.25">
      <c r="AD18766"/>
    </row>
    <row r="18767" spans="30:30" x14ac:dyDescent="0.25">
      <c r="AD18767"/>
    </row>
    <row r="18768" spans="30:30" x14ac:dyDescent="0.25">
      <c r="AD18768"/>
    </row>
    <row r="18769" spans="30:30" x14ac:dyDescent="0.25">
      <c r="AD18769"/>
    </row>
    <row r="18770" spans="30:30" x14ac:dyDescent="0.25">
      <c r="AD18770"/>
    </row>
    <row r="18771" spans="30:30" x14ac:dyDescent="0.25">
      <c r="AD18771"/>
    </row>
    <row r="18772" spans="30:30" x14ac:dyDescent="0.25">
      <c r="AD18772"/>
    </row>
    <row r="18773" spans="30:30" x14ac:dyDescent="0.25">
      <c r="AD18773"/>
    </row>
    <row r="18774" spans="30:30" x14ac:dyDescent="0.25">
      <c r="AD18774"/>
    </row>
    <row r="18775" spans="30:30" x14ac:dyDescent="0.25">
      <c r="AD18775"/>
    </row>
    <row r="18776" spans="30:30" x14ac:dyDescent="0.25">
      <c r="AD18776"/>
    </row>
    <row r="18777" spans="30:30" x14ac:dyDescent="0.25">
      <c r="AD18777"/>
    </row>
    <row r="18778" spans="30:30" x14ac:dyDescent="0.25">
      <c r="AD18778"/>
    </row>
    <row r="18779" spans="30:30" x14ac:dyDescent="0.25">
      <c r="AD18779"/>
    </row>
    <row r="18780" spans="30:30" x14ac:dyDescent="0.25">
      <c r="AD18780"/>
    </row>
    <row r="18781" spans="30:30" x14ac:dyDescent="0.25">
      <c r="AD18781"/>
    </row>
    <row r="18782" spans="30:30" x14ac:dyDescent="0.25">
      <c r="AD18782"/>
    </row>
    <row r="18783" spans="30:30" x14ac:dyDescent="0.25">
      <c r="AD18783"/>
    </row>
    <row r="18784" spans="30:30" x14ac:dyDescent="0.25">
      <c r="AD18784"/>
    </row>
    <row r="18785" spans="30:30" x14ac:dyDescent="0.25">
      <c r="AD18785"/>
    </row>
    <row r="18786" spans="30:30" x14ac:dyDescent="0.25">
      <c r="AD18786"/>
    </row>
    <row r="18787" spans="30:30" x14ac:dyDescent="0.25">
      <c r="AD18787"/>
    </row>
    <row r="18788" spans="30:30" x14ac:dyDescent="0.25">
      <c r="AD18788"/>
    </row>
    <row r="18789" spans="30:30" x14ac:dyDescent="0.25">
      <c r="AD18789"/>
    </row>
    <row r="18790" spans="30:30" x14ac:dyDescent="0.25">
      <c r="AD18790"/>
    </row>
    <row r="18791" spans="30:30" x14ac:dyDescent="0.25">
      <c r="AD18791"/>
    </row>
    <row r="18792" spans="30:30" x14ac:dyDescent="0.25">
      <c r="AD18792"/>
    </row>
    <row r="18793" spans="30:30" x14ac:dyDescent="0.25">
      <c r="AD18793"/>
    </row>
    <row r="18794" spans="30:30" x14ac:dyDescent="0.25">
      <c r="AD18794"/>
    </row>
    <row r="18795" spans="30:30" x14ac:dyDescent="0.25">
      <c r="AD18795"/>
    </row>
    <row r="18796" spans="30:30" x14ac:dyDescent="0.25">
      <c r="AD18796"/>
    </row>
    <row r="18797" spans="30:30" x14ac:dyDescent="0.25">
      <c r="AD18797"/>
    </row>
    <row r="18798" spans="30:30" x14ac:dyDescent="0.25">
      <c r="AD18798"/>
    </row>
    <row r="18799" spans="30:30" x14ac:dyDescent="0.25">
      <c r="AD18799"/>
    </row>
    <row r="18800" spans="30:30" x14ac:dyDescent="0.25">
      <c r="AD18800"/>
    </row>
    <row r="18801" spans="30:30" x14ac:dyDescent="0.25">
      <c r="AD18801"/>
    </row>
    <row r="18802" spans="30:30" x14ac:dyDescent="0.25">
      <c r="AD18802"/>
    </row>
    <row r="18803" spans="30:30" x14ac:dyDescent="0.25">
      <c r="AD18803"/>
    </row>
    <row r="18804" spans="30:30" x14ac:dyDescent="0.25">
      <c r="AD18804"/>
    </row>
    <row r="18805" spans="30:30" x14ac:dyDescent="0.25">
      <c r="AD18805"/>
    </row>
    <row r="18806" spans="30:30" x14ac:dyDescent="0.25">
      <c r="AD18806"/>
    </row>
    <row r="18807" spans="30:30" x14ac:dyDescent="0.25">
      <c r="AD18807"/>
    </row>
    <row r="18808" spans="30:30" x14ac:dyDescent="0.25">
      <c r="AD18808"/>
    </row>
    <row r="18809" spans="30:30" x14ac:dyDescent="0.25">
      <c r="AD18809"/>
    </row>
    <row r="18810" spans="30:30" x14ac:dyDescent="0.25">
      <c r="AD18810"/>
    </row>
    <row r="18811" spans="30:30" x14ac:dyDescent="0.25">
      <c r="AD18811"/>
    </row>
    <row r="18812" spans="30:30" x14ac:dyDescent="0.25">
      <c r="AD18812"/>
    </row>
    <row r="18813" spans="30:30" x14ac:dyDescent="0.25">
      <c r="AD18813"/>
    </row>
    <row r="18814" spans="30:30" x14ac:dyDescent="0.25">
      <c r="AD18814"/>
    </row>
    <row r="18815" spans="30:30" x14ac:dyDescent="0.25">
      <c r="AD18815"/>
    </row>
    <row r="18816" spans="30:30" x14ac:dyDescent="0.25">
      <c r="AD18816"/>
    </row>
    <row r="18817" spans="30:30" x14ac:dyDescent="0.25">
      <c r="AD18817"/>
    </row>
    <row r="18818" spans="30:30" x14ac:dyDescent="0.25">
      <c r="AD18818"/>
    </row>
    <row r="18819" spans="30:30" x14ac:dyDescent="0.25">
      <c r="AD18819"/>
    </row>
    <row r="18820" spans="30:30" x14ac:dyDescent="0.25">
      <c r="AD18820"/>
    </row>
    <row r="18821" spans="30:30" x14ac:dyDescent="0.25">
      <c r="AD18821"/>
    </row>
    <row r="18822" spans="30:30" x14ac:dyDescent="0.25">
      <c r="AD18822"/>
    </row>
    <row r="18823" spans="30:30" x14ac:dyDescent="0.25">
      <c r="AD18823"/>
    </row>
    <row r="18824" spans="30:30" x14ac:dyDescent="0.25">
      <c r="AD18824"/>
    </row>
    <row r="18825" spans="30:30" x14ac:dyDescent="0.25">
      <c r="AD18825"/>
    </row>
    <row r="18826" spans="30:30" x14ac:dyDescent="0.25">
      <c r="AD18826"/>
    </row>
    <row r="18827" spans="30:30" x14ac:dyDescent="0.25">
      <c r="AD18827"/>
    </row>
    <row r="18828" spans="30:30" x14ac:dyDescent="0.25">
      <c r="AD18828"/>
    </row>
    <row r="18829" spans="30:30" x14ac:dyDescent="0.25">
      <c r="AD18829"/>
    </row>
    <row r="18830" spans="30:30" x14ac:dyDescent="0.25">
      <c r="AD18830"/>
    </row>
    <row r="18831" spans="30:30" x14ac:dyDescent="0.25">
      <c r="AD18831"/>
    </row>
    <row r="18832" spans="30:30" x14ac:dyDescent="0.25">
      <c r="AD18832"/>
    </row>
    <row r="18833" spans="30:30" x14ac:dyDescent="0.25">
      <c r="AD18833"/>
    </row>
    <row r="18834" spans="30:30" x14ac:dyDescent="0.25">
      <c r="AD18834"/>
    </row>
    <row r="18835" spans="30:30" x14ac:dyDescent="0.25">
      <c r="AD18835"/>
    </row>
    <row r="18836" spans="30:30" x14ac:dyDescent="0.25">
      <c r="AD18836"/>
    </row>
    <row r="18837" spans="30:30" x14ac:dyDescent="0.25">
      <c r="AD18837"/>
    </row>
    <row r="18838" spans="30:30" x14ac:dyDescent="0.25">
      <c r="AD18838"/>
    </row>
    <row r="18839" spans="30:30" x14ac:dyDescent="0.25">
      <c r="AD18839"/>
    </row>
    <row r="18840" spans="30:30" x14ac:dyDescent="0.25">
      <c r="AD18840"/>
    </row>
    <row r="18841" spans="30:30" x14ac:dyDescent="0.25">
      <c r="AD18841"/>
    </row>
    <row r="18842" spans="30:30" x14ac:dyDescent="0.25">
      <c r="AD18842"/>
    </row>
    <row r="18843" spans="30:30" x14ac:dyDescent="0.25">
      <c r="AD18843"/>
    </row>
    <row r="18844" spans="30:30" x14ac:dyDescent="0.25">
      <c r="AD18844"/>
    </row>
    <row r="18845" spans="30:30" x14ac:dyDescent="0.25">
      <c r="AD18845"/>
    </row>
    <row r="18846" spans="30:30" x14ac:dyDescent="0.25">
      <c r="AD18846"/>
    </row>
    <row r="18847" spans="30:30" x14ac:dyDescent="0.25">
      <c r="AD18847"/>
    </row>
    <row r="18848" spans="30:30" x14ac:dyDescent="0.25">
      <c r="AD18848"/>
    </row>
    <row r="18849" spans="30:30" x14ac:dyDescent="0.25">
      <c r="AD18849"/>
    </row>
    <row r="18850" spans="30:30" x14ac:dyDescent="0.25">
      <c r="AD18850"/>
    </row>
    <row r="18851" spans="30:30" x14ac:dyDescent="0.25">
      <c r="AD18851"/>
    </row>
    <row r="18852" spans="30:30" x14ac:dyDescent="0.25">
      <c r="AD18852"/>
    </row>
    <row r="18853" spans="30:30" x14ac:dyDescent="0.25">
      <c r="AD18853"/>
    </row>
    <row r="18854" spans="30:30" x14ac:dyDescent="0.25">
      <c r="AD18854"/>
    </row>
    <row r="18855" spans="30:30" x14ac:dyDescent="0.25">
      <c r="AD18855"/>
    </row>
    <row r="18856" spans="30:30" x14ac:dyDescent="0.25">
      <c r="AD18856"/>
    </row>
    <row r="18857" spans="30:30" x14ac:dyDescent="0.25">
      <c r="AD18857"/>
    </row>
    <row r="18858" spans="30:30" x14ac:dyDescent="0.25">
      <c r="AD18858"/>
    </row>
    <row r="18859" spans="30:30" x14ac:dyDescent="0.25">
      <c r="AD18859"/>
    </row>
    <row r="18860" spans="30:30" x14ac:dyDescent="0.25">
      <c r="AD18860"/>
    </row>
    <row r="18861" spans="30:30" x14ac:dyDescent="0.25">
      <c r="AD18861"/>
    </row>
    <row r="18862" spans="30:30" x14ac:dyDescent="0.25">
      <c r="AD18862"/>
    </row>
    <row r="18863" spans="30:30" x14ac:dyDescent="0.25">
      <c r="AD18863"/>
    </row>
    <row r="18864" spans="30:30" x14ac:dyDescent="0.25">
      <c r="AD18864"/>
    </row>
    <row r="18865" spans="30:30" x14ac:dyDescent="0.25">
      <c r="AD18865"/>
    </row>
    <row r="18866" spans="30:30" x14ac:dyDescent="0.25">
      <c r="AD18866"/>
    </row>
    <row r="18867" spans="30:30" x14ac:dyDescent="0.25">
      <c r="AD18867"/>
    </row>
    <row r="18868" spans="30:30" x14ac:dyDescent="0.25">
      <c r="AD18868"/>
    </row>
    <row r="18869" spans="30:30" x14ac:dyDescent="0.25">
      <c r="AD18869"/>
    </row>
    <row r="18870" spans="30:30" x14ac:dyDescent="0.25">
      <c r="AD18870"/>
    </row>
    <row r="18871" spans="30:30" x14ac:dyDescent="0.25">
      <c r="AD18871"/>
    </row>
    <row r="18872" spans="30:30" x14ac:dyDescent="0.25">
      <c r="AD18872"/>
    </row>
    <row r="18873" spans="30:30" x14ac:dyDescent="0.25">
      <c r="AD18873"/>
    </row>
    <row r="18874" spans="30:30" x14ac:dyDescent="0.25">
      <c r="AD18874"/>
    </row>
    <row r="18875" spans="30:30" x14ac:dyDescent="0.25">
      <c r="AD18875"/>
    </row>
    <row r="18876" spans="30:30" x14ac:dyDescent="0.25">
      <c r="AD18876"/>
    </row>
    <row r="18877" spans="30:30" x14ac:dyDescent="0.25">
      <c r="AD18877"/>
    </row>
    <row r="18878" spans="30:30" x14ac:dyDescent="0.25">
      <c r="AD18878"/>
    </row>
    <row r="18879" spans="30:30" x14ac:dyDescent="0.25">
      <c r="AD18879"/>
    </row>
    <row r="18880" spans="30:30" x14ac:dyDescent="0.25">
      <c r="AD18880"/>
    </row>
    <row r="18881" spans="30:30" x14ac:dyDescent="0.25">
      <c r="AD18881"/>
    </row>
    <row r="18882" spans="30:30" x14ac:dyDescent="0.25">
      <c r="AD18882"/>
    </row>
    <row r="18883" spans="30:30" x14ac:dyDescent="0.25">
      <c r="AD18883"/>
    </row>
    <row r="18884" spans="30:30" x14ac:dyDescent="0.25">
      <c r="AD18884"/>
    </row>
    <row r="18885" spans="30:30" x14ac:dyDescent="0.25">
      <c r="AD18885"/>
    </row>
    <row r="18886" spans="30:30" x14ac:dyDescent="0.25">
      <c r="AD18886"/>
    </row>
    <row r="18887" spans="30:30" x14ac:dyDescent="0.25">
      <c r="AD18887"/>
    </row>
    <row r="18888" spans="30:30" x14ac:dyDescent="0.25">
      <c r="AD18888"/>
    </row>
    <row r="18889" spans="30:30" x14ac:dyDescent="0.25">
      <c r="AD18889"/>
    </row>
    <row r="18890" spans="30:30" x14ac:dyDescent="0.25">
      <c r="AD18890"/>
    </row>
    <row r="18891" spans="30:30" x14ac:dyDescent="0.25">
      <c r="AD18891"/>
    </row>
    <row r="18892" spans="30:30" x14ac:dyDescent="0.25">
      <c r="AD18892"/>
    </row>
    <row r="18893" spans="30:30" x14ac:dyDescent="0.25">
      <c r="AD18893"/>
    </row>
    <row r="18894" spans="30:30" x14ac:dyDescent="0.25">
      <c r="AD18894"/>
    </row>
    <row r="18895" spans="30:30" x14ac:dyDescent="0.25">
      <c r="AD18895"/>
    </row>
    <row r="18896" spans="30:30" x14ac:dyDescent="0.25">
      <c r="AD18896"/>
    </row>
    <row r="18897" spans="30:30" x14ac:dyDescent="0.25">
      <c r="AD18897"/>
    </row>
    <row r="18898" spans="30:30" x14ac:dyDescent="0.25">
      <c r="AD18898"/>
    </row>
    <row r="18899" spans="30:30" x14ac:dyDescent="0.25">
      <c r="AD18899"/>
    </row>
    <row r="18900" spans="30:30" x14ac:dyDescent="0.25">
      <c r="AD18900"/>
    </row>
    <row r="18901" spans="30:30" x14ac:dyDescent="0.25">
      <c r="AD18901"/>
    </row>
    <row r="18902" spans="30:30" x14ac:dyDescent="0.25">
      <c r="AD18902"/>
    </row>
    <row r="18903" spans="30:30" x14ac:dyDescent="0.25">
      <c r="AD18903"/>
    </row>
    <row r="18904" spans="30:30" x14ac:dyDescent="0.25">
      <c r="AD18904"/>
    </row>
    <row r="18905" spans="30:30" x14ac:dyDescent="0.25">
      <c r="AD18905"/>
    </row>
    <row r="18906" spans="30:30" x14ac:dyDescent="0.25">
      <c r="AD18906"/>
    </row>
    <row r="18907" spans="30:30" x14ac:dyDescent="0.25">
      <c r="AD18907"/>
    </row>
    <row r="18908" spans="30:30" x14ac:dyDescent="0.25">
      <c r="AD18908"/>
    </row>
    <row r="18909" spans="30:30" x14ac:dyDescent="0.25">
      <c r="AD18909"/>
    </row>
    <row r="18910" spans="30:30" x14ac:dyDescent="0.25">
      <c r="AD18910"/>
    </row>
    <row r="18911" spans="30:30" x14ac:dyDescent="0.25">
      <c r="AD18911"/>
    </row>
    <row r="18912" spans="30:30" x14ac:dyDescent="0.25">
      <c r="AD18912"/>
    </row>
    <row r="18913" spans="30:30" x14ac:dyDescent="0.25">
      <c r="AD18913"/>
    </row>
    <row r="18914" spans="30:30" x14ac:dyDescent="0.25">
      <c r="AD18914"/>
    </row>
    <row r="18915" spans="30:30" x14ac:dyDescent="0.25">
      <c r="AD18915"/>
    </row>
    <row r="18916" spans="30:30" x14ac:dyDescent="0.25">
      <c r="AD18916"/>
    </row>
    <row r="18917" spans="30:30" x14ac:dyDescent="0.25">
      <c r="AD18917"/>
    </row>
    <row r="18918" spans="30:30" x14ac:dyDescent="0.25">
      <c r="AD18918"/>
    </row>
    <row r="18919" spans="30:30" x14ac:dyDescent="0.25">
      <c r="AD18919"/>
    </row>
    <row r="18920" spans="30:30" x14ac:dyDescent="0.25">
      <c r="AD18920"/>
    </row>
    <row r="18921" spans="30:30" x14ac:dyDescent="0.25">
      <c r="AD18921"/>
    </row>
    <row r="18922" spans="30:30" x14ac:dyDescent="0.25">
      <c r="AD18922"/>
    </row>
    <row r="18923" spans="30:30" x14ac:dyDescent="0.25">
      <c r="AD18923"/>
    </row>
    <row r="18924" spans="30:30" x14ac:dyDescent="0.25">
      <c r="AD18924"/>
    </row>
    <row r="18925" spans="30:30" x14ac:dyDescent="0.25">
      <c r="AD18925"/>
    </row>
    <row r="18926" spans="30:30" x14ac:dyDescent="0.25">
      <c r="AD18926"/>
    </row>
    <row r="18927" spans="30:30" x14ac:dyDescent="0.25">
      <c r="AD18927"/>
    </row>
    <row r="18928" spans="30:30" x14ac:dyDescent="0.25">
      <c r="AD18928"/>
    </row>
    <row r="18929" spans="30:30" x14ac:dyDescent="0.25">
      <c r="AD18929"/>
    </row>
    <row r="18930" spans="30:30" x14ac:dyDescent="0.25">
      <c r="AD18930"/>
    </row>
    <row r="18931" spans="30:30" x14ac:dyDescent="0.25">
      <c r="AD18931"/>
    </row>
    <row r="18932" spans="30:30" x14ac:dyDescent="0.25">
      <c r="AD18932"/>
    </row>
    <row r="18933" spans="30:30" x14ac:dyDescent="0.25">
      <c r="AD18933"/>
    </row>
    <row r="18934" spans="30:30" x14ac:dyDescent="0.25">
      <c r="AD18934"/>
    </row>
    <row r="18935" spans="30:30" x14ac:dyDescent="0.25">
      <c r="AD18935"/>
    </row>
    <row r="18936" spans="30:30" x14ac:dyDescent="0.25">
      <c r="AD18936"/>
    </row>
    <row r="18937" spans="30:30" x14ac:dyDescent="0.25">
      <c r="AD18937"/>
    </row>
    <row r="18938" spans="30:30" x14ac:dyDescent="0.25">
      <c r="AD18938"/>
    </row>
    <row r="18939" spans="30:30" x14ac:dyDescent="0.25">
      <c r="AD18939"/>
    </row>
    <row r="18940" spans="30:30" x14ac:dyDescent="0.25">
      <c r="AD18940"/>
    </row>
    <row r="18941" spans="30:30" x14ac:dyDescent="0.25">
      <c r="AD18941"/>
    </row>
    <row r="18942" spans="30:30" x14ac:dyDescent="0.25">
      <c r="AD18942"/>
    </row>
    <row r="18943" spans="30:30" x14ac:dyDescent="0.25">
      <c r="AD18943"/>
    </row>
    <row r="18944" spans="30:30" x14ac:dyDescent="0.25">
      <c r="AD18944"/>
    </row>
    <row r="18945" spans="30:30" x14ac:dyDescent="0.25">
      <c r="AD18945"/>
    </row>
    <row r="18946" spans="30:30" x14ac:dyDescent="0.25">
      <c r="AD18946"/>
    </row>
    <row r="18947" spans="30:30" x14ac:dyDescent="0.25">
      <c r="AD18947"/>
    </row>
    <row r="18948" spans="30:30" x14ac:dyDescent="0.25">
      <c r="AD18948"/>
    </row>
    <row r="18949" spans="30:30" x14ac:dyDescent="0.25">
      <c r="AD18949"/>
    </row>
    <row r="18950" spans="30:30" x14ac:dyDescent="0.25">
      <c r="AD18950"/>
    </row>
    <row r="18951" spans="30:30" x14ac:dyDescent="0.25">
      <c r="AD18951"/>
    </row>
    <row r="18952" spans="30:30" x14ac:dyDescent="0.25">
      <c r="AD18952"/>
    </row>
    <row r="18953" spans="30:30" x14ac:dyDescent="0.25">
      <c r="AD18953"/>
    </row>
    <row r="18954" spans="30:30" x14ac:dyDescent="0.25">
      <c r="AD18954"/>
    </row>
    <row r="18955" spans="30:30" x14ac:dyDescent="0.25">
      <c r="AD18955"/>
    </row>
    <row r="18956" spans="30:30" x14ac:dyDescent="0.25">
      <c r="AD18956"/>
    </row>
    <row r="18957" spans="30:30" x14ac:dyDescent="0.25">
      <c r="AD18957"/>
    </row>
    <row r="18958" spans="30:30" x14ac:dyDescent="0.25">
      <c r="AD18958"/>
    </row>
    <row r="18959" spans="30:30" x14ac:dyDescent="0.25">
      <c r="AD18959"/>
    </row>
    <row r="18960" spans="30:30" x14ac:dyDescent="0.25">
      <c r="AD18960"/>
    </row>
    <row r="18961" spans="30:30" x14ac:dyDescent="0.25">
      <c r="AD18961"/>
    </row>
    <row r="18962" spans="30:30" x14ac:dyDescent="0.25">
      <c r="AD18962"/>
    </row>
    <row r="18963" spans="30:30" x14ac:dyDescent="0.25">
      <c r="AD18963"/>
    </row>
    <row r="18964" spans="30:30" x14ac:dyDescent="0.25">
      <c r="AD18964"/>
    </row>
    <row r="18965" spans="30:30" x14ac:dyDescent="0.25">
      <c r="AD18965"/>
    </row>
    <row r="18966" spans="30:30" x14ac:dyDescent="0.25">
      <c r="AD18966"/>
    </row>
    <row r="18967" spans="30:30" x14ac:dyDescent="0.25">
      <c r="AD18967"/>
    </row>
    <row r="18968" spans="30:30" x14ac:dyDescent="0.25">
      <c r="AD18968"/>
    </row>
    <row r="18969" spans="30:30" x14ac:dyDescent="0.25">
      <c r="AD18969"/>
    </row>
    <row r="18970" spans="30:30" x14ac:dyDescent="0.25">
      <c r="AD18970"/>
    </row>
    <row r="18971" spans="30:30" x14ac:dyDescent="0.25">
      <c r="AD18971"/>
    </row>
    <row r="18972" spans="30:30" x14ac:dyDescent="0.25">
      <c r="AD18972"/>
    </row>
    <row r="18973" spans="30:30" x14ac:dyDescent="0.25">
      <c r="AD18973"/>
    </row>
    <row r="18974" spans="30:30" x14ac:dyDescent="0.25">
      <c r="AD18974"/>
    </row>
    <row r="18975" spans="30:30" x14ac:dyDescent="0.25">
      <c r="AD18975"/>
    </row>
    <row r="18976" spans="30:30" x14ac:dyDescent="0.25">
      <c r="AD18976"/>
    </row>
    <row r="18977" spans="30:30" x14ac:dyDescent="0.25">
      <c r="AD18977"/>
    </row>
    <row r="18978" spans="30:30" x14ac:dyDescent="0.25">
      <c r="AD18978"/>
    </row>
    <row r="18979" spans="30:30" x14ac:dyDescent="0.25">
      <c r="AD18979"/>
    </row>
    <row r="18980" spans="30:30" x14ac:dyDescent="0.25">
      <c r="AD18980"/>
    </row>
    <row r="18981" spans="30:30" x14ac:dyDescent="0.25">
      <c r="AD18981"/>
    </row>
    <row r="18982" spans="30:30" x14ac:dyDescent="0.25">
      <c r="AD18982"/>
    </row>
    <row r="18983" spans="30:30" x14ac:dyDescent="0.25">
      <c r="AD18983"/>
    </row>
    <row r="18984" spans="30:30" x14ac:dyDescent="0.25">
      <c r="AD18984"/>
    </row>
    <row r="18985" spans="30:30" x14ac:dyDescent="0.25">
      <c r="AD18985"/>
    </row>
    <row r="18986" spans="30:30" x14ac:dyDescent="0.25">
      <c r="AD18986"/>
    </row>
    <row r="18987" spans="30:30" x14ac:dyDescent="0.25">
      <c r="AD18987"/>
    </row>
    <row r="18988" spans="30:30" x14ac:dyDescent="0.25">
      <c r="AD18988"/>
    </row>
    <row r="18989" spans="30:30" x14ac:dyDescent="0.25">
      <c r="AD18989"/>
    </row>
    <row r="18990" spans="30:30" x14ac:dyDescent="0.25">
      <c r="AD18990"/>
    </row>
    <row r="18991" spans="30:30" x14ac:dyDescent="0.25">
      <c r="AD18991"/>
    </row>
    <row r="18992" spans="30:30" x14ac:dyDescent="0.25">
      <c r="AD18992"/>
    </row>
    <row r="18993" spans="30:30" x14ac:dyDescent="0.25">
      <c r="AD18993"/>
    </row>
    <row r="18994" spans="30:30" x14ac:dyDescent="0.25">
      <c r="AD18994"/>
    </row>
    <row r="18995" spans="30:30" x14ac:dyDescent="0.25">
      <c r="AD18995"/>
    </row>
    <row r="18996" spans="30:30" x14ac:dyDescent="0.25">
      <c r="AD18996"/>
    </row>
    <row r="18997" spans="30:30" x14ac:dyDescent="0.25">
      <c r="AD18997"/>
    </row>
    <row r="18998" spans="30:30" x14ac:dyDescent="0.25">
      <c r="AD18998"/>
    </row>
    <row r="18999" spans="30:30" x14ac:dyDescent="0.25">
      <c r="AD18999"/>
    </row>
    <row r="19000" spans="30:30" x14ac:dyDescent="0.25">
      <c r="AD19000"/>
    </row>
    <row r="19001" spans="30:30" x14ac:dyDescent="0.25">
      <c r="AD19001"/>
    </row>
    <row r="19002" spans="30:30" x14ac:dyDescent="0.25">
      <c r="AD19002"/>
    </row>
    <row r="19003" spans="30:30" x14ac:dyDescent="0.25">
      <c r="AD19003"/>
    </row>
    <row r="19004" spans="30:30" x14ac:dyDescent="0.25">
      <c r="AD19004"/>
    </row>
    <row r="19005" spans="30:30" x14ac:dyDescent="0.25">
      <c r="AD19005"/>
    </row>
    <row r="19006" spans="30:30" x14ac:dyDescent="0.25">
      <c r="AD19006"/>
    </row>
    <row r="19007" spans="30:30" x14ac:dyDescent="0.25">
      <c r="AD19007"/>
    </row>
    <row r="19008" spans="30:30" x14ac:dyDescent="0.25">
      <c r="AD19008"/>
    </row>
    <row r="19009" spans="30:30" x14ac:dyDescent="0.25">
      <c r="AD19009"/>
    </row>
    <row r="19010" spans="30:30" x14ac:dyDescent="0.25">
      <c r="AD19010"/>
    </row>
    <row r="19011" spans="30:30" x14ac:dyDescent="0.25">
      <c r="AD19011"/>
    </row>
    <row r="19012" spans="30:30" x14ac:dyDescent="0.25">
      <c r="AD19012"/>
    </row>
    <row r="19013" spans="30:30" x14ac:dyDescent="0.25">
      <c r="AD19013"/>
    </row>
    <row r="19014" spans="30:30" x14ac:dyDescent="0.25">
      <c r="AD19014"/>
    </row>
    <row r="19015" spans="30:30" x14ac:dyDescent="0.25">
      <c r="AD19015"/>
    </row>
    <row r="19016" spans="30:30" x14ac:dyDescent="0.25">
      <c r="AD19016"/>
    </row>
    <row r="19017" spans="30:30" x14ac:dyDescent="0.25">
      <c r="AD19017"/>
    </row>
    <row r="19018" spans="30:30" x14ac:dyDescent="0.25">
      <c r="AD19018"/>
    </row>
    <row r="19019" spans="30:30" x14ac:dyDescent="0.25">
      <c r="AD19019"/>
    </row>
    <row r="19020" spans="30:30" x14ac:dyDescent="0.25">
      <c r="AD19020"/>
    </row>
    <row r="19021" spans="30:30" x14ac:dyDescent="0.25">
      <c r="AD19021"/>
    </row>
    <row r="19022" spans="30:30" x14ac:dyDescent="0.25">
      <c r="AD19022"/>
    </row>
    <row r="19023" spans="30:30" x14ac:dyDescent="0.25">
      <c r="AD19023"/>
    </row>
    <row r="19024" spans="30:30" x14ac:dyDescent="0.25">
      <c r="AD19024"/>
    </row>
    <row r="19025" spans="30:30" x14ac:dyDescent="0.25">
      <c r="AD19025"/>
    </row>
    <row r="19026" spans="30:30" x14ac:dyDescent="0.25">
      <c r="AD19026"/>
    </row>
    <row r="19027" spans="30:30" x14ac:dyDescent="0.25">
      <c r="AD19027"/>
    </row>
    <row r="19028" spans="30:30" x14ac:dyDescent="0.25">
      <c r="AD19028"/>
    </row>
    <row r="19029" spans="30:30" x14ac:dyDescent="0.25">
      <c r="AD19029"/>
    </row>
    <row r="19030" spans="30:30" x14ac:dyDescent="0.25">
      <c r="AD19030"/>
    </row>
    <row r="19031" spans="30:30" x14ac:dyDescent="0.25">
      <c r="AD19031"/>
    </row>
    <row r="19032" spans="30:30" x14ac:dyDescent="0.25">
      <c r="AD19032"/>
    </row>
    <row r="19033" spans="30:30" x14ac:dyDescent="0.25">
      <c r="AD19033"/>
    </row>
    <row r="19034" spans="30:30" x14ac:dyDescent="0.25">
      <c r="AD19034"/>
    </row>
    <row r="19035" spans="30:30" x14ac:dyDescent="0.25">
      <c r="AD19035"/>
    </row>
    <row r="19036" spans="30:30" x14ac:dyDescent="0.25">
      <c r="AD19036"/>
    </row>
    <row r="19037" spans="30:30" x14ac:dyDescent="0.25">
      <c r="AD19037"/>
    </row>
    <row r="19038" spans="30:30" x14ac:dyDescent="0.25">
      <c r="AD19038"/>
    </row>
    <row r="19039" spans="30:30" x14ac:dyDescent="0.25">
      <c r="AD19039"/>
    </row>
    <row r="19040" spans="30:30" x14ac:dyDescent="0.25">
      <c r="AD19040"/>
    </row>
    <row r="19041" spans="30:30" x14ac:dyDescent="0.25">
      <c r="AD19041"/>
    </row>
    <row r="19042" spans="30:30" x14ac:dyDescent="0.25">
      <c r="AD19042"/>
    </row>
    <row r="19043" spans="30:30" x14ac:dyDescent="0.25">
      <c r="AD19043"/>
    </row>
    <row r="19044" spans="30:30" x14ac:dyDescent="0.25">
      <c r="AD19044"/>
    </row>
    <row r="19045" spans="30:30" x14ac:dyDescent="0.25">
      <c r="AD19045"/>
    </row>
    <row r="19046" spans="30:30" x14ac:dyDescent="0.25">
      <c r="AD19046"/>
    </row>
    <row r="19047" spans="30:30" x14ac:dyDescent="0.25">
      <c r="AD19047"/>
    </row>
    <row r="19048" spans="30:30" x14ac:dyDescent="0.25">
      <c r="AD19048"/>
    </row>
    <row r="19049" spans="30:30" x14ac:dyDescent="0.25">
      <c r="AD19049"/>
    </row>
    <row r="19050" spans="30:30" x14ac:dyDescent="0.25">
      <c r="AD19050"/>
    </row>
    <row r="19051" spans="30:30" x14ac:dyDescent="0.25">
      <c r="AD19051"/>
    </row>
    <row r="19052" spans="30:30" x14ac:dyDescent="0.25">
      <c r="AD19052"/>
    </row>
    <row r="19053" spans="30:30" x14ac:dyDescent="0.25">
      <c r="AD19053"/>
    </row>
    <row r="19054" spans="30:30" x14ac:dyDescent="0.25">
      <c r="AD19054"/>
    </row>
    <row r="19055" spans="30:30" x14ac:dyDescent="0.25">
      <c r="AD19055"/>
    </row>
    <row r="19056" spans="30:30" x14ac:dyDescent="0.25">
      <c r="AD19056"/>
    </row>
    <row r="19057" spans="30:30" x14ac:dyDescent="0.25">
      <c r="AD19057"/>
    </row>
    <row r="19058" spans="30:30" x14ac:dyDescent="0.25">
      <c r="AD19058"/>
    </row>
    <row r="19059" spans="30:30" x14ac:dyDescent="0.25">
      <c r="AD19059"/>
    </row>
    <row r="19060" spans="30:30" x14ac:dyDescent="0.25">
      <c r="AD19060"/>
    </row>
    <row r="19061" spans="30:30" x14ac:dyDescent="0.25">
      <c r="AD19061"/>
    </row>
    <row r="19062" spans="30:30" x14ac:dyDescent="0.25">
      <c r="AD19062"/>
    </row>
    <row r="19063" spans="30:30" x14ac:dyDescent="0.25">
      <c r="AD19063"/>
    </row>
    <row r="19064" spans="30:30" x14ac:dyDescent="0.25">
      <c r="AD19064"/>
    </row>
    <row r="19065" spans="30:30" x14ac:dyDescent="0.25">
      <c r="AD19065"/>
    </row>
    <row r="19066" spans="30:30" x14ac:dyDescent="0.25">
      <c r="AD19066"/>
    </row>
    <row r="19067" spans="30:30" x14ac:dyDescent="0.25">
      <c r="AD19067"/>
    </row>
    <row r="19068" spans="30:30" x14ac:dyDescent="0.25">
      <c r="AD19068"/>
    </row>
    <row r="19069" spans="30:30" x14ac:dyDescent="0.25">
      <c r="AD19069"/>
    </row>
    <row r="19070" spans="30:30" x14ac:dyDescent="0.25">
      <c r="AD19070"/>
    </row>
    <row r="19071" spans="30:30" x14ac:dyDescent="0.25">
      <c r="AD19071"/>
    </row>
    <row r="19072" spans="30:30" x14ac:dyDescent="0.25">
      <c r="AD19072"/>
    </row>
    <row r="19073" spans="30:30" x14ac:dyDescent="0.25">
      <c r="AD19073"/>
    </row>
    <row r="19074" spans="30:30" x14ac:dyDescent="0.25">
      <c r="AD19074"/>
    </row>
    <row r="19075" spans="30:30" x14ac:dyDescent="0.25">
      <c r="AD19075"/>
    </row>
    <row r="19076" spans="30:30" x14ac:dyDescent="0.25">
      <c r="AD19076"/>
    </row>
    <row r="19077" spans="30:30" x14ac:dyDescent="0.25">
      <c r="AD19077"/>
    </row>
    <row r="19078" spans="30:30" x14ac:dyDescent="0.25">
      <c r="AD19078"/>
    </row>
    <row r="19079" spans="30:30" x14ac:dyDescent="0.25">
      <c r="AD19079"/>
    </row>
    <row r="19080" spans="30:30" x14ac:dyDescent="0.25">
      <c r="AD19080"/>
    </row>
    <row r="19081" spans="30:30" x14ac:dyDescent="0.25">
      <c r="AD19081"/>
    </row>
    <row r="19082" spans="30:30" x14ac:dyDescent="0.25">
      <c r="AD19082"/>
    </row>
    <row r="19083" spans="30:30" x14ac:dyDescent="0.25">
      <c r="AD19083"/>
    </row>
    <row r="19084" spans="30:30" x14ac:dyDescent="0.25">
      <c r="AD19084"/>
    </row>
    <row r="19085" spans="30:30" x14ac:dyDescent="0.25">
      <c r="AD19085"/>
    </row>
    <row r="19086" spans="30:30" x14ac:dyDescent="0.25">
      <c r="AD19086"/>
    </row>
    <row r="19087" spans="30:30" x14ac:dyDescent="0.25">
      <c r="AD19087"/>
    </row>
    <row r="19088" spans="30:30" x14ac:dyDescent="0.25">
      <c r="AD19088"/>
    </row>
    <row r="19089" spans="30:30" x14ac:dyDescent="0.25">
      <c r="AD19089"/>
    </row>
    <row r="19090" spans="30:30" x14ac:dyDescent="0.25">
      <c r="AD19090"/>
    </row>
    <row r="19091" spans="30:30" x14ac:dyDescent="0.25">
      <c r="AD19091"/>
    </row>
    <row r="19092" spans="30:30" x14ac:dyDescent="0.25">
      <c r="AD19092"/>
    </row>
    <row r="19093" spans="30:30" x14ac:dyDescent="0.25">
      <c r="AD19093"/>
    </row>
    <row r="19094" spans="30:30" x14ac:dyDescent="0.25">
      <c r="AD19094"/>
    </row>
    <row r="19095" spans="30:30" x14ac:dyDescent="0.25">
      <c r="AD19095"/>
    </row>
    <row r="19096" spans="30:30" x14ac:dyDescent="0.25">
      <c r="AD19096"/>
    </row>
    <row r="19097" spans="30:30" x14ac:dyDescent="0.25">
      <c r="AD19097"/>
    </row>
    <row r="19098" spans="30:30" x14ac:dyDescent="0.25">
      <c r="AD19098"/>
    </row>
    <row r="19099" spans="30:30" x14ac:dyDescent="0.25">
      <c r="AD19099"/>
    </row>
    <row r="19100" spans="30:30" x14ac:dyDescent="0.25">
      <c r="AD19100"/>
    </row>
    <row r="19101" spans="30:30" x14ac:dyDescent="0.25">
      <c r="AD19101"/>
    </row>
    <row r="19102" spans="30:30" x14ac:dyDescent="0.25">
      <c r="AD19102"/>
    </row>
    <row r="19103" spans="30:30" x14ac:dyDescent="0.25">
      <c r="AD19103"/>
    </row>
    <row r="19104" spans="30:30" x14ac:dyDescent="0.25">
      <c r="AD19104"/>
    </row>
    <row r="19105" spans="30:30" x14ac:dyDescent="0.25">
      <c r="AD19105"/>
    </row>
    <row r="19106" spans="30:30" x14ac:dyDescent="0.25">
      <c r="AD19106"/>
    </row>
    <row r="19107" spans="30:30" x14ac:dyDescent="0.25">
      <c r="AD19107"/>
    </row>
    <row r="19108" spans="30:30" x14ac:dyDescent="0.25">
      <c r="AD19108"/>
    </row>
    <row r="19109" spans="30:30" x14ac:dyDescent="0.25">
      <c r="AD19109"/>
    </row>
    <row r="19110" spans="30:30" x14ac:dyDescent="0.25">
      <c r="AD19110"/>
    </row>
    <row r="19111" spans="30:30" x14ac:dyDescent="0.25">
      <c r="AD19111"/>
    </row>
    <row r="19112" spans="30:30" x14ac:dyDescent="0.25">
      <c r="AD19112"/>
    </row>
    <row r="19113" spans="30:30" x14ac:dyDescent="0.25">
      <c r="AD19113"/>
    </row>
    <row r="19114" spans="30:30" x14ac:dyDescent="0.25">
      <c r="AD19114"/>
    </row>
    <row r="19115" spans="30:30" x14ac:dyDescent="0.25">
      <c r="AD19115"/>
    </row>
    <row r="19116" spans="30:30" x14ac:dyDescent="0.25">
      <c r="AD19116"/>
    </row>
    <row r="19117" spans="30:30" x14ac:dyDescent="0.25">
      <c r="AD19117"/>
    </row>
    <row r="19118" spans="30:30" x14ac:dyDescent="0.25">
      <c r="AD19118"/>
    </row>
    <row r="19119" spans="30:30" x14ac:dyDescent="0.25">
      <c r="AD19119"/>
    </row>
    <row r="19120" spans="30:30" x14ac:dyDescent="0.25">
      <c r="AD19120"/>
    </row>
    <row r="19121" spans="30:30" x14ac:dyDescent="0.25">
      <c r="AD19121"/>
    </row>
    <row r="19122" spans="30:30" x14ac:dyDescent="0.25">
      <c r="AD19122"/>
    </row>
    <row r="19123" spans="30:30" x14ac:dyDescent="0.25">
      <c r="AD19123"/>
    </row>
    <row r="19124" spans="30:30" x14ac:dyDescent="0.25">
      <c r="AD19124"/>
    </row>
    <row r="19125" spans="30:30" x14ac:dyDescent="0.25">
      <c r="AD19125"/>
    </row>
    <row r="19126" spans="30:30" x14ac:dyDescent="0.25">
      <c r="AD19126"/>
    </row>
    <row r="19127" spans="30:30" x14ac:dyDescent="0.25">
      <c r="AD19127"/>
    </row>
    <row r="19128" spans="30:30" x14ac:dyDescent="0.25">
      <c r="AD19128"/>
    </row>
    <row r="19129" spans="30:30" x14ac:dyDescent="0.25">
      <c r="AD19129"/>
    </row>
    <row r="19130" spans="30:30" x14ac:dyDescent="0.25">
      <c r="AD19130"/>
    </row>
    <row r="19131" spans="30:30" x14ac:dyDescent="0.25">
      <c r="AD19131"/>
    </row>
    <row r="19132" spans="30:30" x14ac:dyDescent="0.25">
      <c r="AD19132"/>
    </row>
    <row r="19133" spans="30:30" x14ac:dyDescent="0.25">
      <c r="AD19133"/>
    </row>
    <row r="19134" spans="30:30" x14ac:dyDescent="0.25">
      <c r="AD19134"/>
    </row>
    <row r="19135" spans="30:30" x14ac:dyDescent="0.25">
      <c r="AD19135"/>
    </row>
    <row r="19136" spans="30:30" x14ac:dyDescent="0.25">
      <c r="AD19136"/>
    </row>
    <row r="19137" spans="30:30" x14ac:dyDescent="0.25">
      <c r="AD19137"/>
    </row>
    <row r="19138" spans="30:30" x14ac:dyDescent="0.25">
      <c r="AD19138"/>
    </row>
    <row r="19139" spans="30:30" x14ac:dyDescent="0.25">
      <c r="AD19139"/>
    </row>
    <row r="19140" spans="30:30" x14ac:dyDescent="0.25">
      <c r="AD19140"/>
    </row>
    <row r="19141" spans="30:30" x14ac:dyDescent="0.25">
      <c r="AD19141"/>
    </row>
    <row r="19142" spans="30:30" x14ac:dyDescent="0.25">
      <c r="AD19142"/>
    </row>
    <row r="19143" spans="30:30" x14ac:dyDescent="0.25">
      <c r="AD19143"/>
    </row>
    <row r="19144" spans="30:30" x14ac:dyDescent="0.25">
      <c r="AD19144"/>
    </row>
    <row r="19145" spans="30:30" x14ac:dyDescent="0.25">
      <c r="AD19145"/>
    </row>
    <row r="19146" spans="30:30" x14ac:dyDescent="0.25">
      <c r="AD19146"/>
    </row>
    <row r="19147" spans="30:30" x14ac:dyDescent="0.25">
      <c r="AD19147"/>
    </row>
    <row r="19148" spans="30:30" x14ac:dyDescent="0.25">
      <c r="AD19148"/>
    </row>
    <row r="19149" spans="30:30" x14ac:dyDescent="0.25">
      <c r="AD19149"/>
    </row>
    <row r="19150" spans="30:30" x14ac:dyDescent="0.25">
      <c r="AD19150"/>
    </row>
    <row r="19151" spans="30:30" x14ac:dyDescent="0.25">
      <c r="AD19151"/>
    </row>
    <row r="19152" spans="30:30" x14ac:dyDescent="0.25">
      <c r="AD19152"/>
    </row>
    <row r="19153" spans="30:30" x14ac:dyDescent="0.25">
      <c r="AD19153"/>
    </row>
    <row r="19154" spans="30:30" x14ac:dyDescent="0.25">
      <c r="AD19154"/>
    </row>
    <row r="19155" spans="30:30" x14ac:dyDescent="0.25">
      <c r="AD19155"/>
    </row>
    <row r="19156" spans="30:30" x14ac:dyDescent="0.25">
      <c r="AD19156"/>
    </row>
    <row r="19157" spans="30:30" x14ac:dyDescent="0.25">
      <c r="AD19157"/>
    </row>
    <row r="19158" spans="30:30" x14ac:dyDescent="0.25">
      <c r="AD19158"/>
    </row>
    <row r="19159" spans="30:30" x14ac:dyDescent="0.25">
      <c r="AD19159"/>
    </row>
    <row r="19160" spans="30:30" x14ac:dyDescent="0.25">
      <c r="AD19160"/>
    </row>
    <row r="19161" spans="30:30" x14ac:dyDescent="0.25">
      <c r="AD19161"/>
    </row>
    <row r="19162" spans="30:30" x14ac:dyDescent="0.25">
      <c r="AD19162"/>
    </row>
    <row r="19163" spans="30:30" x14ac:dyDescent="0.25">
      <c r="AD19163"/>
    </row>
    <row r="19164" spans="30:30" x14ac:dyDescent="0.25">
      <c r="AD19164"/>
    </row>
    <row r="19165" spans="30:30" x14ac:dyDescent="0.25">
      <c r="AD19165"/>
    </row>
    <row r="19166" spans="30:30" x14ac:dyDescent="0.25">
      <c r="AD19166"/>
    </row>
    <row r="19167" spans="30:30" x14ac:dyDescent="0.25">
      <c r="AD19167"/>
    </row>
    <row r="19168" spans="30:30" x14ac:dyDescent="0.25">
      <c r="AD19168"/>
    </row>
    <row r="19169" spans="30:30" x14ac:dyDescent="0.25">
      <c r="AD19169"/>
    </row>
    <row r="19170" spans="30:30" x14ac:dyDescent="0.25">
      <c r="AD19170"/>
    </row>
    <row r="19171" spans="30:30" x14ac:dyDescent="0.25">
      <c r="AD19171"/>
    </row>
    <row r="19172" spans="30:30" x14ac:dyDescent="0.25">
      <c r="AD19172"/>
    </row>
    <row r="19173" spans="30:30" x14ac:dyDescent="0.25">
      <c r="AD19173"/>
    </row>
    <row r="19174" spans="30:30" x14ac:dyDescent="0.25">
      <c r="AD19174"/>
    </row>
    <row r="19175" spans="30:30" x14ac:dyDescent="0.25">
      <c r="AD19175"/>
    </row>
    <row r="19176" spans="30:30" x14ac:dyDescent="0.25">
      <c r="AD19176"/>
    </row>
    <row r="19177" spans="30:30" x14ac:dyDescent="0.25">
      <c r="AD19177"/>
    </row>
    <row r="19178" spans="30:30" x14ac:dyDescent="0.25">
      <c r="AD19178"/>
    </row>
    <row r="19179" spans="30:30" x14ac:dyDescent="0.25">
      <c r="AD19179"/>
    </row>
    <row r="19180" spans="30:30" x14ac:dyDescent="0.25">
      <c r="AD19180"/>
    </row>
    <row r="19181" spans="30:30" x14ac:dyDescent="0.25">
      <c r="AD19181"/>
    </row>
    <row r="19182" spans="30:30" x14ac:dyDescent="0.25">
      <c r="AD19182"/>
    </row>
    <row r="19183" spans="30:30" x14ac:dyDescent="0.25">
      <c r="AD19183"/>
    </row>
    <row r="19184" spans="30:30" x14ac:dyDescent="0.25">
      <c r="AD19184"/>
    </row>
    <row r="19185" spans="30:30" x14ac:dyDescent="0.25">
      <c r="AD19185"/>
    </row>
    <row r="19186" spans="30:30" x14ac:dyDescent="0.25">
      <c r="AD19186"/>
    </row>
    <row r="19187" spans="30:30" x14ac:dyDescent="0.25">
      <c r="AD19187"/>
    </row>
    <row r="19188" spans="30:30" x14ac:dyDescent="0.25">
      <c r="AD19188"/>
    </row>
    <row r="19189" spans="30:30" x14ac:dyDescent="0.25">
      <c r="AD19189"/>
    </row>
    <row r="19190" spans="30:30" x14ac:dyDescent="0.25">
      <c r="AD19190"/>
    </row>
    <row r="19191" spans="30:30" x14ac:dyDescent="0.25">
      <c r="AD19191"/>
    </row>
    <row r="19192" spans="30:30" x14ac:dyDescent="0.25">
      <c r="AD19192"/>
    </row>
    <row r="19193" spans="30:30" x14ac:dyDescent="0.25">
      <c r="AD19193"/>
    </row>
    <row r="19194" spans="30:30" x14ac:dyDescent="0.25">
      <c r="AD19194"/>
    </row>
    <row r="19195" spans="30:30" x14ac:dyDescent="0.25">
      <c r="AD19195"/>
    </row>
    <row r="19196" spans="30:30" x14ac:dyDescent="0.25">
      <c r="AD19196"/>
    </row>
    <row r="19197" spans="30:30" x14ac:dyDescent="0.25">
      <c r="AD19197"/>
    </row>
    <row r="19198" spans="30:30" x14ac:dyDescent="0.25">
      <c r="AD19198"/>
    </row>
    <row r="19199" spans="30:30" x14ac:dyDescent="0.25">
      <c r="AD19199"/>
    </row>
    <row r="19200" spans="30:30" x14ac:dyDescent="0.25">
      <c r="AD19200"/>
    </row>
    <row r="19201" spans="30:30" x14ac:dyDescent="0.25">
      <c r="AD19201"/>
    </row>
    <row r="19202" spans="30:30" x14ac:dyDescent="0.25">
      <c r="AD19202"/>
    </row>
    <row r="19203" spans="30:30" x14ac:dyDescent="0.25">
      <c r="AD19203"/>
    </row>
    <row r="19204" spans="30:30" x14ac:dyDescent="0.25">
      <c r="AD19204"/>
    </row>
    <row r="19205" spans="30:30" x14ac:dyDescent="0.25">
      <c r="AD19205"/>
    </row>
    <row r="19206" spans="30:30" x14ac:dyDescent="0.25">
      <c r="AD19206"/>
    </row>
    <row r="19207" spans="30:30" x14ac:dyDescent="0.25">
      <c r="AD19207"/>
    </row>
    <row r="19208" spans="30:30" x14ac:dyDescent="0.25">
      <c r="AD19208"/>
    </row>
    <row r="19209" spans="30:30" x14ac:dyDescent="0.25">
      <c r="AD19209"/>
    </row>
    <row r="19210" spans="30:30" x14ac:dyDescent="0.25">
      <c r="AD19210"/>
    </row>
    <row r="19211" spans="30:30" x14ac:dyDescent="0.25">
      <c r="AD19211"/>
    </row>
    <row r="19212" spans="30:30" x14ac:dyDescent="0.25">
      <c r="AD19212"/>
    </row>
    <row r="19213" spans="30:30" x14ac:dyDescent="0.25">
      <c r="AD19213"/>
    </row>
    <row r="19214" spans="30:30" x14ac:dyDescent="0.25">
      <c r="AD19214"/>
    </row>
    <row r="19215" spans="30:30" x14ac:dyDescent="0.25">
      <c r="AD19215"/>
    </row>
    <row r="19216" spans="30:30" x14ac:dyDescent="0.25">
      <c r="AD19216"/>
    </row>
    <row r="19217" spans="30:30" x14ac:dyDescent="0.25">
      <c r="AD19217"/>
    </row>
    <row r="19218" spans="30:30" x14ac:dyDescent="0.25">
      <c r="AD19218"/>
    </row>
    <row r="19219" spans="30:30" x14ac:dyDescent="0.25">
      <c r="AD19219"/>
    </row>
    <row r="19220" spans="30:30" x14ac:dyDescent="0.25">
      <c r="AD19220"/>
    </row>
    <row r="19221" spans="30:30" x14ac:dyDescent="0.25">
      <c r="AD19221"/>
    </row>
    <row r="19222" spans="30:30" x14ac:dyDescent="0.25">
      <c r="AD19222"/>
    </row>
    <row r="19223" spans="30:30" x14ac:dyDescent="0.25">
      <c r="AD19223"/>
    </row>
    <row r="19224" spans="30:30" x14ac:dyDescent="0.25">
      <c r="AD19224"/>
    </row>
    <row r="19225" spans="30:30" x14ac:dyDescent="0.25">
      <c r="AD19225"/>
    </row>
    <row r="19226" spans="30:30" x14ac:dyDescent="0.25">
      <c r="AD19226"/>
    </row>
    <row r="19227" spans="30:30" x14ac:dyDescent="0.25">
      <c r="AD19227"/>
    </row>
    <row r="19228" spans="30:30" x14ac:dyDescent="0.25">
      <c r="AD19228"/>
    </row>
    <row r="19229" spans="30:30" x14ac:dyDescent="0.25">
      <c r="AD19229"/>
    </row>
    <row r="19230" spans="30:30" x14ac:dyDescent="0.25">
      <c r="AD19230"/>
    </row>
    <row r="19231" spans="30:30" x14ac:dyDescent="0.25">
      <c r="AD19231"/>
    </row>
    <row r="19232" spans="30:30" x14ac:dyDescent="0.25">
      <c r="AD19232"/>
    </row>
    <row r="19233" spans="30:30" x14ac:dyDescent="0.25">
      <c r="AD19233"/>
    </row>
    <row r="19234" spans="30:30" x14ac:dyDescent="0.25">
      <c r="AD19234"/>
    </row>
    <row r="19235" spans="30:30" x14ac:dyDescent="0.25">
      <c r="AD19235"/>
    </row>
    <row r="19236" spans="30:30" x14ac:dyDescent="0.25">
      <c r="AD19236"/>
    </row>
    <row r="19237" spans="30:30" x14ac:dyDescent="0.25">
      <c r="AD19237"/>
    </row>
    <row r="19238" spans="30:30" x14ac:dyDescent="0.25">
      <c r="AD19238"/>
    </row>
    <row r="19239" spans="30:30" x14ac:dyDescent="0.25">
      <c r="AD19239"/>
    </row>
    <row r="19240" spans="30:30" x14ac:dyDescent="0.25">
      <c r="AD19240"/>
    </row>
    <row r="19241" spans="30:30" x14ac:dyDescent="0.25">
      <c r="AD19241"/>
    </row>
    <row r="19242" spans="30:30" x14ac:dyDescent="0.25">
      <c r="AD19242"/>
    </row>
    <row r="19243" spans="30:30" x14ac:dyDescent="0.25">
      <c r="AD19243"/>
    </row>
    <row r="19244" spans="30:30" x14ac:dyDescent="0.25">
      <c r="AD19244"/>
    </row>
    <row r="19245" spans="30:30" x14ac:dyDescent="0.25">
      <c r="AD19245"/>
    </row>
    <row r="19246" spans="30:30" x14ac:dyDescent="0.25">
      <c r="AD19246"/>
    </row>
    <row r="19247" spans="30:30" x14ac:dyDescent="0.25">
      <c r="AD19247"/>
    </row>
    <row r="19248" spans="30:30" x14ac:dyDescent="0.25">
      <c r="AD19248"/>
    </row>
    <row r="19249" spans="30:30" x14ac:dyDescent="0.25">
      <c r="AD19249"/>
    </row>
    <row r="19250" spans="30:30" x14ac:dyDescent="0.25">
      <c r="AD19250"/>
    </row>
    <row r="19251" spans="30:30" x14ac:dyDescent="0.25">
      <c r="AD19251"/>
    </row>
    <row r="19252" spans="30:30" x14ac:dyDescent="0.25">
      <c r="AD19252"/>
    </row>
    <row r="19253" spans="30:30" x14ac:dyDescent="0.25">
      <c r="AD19253"/>
    </row>
    <row r="19254" spans="30:30" x14ac:dyDescent="0.25">
      <c r="AD19254"/>
    </row>
    <row r="19255" spans="30:30" x14ac:dyDescent="0.25">
      <c r="AD19255"/>
    </row>
    <row r="19256" spans="30:30" x14ac:dyDescent="0.25">
      <c r="AD19256"/>
    </row>
    <row r="19257" spans="30:30" x14ac:dyDescent="0.25">
      <c r="AD19257"/>
    </row>
    <row r="19258" spans="30:30" x14ac:dyDescent="0.25">
      <c r="AD19258"/>
    </row>
    <row r="19259" spans="30:30" x14ac:dyDescent="0.25">
      <c r="AD19259"/>
    </row>
    <row r="19260" spans="30:30" x14ac:dyDescent="0.25">
      <c r="AD19260"/>
    </row>
    <row r="19261" spans="30:30" x14ac:dyDescent="0.25">
      <c r="AD19261"/>
    </row>
    <row r="19262" spans="30:30" x14ac:dyDescent="0.25">
      <c r="AD19262"/>
    </row>
    <row r="19263" spans="30:30" x14ac:dyDescent="0.25">
      <c r="AD19263"/>
    </row>
    <row r="19264" spans="30:30" x14ac:dyDescent="0.25">
      <c r="AD19264"/>
    </row>
    <row r="19265" spans="30:30" x14ac:dyDescent="0.25">
      <c r="AD19265"/>
    </row>
    <row r="19266" spans="30:30" x14ac:dyDescent="0.25">
      <c r="AD19266"/>
    </row>
    <row r="19267" spans="30:30" x14ac:dyDescent="0.25">
      <c r="AD19267"/>
    </row>
    <row r="19268" spans="30:30" x14ac:dyDescent="0.25">
      <c r="AD19268"/>
    </row>
    <row r="19269" spans="30:30" x14ac:dyDescent="0.25">
      <c r="AD19269"/>
    </row>
    <row r="19270" spans="30:30" x14ac:dyDescent="0.25">
      <c r="AD19270"/>
    </row>
    <row r="19271" spans="30:30" x14ac:dyDescent="0.25">
      <c r="AD19271"/>
    </row>
    <row r="19272" spans="30:30" x14ac:dyDescent="0.25">
      <c r="AD19272"/>
    </row>
    <row r="19273" spans="30:30" x14ac:dyDescent="0.25">
      <c r="AD19273"/>
    </row>
    <row r="19274" spans="30:30" x14ac:dyDescent="0.25">
      <c r="AD19274"/>
    </row>
    <row r="19275" spans="30:30" x14ac:dyDescent="0.25">
      <c r="AD19275"/>
    </row>
    <row r="19276" spans="30:30" x14ac:dyDescent="0.25">
      <c r="AD19276"/>
    </row>
    <row r="19277" spans="30:30" x14ac:dyDescent="0.25">
      <c r="AD19277"/>
    </row>
    <row r="19278" spans="30:30" x14ac:dyDescent="0.25">
      <c r="AD19278"/>
    </row>
    <row r="19279" spans="30:30" x14ac:dyDescent="0.25">
      <c r="AD19279"/>
    </row>
    <row r="19280" spans="30:30" x14ac:dyDescent="0.25">
      <c r="AD19280"/>
    </row>
    <row r="19281" spans="30:30" x14ac:dyDescent="0.25">
      <c r="AD19281"/>
    </row>
    <row r="19282" spans="30:30" x14ac:dyDescent="0.25">
      <c r="AD19282"/>
    </row>
    <row r="19283" spans="30:30" x14ac:dyDescent="0.25">
      <c r="AD19283"/>
    </row>
    <row r="19284" spans="30:30" x14ac:dyDescent="0.25">
      <c r="AD19284"/>
    </row>
    <row r="19285" spans="30:30" x14ac:dyDescent="0.25">
      <c r="AD19285"/>
    </row>
    <row r="19286" spans="30:30" x14ac:dyDescent="0.25">
      <c r="AD19286"/>
    </row>
    <row r="19287" spans="30:30" x14ac:dyDescent="0.25">
      <c r="AD19287"/>
    </row>
    <row r="19288" spans="30:30" x14ac:dyDescent="0.25">
      <c r="AD19288"/>
    </row>
    <row r="19289" spans="30:30" x14ac:dyDescent="0.25">
      <c r="AD19289"/>
    </row>
    <row r="19290" spans="30:30" x14ac:dyDescent="0.25">
      <c r="AD19290"/>
    </row>
    <row r="19291" spans="30:30" x14ac:dyDescent="0.25">
      <c r="AD19291"/>
    </row>
    <row r="19292" spans="30:30" x14ac:dyDescent="0.25">
      <c r="AD19292"/>
    </row>
    <row r="19293" spans="30:30" x14ac:dyDescent="0.25">
      <c r="AD19293"/>
    </row>
    <row r="19294" spans="30:30" x14ac:dyDescent="0.25">
      <c r="AD19294"/>
    </row>
    <row r="19295" spans="30:30" x14ac:dyDescent="0.25">
      <c r="AD19295"/>
    </row>
    <row r="19296" spans="30:30" x14ac:dyDescent="0.25">
      <c r="AD19296"/>
    </row>
    <row r="19297" spans="30:30" x14ac:dyDescent="0.25">
      <c r="AD19297"/>
    </row>
    <row r="19298" spans="30:30" x14ac:dyDescent="0.25">
      <c r="AD19298"/>
    </row>
    <row r="19299" spans="30:30" x14ac:dyDescent="0.25">
      <c r="AD19299"/>
    </row>
    <row r="19300" spans="30:30" x14ac:dyDescent="0.25">
      <c r="AD19300"/>
    </row>
    <row r="19301" spans="30:30" x14ac:dyDescent="0.25">
      <c r="AD19301"/>
    </row>
    <row r="19302" spans="30:30" x14ac:dyDescent="0.25">
      <c r="AD19302"/>
    </row>
    <row r="19303" spans="30:30" x14ac:dyDescent="0.25">
      <c r="AD19303"/>
    </row>
    <row r="19304" spans="30:30" x14ac:dyDescent="0.25">
      <c r="AD19304"/>
    </row>
    <row r="19305" spans="30:30" x14ac:dyDescent="0.25">
      <c r="AD19305"/>
    </row>
    <row r="19306" spans="30:30" x14ac:dyDescent="0.25">
      <c r="AD19306"/>
    </row>
    <row r="19307" spans="30:30" x14ac:dyDescent="0.25">
      <c r="AD19307"/>
    </row>
    <row r="19308" spans="30:30" x14ac:dyDescent="0.25">
      <c r="AD19308"/>
    </row>
    <row r="19309" spans="30:30" x14ac:dyDescent="0.25">
      <c r="AD19309"/>
    </row>
    <row r="19310" spans="30:30" x14ac:dyDescent="0.25">
      <c r="AD19310"/>
    </row>
    <row r="19311" spans="30:30" x14ac:dyDescent="0.25">
      <c r="AD19311"/>
    </row>
    <row r="19312" spans="30:30" x14ac:dyDescent="0.25">
      <c r="AD19312"/>
    </row>
    <row r="19313" spans="30:30" x14ac:dyDescent="0.25">
      <c r="AD19313"/>
    </row>
    <row r="19314" spans="30:30" x14ac:dyDescent="0.25">
      <c r="AD19314"/>
    </row>
    <row r="19315" spans="30:30" x14ac:dyDescent="0.25">
      <c r="AD19315"/>
    </row>
    <row r="19316" spans="30:30" x14ac:dyDescent="0.25">
      <c r="AD19316"/>
    </row>
    <row r="19317" spans="30:30" x14ac:dyDescent="0.25">
      <c r="AD19317"/>
    </row>
    <row r="19318" spans="30:30" x14ac:dyDescent="0.25">
      <c r="AD19318"/>
    </row>
    <row r="19319" spans="30:30" x14ac:dyDescent="0.25">
      <c r="AD19319"/>
    </row>
    <row r="19320" spans="30:30" x14ac:dyDescent="0.25">
      <c r="AD19320"/>
    </row>
    <row r="19321" spans="30:30" x14ac:dyDescent="0.25">
      <c r="AD19321"/>
    </row>
    <row r="19322" spans="30:30" x14ac:dyDescent="0.25">
      <c r="AD19322"/>
    </row>
    <row r="19323" spans="30:30" x14ac:dyDescent="0.25">
      <c r="AD19323"/>
    </row>
    <row r="19324" spans="30:30" x14ac:dyDescent="0.25">
      <c r="AD19324"/>
    </row>
    <row r="19325" spans="30:30" x14ac:dyDescent="0.25">
      <c r="AD19325"/>
    </row>
    <row r="19326" spans="30:30" x14ac:dyDescent="0.25">
      <c r="AD19326"/>
    </row>
    <row r="19327" spans="30:30" x14ac:dyDescent="0.25">
      <c r="AD19327"/>
    </row>
    <row r="19328" spans="30:30" x14ac:dyDescent="0.25">
      <c r="AD19328"/>
    </row>
    <row r="19329" spans="30:30" x14ac:dyDescent="0.25">
      <c r="AD19329"/>
    </row>
    <row r="19330" spans="30:30" x14ac:dyDescent="0.25">
      <c r="AD19330"/>
    </row>
    <row r="19331" spans="30:30" x14ac:dyDescent="0.25">
      <c r="AD19331"/>
    </row>
    <row r="19332" spans="30:30" x14ac:dyDescent="0.25">
      <c r="AD19332"/>
    </row>
    <row r="19333" spans="30:30" x14ac:dyDescent="0.25">
      <c r="AD19333"/>
    </row>
    <row r="19334" spans="30:30" x14ac:dyDescent="0.25">
      <c r="AD19334"/>
    </row>
    <row r="19335" spans="30:30" x14ac:dyDescent="0.25">
      <c r="AD19335"/>
    </row>
    <row r="19336" spans="30:30" x14ac:dyDescent="0.25">
      <c r="AD19336"/>
    </row>
    <row r="19337" spans="30:30" x14ac:dyDescent="0.25">
      <c r="AD19337"/>
    </row>
    <row r="19338" spans="30:30" x14ac:dyDescent="0.25">
      <c r="AD19338"/>
    </row>
    <row r="19339" spans="30:30" x14ac:dyDescent="0.25">
      <c r="AD19339"/>
    </row>
    <row r="19340" spans="30:30" x14ac:dyDescent="0.25">
      <c r="AD19340"/>
    </row>
    <row r="19341" spans="30:30" x14ac:dyDescent="0.25">
      <c r="AD19341"/>
    </row>
    <row r="19342" spans="30:30" x14ac:dyDescent="0.25">
      <c r="AD19342"/>
    </row>
    <row r="19343" spans="30:30" x14ac:dyDescent="0.25">
      <c r="AD19343"/>
    </row>
    <row r="19344" spans="30:30" x14ac:dyDescent="0.25">
      <c r="AD19344"/>
    </row>
    <row r="19345" spans="30:30" x14ac:dyDescent="0.25">
      <c r="AD19345"/>
    </row>
    <row r="19346" spans="30:30" x14ac:dyDescent="0.25">
      <c r="AD19346"/>
    </row>
    <row r="19347" spans="30:30" x14ac:dyDescent="0.25">
      <c r="AD19347"/>
    </row>
    <row r="19348" spans="30:30" x14ac:dyDescent="0.25">
      <c r="AD19348"/>
    </row>
    <row r="19349" spans="30:30" x14ac:dyDescent="0.25">
      <c r="AD19349"/>
    </row>
    <row r="19350" spans="30:30" x14ac:dyDescent="0.25">
      <c r="AD19350"/>
    </row>
    <row r="19351" spans="30:30" x14ac:dyDescent="0.25">
      <c r="AD19351"/>
    </row>
    <row r="19352" spans="30:30" x14ac:dyDescent="0.25">
      <c r="AD19352"/>
    </row>
    <row r="19353" spans="30:30" x14ac:dyDescent="0.25">
      <c r="AD19353"/>
    </row>
    <row r="19354" spans="30:30" x14ac:dyDescent="0.25">
      <c r="AD19354"/>
    </row>
    <row r="19355" spans="30:30" x14ac:dyDescent="0.25">
      <c r="AD19355"/>
    </row>
    <row r="19356" spans="30:30" x14ac:dyDescent="0.25">
      <c r="AD19356"/>
    </row>
    <row r="19357" spans="30:30" x14ac:dyDescent="0.25">
      <c r="AD19357"/>
    </row>
    <row r="19358" spans="30:30" x14ac:dyDescent="0.25">
      <c r="AD19358"/>
    </row>
    <row r="19359" spans="30:30" x14ac:dyDescent="0.25">
      <c r="AD19359"/>
    </row>
    <row r="19360" spans="30:30" x14ac:dyDescent="0.25">
      <c r="AD19360"/>
    </row>
    <row r="19361" spans="30:30" x14ac:dyDescent="0.25">
      <c r="AD19361"/>
    </row>
    <row r="19362" spans="30:30" x14ac:dyDescent="0.25">
      <c r="AD19362"/>
    </row>
    <row r="19363" spans="30:30" x14ac:dyDescent="0.25">
      <c r="AD19363"/>
    </row>
    <row r="19364" spans="30:30" x14ac:dyDescent="0.25">
      <c r="AD19364"/>
    </row>
    <row r="19365" spans="30:30" x14ac:dyDescent="0.25">
      <c r="AD19365"/>
    </row>
    <row r="19366" spans="30:30" x14ac:dyDescent="0.25">
      <c r="AD19366"/>
    </row>
    <row r="19367" spans="30:30" x14ac:dyDescent="0.25">
      <c r="AD19367"/>
    </row>
    <row r="19368" spans="30:30" x14ac:dyDescent="0.25">
      <c r="AD19368"/>
    </row>
    <row r="19369" spans="30:30" x14ac:dyDescent="0.25">
      <c r="AD19369"/>
    </row>
    <row r="19370" spans="30:30" x14ac:dyDescent="0.25">
      <c r="AD19370"/>
    </row>
    <row r="19371" spans="30:30" x14ac:dyDescent="0.25">
      <c r="AD19371"/>
    </row>
    <row r="19372" spans="30:30" x14ac:dyDescent="0.25">
      <c r="AD19372"/>
    </row>
    <row r="19373" spans="30:30" x14ac:dyDescent="0.25">
      <c r="AD19373"/>
    </row>
    <row r="19374" spans="30:30" x14ac:dyDescent="0.25">
      <c r="AD19374"/>
    </row>
    <row r="19375" spans="30:30" x14ac:dyDescent="0.25">
      <c r="AD19375"/>
    </row>
    <row r="19376" spans="30:30" x14ac:dyDescent="0.25">
      <c r="AD19376"/>
    </row>
    <row r="19377" spans="30:30" x14ac:dyDescent="0.25">
      <c r="AD19377"/>
    </row>
    <row r="19378" spans="30:30" x14ac:dyDescent="0.25">
      <c r="AD19378"/>
    </row>
    <row r="19379" spans="30:30" x14ac:dyDescent="0.25">
      <c r="AD19379"/>
    </row>
    <row r="19380" spans="30:30" x14ac:dyDescent="0.25">
      <c r="AD19380"/>
    </row>
    <row r="19381" spans="30:30" x14ac:dyDescent="0.25">
      <c r="AD19381"/>
    </row>
    <row r="19382" spans="30:30" x14ac:dyDescent="0.25">
      <c r="AD19382"/>
    </row>
    <row r="19383" spans="30:30" x14ac:dyDescent="0.25">
      <c r="AD19383"/>
    </row>
    <row r="19384" spans="30:30" x14ac:dyDescent="0.25">
      <c r="AD19384"/>
    </row>
    <row r="19385" spans="30:30" x14ac:dyDescent="0.25">
      <c r="AD19385"/>
    </row>
    <row r="19386" spans="30:30" x14ac:dyDescent="0.25">
      <c r="AD19386"/>
    </row>
    <row r="19387" spans="30:30" x14ac:dyDescent="0.25">
      <c r="AD19387"/>
    </row>
    <row r="19388" spans="30:30" x14ac:dyDescent="0.25">
      <c r="AD19388"/>
    </row>
    <row r="19389" spans="30:30" x14ac:dyDescent="0.25">
      <c r="AD19389"/>
    </row>
    <row r="19390" spans="30:30" x14ac:dyDescent="0.25">
      <c r="AD19390"/>
    </row>
    <row r="19391" spans="30:30" x14ac:dyDescent="0.25">
      <c r="AD19391"/>
    </row>
    <row r="19392" spans="30:30" x14ac:dyDescent="0.25">
      <c r="AD19392"/>
    </row>
    <row r="19393" spans="30:30" x14ac:dyDescent="0.25">
      <c r="AD19393"/>
    </row>
    <row r="19394" spans="30:30" x14ac:dyDescent="0.25">
      <c r="AD19394"/>
    </row>
    <row r="19395" spans="30:30" x14ac:dyDescent="0.25">
      <c r="AD19395"/>
    </row>
    <row r="19396" spans="30:30" x14ac:dyDescent="0.25">
      <c r="AD19396"/>
    </row>
    <row r="19397" spans="30:30" x14ac:dyDescent="0.25">
      <c r="AD19397"/>
    </row>
    <row r="19398" spans="30:30" x14ac:dyDescent="0.25">
      <c r="AD19398"/>
    </row>
    <row r="19399" spans="30:30" x14ac:dyDescent="0.25">
      <c r="AD19399"/>
    </row>
    <row r="19400" spans="30:30" x14ac:dyDescent="0.25">
      <c r="AD19400"/>
    </row>
    <row r="19401" spans="30:30" x14ac:dyDescent="0.25">
      <c r="AD19401"/>
    </row>
    <row r="19402" spans="30:30" x14ac:dyDescent="0.25">
      <c r="AD19402"/>
    </row>
    <row r="19403" spans="30:30" x14ac:dyDescent="0.25">
      <c r="AD19403"/>
    </row>
    <row r="19404" spans="30:30" x14ac:dyDescent="0.25">
      <c r="AD19404"/>
    </row>
    <row r="19405" spans="30:30" x14ac:dyDescent="0.25">
      <c r="AD19405"/>
    </row>
    <row r="19406" spans="30:30" x14ac:dyDescent="0.25">
      <c r="AD19406"/>
    </row>
    <row r="19407" spans="30:30" x14ac:dyDescent="0.25">
      <c r="AD19407"/>
    </row>
    <row r="19408" spans="30:30" x14ac:dyDescent="0.25">
      <c r="AD19408"/>
    </row>
    <row r="19409" spans="30:30" x14ac:dyDescent="0.25">
      <c r="AD19409"/>
    </row>
    <row r="19410" spans="30:30" x14ac:dyDescent="0.25">
      <c r="AD19410"/>
    </row>
    <row r="19411" spans="30:30" x14ac:dyDescent="0.25">
      <c r="AD19411"/>
    </row>
    <row r="19412" spans="30:30" x14ac:dyDescent="0.25">
      <c r="AD19412"/>
    </row>
    <row r="19413" spans="30:30" x14ac:dyDescent="0.25">
      <c r="AD19413"/>
    </row>
    <row r="19414" spans="30:30" x14ac:dyDescent="0.25">
      <c r="AD19414"/>
    </row>
    <row r="19415" spans="30:30" x14ac:dyDescent="0.25">
      <c r="AD19415"/>
    </row>
    <row r="19416" spans="30:30" x14ac:dyDescent="0.25">
      <c r="AD19416"/>
    </row>
    <row r="19417" spans="30:30" x14ac:dyDescent="0.25">
      <c r="AD19417"/>
    </row>
    <row r="19418" spans="30:30" x14ac:dyDescent="0.25">
      <c r="AD19418"/>
    </row>
    <row r="19419" spans="30:30" x14ac:dyDescent="0.25">
      <c r="AD19419"/>
    </row>
    <row r="19420" spans="30:30" x14ac:dyDescent="0.25">
      <c r="AD19420"/>
    </row>
    <row r="19421" spans="30:30" x14ac:dyDescent="0.25">
      <c r="AD19421"/>
    </row>
    <row r="19422" spans="30:30" x14ac:dyDescent="0.25">
      <c r="AD19422"/>
    </row>
    <row r="19423" spans="30:30" x14ac:dyDescent="0.25">
      <c r="AD19423"/>
    </row>
    <row r="19424" spans="30:30" x14ac:dyDescent="0.25">
      <c r="AD19424"/>
    </row>
    <row r="19425" spans="30:30" x14ac:dyDescent="0.25">
      <c r="AD19425"/>
    </row>
    <row r="19426" spans="30:30" x14ac:dyDescent="0.25">
      <c r="AD19426"/>
    </row>
    <row r="19427" spans="30:30" x14ac:dyDescent="0.25">
      <c r="AD19427"/>
    </row>
    <row r="19428" spans="30:30" x14ac:dyDescent="0.25">
      <c r="AD19428"/>
    </row>
    <row r="19429" spans="30:30" x14ac:dyDescent="0.25">
      <c r="AD19429"/>
    </row>
    <row r="19430" spans="30:30" x14ac:dyDescent="0.25">
      <c r="AD19430"/>
    </row>
    <row r="19431" spans="30:30" x14ac:dyDescent="0.25">
      <c r="AD19431"/>
    </row>
    <row r="19432" spans="30:30" x14ac:dyDescent="0.25">
      <c r="AD19432"/>
    </row>
    <row r="19433" spans="30:30" x14ac:dyDescent="0.25">
      <c r="AD19433"/>
    </row>
    <row r="19434" spans="30:30" x14ac:dyDescent="0.25">
      <c r="AD19434"/>
    </row>
    <row r="19435" spans="30:30" x14ac:dyDescent="0.25">
      <c r="AD19435"/>
    </row>
    <row r="19436" spans="30:30" x14ac:dyDescent="0.25">
      <c r="AD19436"/>
    </row>
    <row r="19437" spans="30:30" x14ac:dyDescent="0.25">
      <c r="AD19437"/>
    </row>
    <row r="19438" spans="30:30" x14ac:dyDescent="0.25">
      <c r="AD19438"/>
    </row>
    <row r="19439" spans="30:30" x14ac:dyDescent="0.25">
      <c r="AD19439"/>
    </row>
    <row r="19440" spans="30:30" x14ac:dyDescent="0.25">
      <c r="AD19440"/>
    </row>
    <row r="19441" spans="30:30" x14ac:dyDescent="0.25">
      <c r="AD19441"/>
    </row>
    <row r="19442" spans="30:30" x14ac:dyDescent="0.25">
      <c r="AD19442"/>
    </row>
    <row r="19443" spans="30:30" x14ac:dyDescent="0.25">
      <c r="AD19443"/>
    </row>
    <row r="19444" spans="30:30" x14ac:dyDescent="0.25">
      <c r="AD19444"/>
    </row>
    <row r="19445" spans="30:30" x14ac:dyDescent="0.25">
      <c r="AD19445"/>
    </row>
    <row r="19446" spans="30:30" x14ac:dyDescent="0.25">
      <c r="AD19446"/>
    </row>
    <row r="19447" spans="30:30" x14ac:dyDescent="0.25">
      <c r="AD19447"/>
    </row>
    <row r="19448" spans="30:30" x14ac:dyDescent="0.25">
      <c r="AD19448"/>
    </row>
    <row r="19449" spans="30:30" x14ac:dyDescent="0.25">
      <c r="AD19449"/>
    </row>
    <row r="19450" spans="30:30" x14ac:dyDescent="0.25">
      <c r="AD19450"/>
    </row>
    <row r="19451" spans="30:30" x14ac:dyDescent="0.25">
      <c r="AD19451"/>
    </row>
    <row r="19452" spans="30:30" x14ac:dyDescent="0.25">
      <c r="AD19452"/>
    </row>
    <row r="19453" spans="30:30" x14ac:dyDescent="0.25">
      <c r="AD19453"/>
    </row>
    <row r="19454" spans="30:30" x14ac:dyDescent="0.25">
      <c r="AD19454"/>
    </row>
    <row r="19455" spans="30:30" x14ac:dyDescent="0.25">
      <c r="AD19455"/>
    </row>
    <row r="19456" spans="30:30" x14ac:dyDescent="0.25">
      <c r="AD19456"/>
    </row>
    <row r="19457" spans="30:30" x14ac:dyDescent="0.25">
      <c r="AD19457"/>
    </row>
    <row r="19458" spans="30:30" x14ac:dyDescent="0.25">
      <c r="AD19458"/>
    </row>
    <row r="19459" spans="30:30" x14ac:dyDescent="0.25">
      <c r="AD19459"/>
    </row>
    <row r="19460" spans="30:30" x14ac:dyDescent="0.25">
      <c r="AD19460"/>
    </row>
    <row r="19461" spans="30:30" x14ac:dyDescent="0.25">
      <c r="AD19461"/>
    </row>
    <row r="19462" spans="30:30" x14ac:dyDescent="0.25">
      <c r="AD19462"/>
    </row>
    <row r="19463" spans="30:30" x14ac:dyDescent="0.25">
      <c r="AD19463"/>
    </row>
    <row r="19464" spans="30:30" x14ac:dyDescent="0.25">
      <c r="AD19464"/>
    </row>
    <row r="19465" spans="30:30" x14ac:dyDescent="0.25">
      <c r="AD19465"/>
    </row>
    <row r="19466" spans="30:30" x14ac:dyDescent="0.25">
      <c r="AD19466"/>
    </row>
    <row r="19467" spans="30:30" x14ac:dyDescent="0.25">
      <c r="AD19467"/>
    </row>
    <row r="19468" spans="30:30" x14ac:dyDescent="0.25">
      <c r="AD19468"/>
    </row>
    <row r="19469" spans="30:30" x14ac:dyDescent="0.25">
      <c r="AD19469"/>
    </row>
    <row r="19470" spans="30:30" x14ac:dyDescent="0.25">
      <c r="AD19470"/>
    </row>
    <row r="19471" spans="30:30" x14ac:dyDescent="0.25">
      <c r="AD19471"/>
    </row>
    <row r="19472" spans="30:30" x14ac:dyDescent="0.25">
      <c r="AD19472"/>
    </row>
    <row r="19473" spans="30:30" x14ac:dyDescent="0.25">
      <c r="AD19473"/>
    </row>
    <row r="19474" spans="30:30" x14ac:dyDescent="0.25">
      <c r="AD19474"/>
    </row>
    <row r="19475" spans="30:30" x14ac:dyDescent="0.25">
      <c r="AD19475"/>
    </row>
    <row r="19476" spans="30:30" x14ac:dyDescent="0.25">
      <c r="AD19476"/>
    </row>
    <row r="19477" spans="30:30" x14ac:dyDescent="0.25">
      <c r="AD19477"/>
    </row>
    <row r="19478" spans="30:30" x14ac:dyDescent="0.25">
      <c r="AD19478"/>
    </row>
    <row r="19479" spans="30:30" x14ac:dyDescent="0.25">
      <c r="AD19479"/>
    </row>
    <row r="19480" spans="30:30" x14ac:dyDescent="0.25">
      <c r="AD19480"/>
    </row>
    <row r="19481" spans="30:30" x14ac:dyDescent="0.25">
      <c r="AD19481"/>
    </row>
    <row r="19482" spans="30:30" x14ac:dyDescent="0.25">
      <c r="AD19482"/>
    </row>
    <row r="19483" spans="30:30" x14ac:dyDescent="0.25">
      <c r="AD19483"/>
    </row>
    <row r="19484" spans="30:30" x14ac:dyDescent="0.25">
      <c r="AD19484"/>
    </row>
    <row r="19485" spans="30:30" x14ac:dyDescent="0.25">
      <c r="AD19485"/>
    </row>
    <row r="19486" spans="30:30" x14ac:dyDescent="0.25">
      <c r="AD19486"/>
    </row>
    <row r="19487" spans="30:30" x14ac:dyDescent="0.25">
      <c r="AD19487"/>
    </row>
    <row r="19488" spans="30:30" x14ac:dyDescent="0.25">
      <c r="AD19488"/>
    </row>
    <row r="19489" spans="30:30" x14ac:dyDescent="0.25">
      <c r="AD19489"/>
    </row>
    <row r="19490" spans="30:30" x14ac:dyDescent="0.25">
      <c r="AD19490"/>
    </row>
    <row r="19491" spans="30:30" x14ac:dyDescent="0.25">
      <c r="AD19491"/>
    </row>
    <row r="19492" spans="30:30" x14ac:dyDescent="0.25">
      <c r="AD19492"/>
    </row>
    <row r="19493" spans="30:30" x14ac:dyDescent="0.25">
      <c r="AD19493"/>
    </row>
    <row r="19494" spans="30:30" x14ac:dyDescent="0.25">
      <c r="AD19494"/>
    </row>
    <row r="19495" spans="30:30" x14ac:dyDescent="0.25">
      <c r="AD19495"/>
    </row>
    <row r="19496" spans="30:30" x14ac:dyDescent="0.25">
      <c r="AD19496"/>
    </row>
    <row r="19497" spans="30:30" x14ac:dyDescent="0.25">
      <c r="AD19497"/>
    </row>
    <row r="19498" spans="30:30" x14ac:dyDescent="0.25">
      <c r="AD19498"/>
    </row>
    <row r="19499" spans="30:30" x14ac:dyDescent="0.25">
      <c r="AD19499"/>
    </row>
    <row r="19500" spans="30:30" x14ac:dyDescent="0.25">
      <c r="AD19500"/>
    </row>
    <row r="19501" spans="30:30" x14ac:dyDescent="0.25">
      <c r="AD19501"/>
    </row>
    <row r="19502" spans="30:30" x14ac:dyDescent="0.25">
      <c r="AD19502"/>
    </row>
    <row r="19503" spans="30:30" x14ac:dyDescent="0.25">
      <c r="AD19503"/>
    </row>
    <row r="19504" spans="30:30" x14ac:dyDescent="0.25">
      <c r="AD19504"/>
    </row>
    <row r="19505" spans="30:30" x14ac:dyDescent="0.25">
      <c r="AD19505"/>
    </row>
    <row r="19506" spans="30:30" x14ac:dyDescent="0.25">
      <c r="AD19506"/>
    </row>
    <row r="19507" spans="30:30" x14ac:dyDescent="0.25">
      <c r="AD19507"/>
    </row>
    <row r="19508" spans="30:30" x14ac:dyDescent="0.25">
      <c r="AD19508"/>
    </row>
    <row r="19509" spans="30:30" x14ac:dyDescent="0.25">
      <c r="AD19509"/>
    </row>
    <row r="19510" spans="30:30" x14ac:dyDescent="0.25">
      <c r="AD19510"/>
    </row>
    <row r="19511" spans="30:30" x14ac:dyDescent="0.25">
      <c r="AD19511"/>
    </row>
    <row r="19512" spans="30:30" x14ac:dyDescent="0.25">
      <c r="AD19512"/>
    </row>
    <row r="19513" spans="30:30" x14ac:dyDescent="0.25">
      <c r="AD19513"/>
    </row>
    <row r="19514" spans="30:30" x14ac:dyDescent="0.25">
      <c r="AD19514"/>
    </row>
    <row r="19515" spans="30:30" x14ac:dyDescent="0.25">
      <c r="AD19515"/>
    </row>
    <row r="19516" spans="30:30" x14ac:dyDescent="0.25">
      <c r="AD19516"/>
    </row>
    <row r="19517" spans="30:30" x14ac:dyDescent="0.25">
      <c r="AD19517"/>
    </row>
    <row r="19518" spans="30:30" x14ac:dyDescent="0.25">
      <c r="AD19518"/>
    </row>
    <row r="19519" spans="30:30" x14ac:dyDescent="0.25">
      <c r="AD19519"/>
    </row>
    <row r="19520" spans="30:30" x14ac:dyDescent="0.25">
      <c r="AD19520"/>
    </row>
    <row r="19521" spans="30:30" x14ac:dyDescent="0.25">
      <c r="AD19521"/>
    </row>
    <row r="19522" spans="30:30" x14ac:dyDescent="0.25">
      <c r="AD19522"/>
    </row>
    <row r="19523" spans="30:30" x14ac:dyDescent="0.25">
      <c r="AD19523"/>
    </row>
    <row r="19524" spans="30:30" x14ac:dyDescent="0.25">
      <c r="AD19524"/>
    </row>
    <row r="19525" spans="30:30" x14ac:dyDescent="0.25">
      <c r="AD19525"/>
    </row>
    <row r="19526" spans="30:30" x14ac:dyDescent="0.25">
      <c r="AD19526"/>
    </row>
    <row r="19527" spans="30:30" x14ac:dyDescent="0.25">
      <c r="AD19527"/>
    </row>
    <row r="19528" spans="30:30" x14ac:dyDescent="0.25">
      <c r="AD19528"/>
    </row>
    <row r="19529" spans="30:30" x14ac:dyDescent="0.25">
      <c r="AD19529"/>
    </row>
    <row r="19530" spans="30:30" x14ac:dyDescent="0.25">
      <c r="AD19530"/>
    </row>
    <row r="19531" spans="30:30" x14ac:dyDescent="0.25">
      <c r="AD19531"/>
    </row>
    <row r="19532" spans="30:30" x14ac:dyDescent="0.25">
      <c r="AD19532"/>
    </row>
    <row r="19533" spans="30:30" x14ac:dyDescent="0.25">
      <c r="AD19533"/>
    </row>
    <row r="19534" spans="30:30" x14ac:dyDescent="0.25">
      <c r="AD19534"/>
    </row>
    <row r="19535" spans="30:30" x14ac:dyDescent="0.25">
      <c r="AD19535"/>
    </row>
    <row r="19536" spans="30:30" x14ac:dyDescent="0.25">
      <c r="AD19536"/>
    </row>
    <row r="19537" spans="30:30" x14ac:dyDescent="0.25">
      <c r="AD19537"/>
    </row>
    <row r="19538" spans="30:30" x14ac:dyDescent="0.25">
      <c r="AD19538"/>
    </row>
    <row r="19539" spans="30:30" x14ac:dyDescent="0.25">
      <c r="AD19539"/>
    </row>
    <row r="19540" spans="30:30" x14ac:dyDescent="0.25">
      <c r="AD19540"/>
    </row>
    <row r="19541" spans="30:30" x14ac:dyDescent="0.25">
      <c r="AD19541"/>
    </row>
    <row r="19542" spans="30:30" x14ac:dyDescent="0.25">
      <c r="AD19542"/>
    </row>
    <row r="19543" spans="30:30" x14ac:dyDescent="0.25">
      <c r="AD19543"/>
    </row>
    <row r="19544" spans="30:30" x14ac:dyDescent="0.25">
      <c r="AD19544"/>
    </row>
    <row r="19545" spans="30:30" x14ac:dyDescent="0.25">
      <c r="AD19545"/>
    </row>
    <row r="19546" spans="30:30" x14ac:dyDescent="0.25">
      <c r="AD19546"/>
    </row>
    <row r="19547" spans="30:30" x14ac:dyDescent="0.25">
      <c r="AD19547"/>
    </row>
    <row r="19548" spans="30:30" x14ac:dyDescent="0.25">
      <c r="AD19548"/>
    </row>
    <row r="19549" spans="30:30" x14ac:dyDescent="0.25">
      <c r="AD19549"/>
    </row>
    <row r="19550" spans="30:30" x14ac:dyDescent="0.25">
      <c r="AD19550"/>
    </row>
    <row r="19551" spans="30:30" x14ac:dyDescent="0.25">
      <c r="AD19551"/>
    </row>
    <row r="19552" spans="30:30" x14ac:dyDescent="0.25">
      <c r="AD19552"/>
    </row>
    <row r="19553" spans="30:30" x14ac:dyDescent="0.25">
      <c r="AD19553"/>
    </row>
    <row r="19554" spans="30:30" x14ac:dyDescent="0.25">
      <c r="AD19554"/>
    </row>
    <row r="19555" spans="30:30" x14ac:dyDescent="0.25">
      <c r="AD19555"/>
    </row>
    <row r="19556" spans="30:30" x14ac:dyDescent="0.25">
      <c r="AD19556"/>
    </row>
    <row r="19557" spans="30:30" x14ac:dyDescent="0.25">
      <c r="AD19557"/>
    </row>
    <row r="19558" spans="30:30" x14ac:dyDescent="0.25">
      <c r="AD19558"/>
    </row>
    <row r="19559" spans="30:30" x14ac:dyDescent="0.25">
      <c r="AD19559"/>
    </row>
    <row r="19560" spans="30:30" x14ac:dyDescent="0.25">
      <c r="AD19560"/>
    </row>
    <row r="19561" spans="30:30" x14ac:dyDescent="0.25">
      <c r="AD19561"/>
    </row>
    <row r="19562" spans="30:30" x14ac:dyDescent="0.25">
      <c r="AD19562"/>
    </row>
    <row r="19563" spans="30:30" x14ac:dyDescent="0.25">
      <c r="AD19563"/>
    </row>
    <row r="19564" spans="30:30" x14ac:dyDescent="0.25">
      <c r="AD19564"/>
    </row>
    <row r="19565" spans="30:30" x14ac:dyDescent="0.25">
      <c r="AD19565"/>
    </row>
    <row r="19566" spans="30:30" x14ac:dyDescent="0.25">
      <c r="AD19566"/>
    </row>
    <row r="19567" spans="30:30" x14ac:dyDescent="0.25">
      <c r="AD19567"/>
    </row>
    <row r="19568" spans="30:30" x14ac:dyDescent="0.25">
      <c r="AD19568"/>
    </row>
    <row r="19569" spans="30:30" x14ac:dyDescent="0.25">
      <c r="AD19569"/>
    </row>
    <row r="19570" spans="30:30" x14ac:dyDescent="0.25">
      <c r="AD19570"/>
    </row>
    <row r="19571" spans="30:30" x14ac:dyDescent="0.25">
      <c r="AD19571"/>
    </row>
    <row r="19572" spans="30:30" x14ac:dyDescent="0.25">
      <c r="AD19572"/>
    </row>
    <row r="19573" spans="30:30" x14ac:dyDescent="0.25">
      <c r="AD19573"/>
    </row>
    <row r="19574" spans="30:30" x14ac:dyDescent="0.25">
      <c r="AD19574"/>
    </row>
    <row r="19575" spans="30:30" x14ac:dyDescent="0.25">
      <c r="AD19575"/>
    </row>
    <row r="19576" spans="30:30" x14ac:dyDescent="0.25">
      <c r="AD19576"/>
    </row>
    <row r="19577" spans="30:30" x14ac:dyDescent="0.25">
      <c r="AD19577"/>
    </row>
    <row r="19578" spans="30:30" x14ac:dyDescent="0.25">
      <c r="AD19578"/>
    </row>
    <row r="19579" spans="30:30" x14ac:dyDescent="0.25">
      <c r="AD19579"/>
    </row>
    <row r="19580" spans="30:30" x14ac:dyDescent="0.25">
      <c r="AD19580"/>
    </row>
    <row r="19581" spans="30:30" x14ac:dyDescent="0.25">
      <c r="AD19581"/>
    </row>
    <row r="19582" spans="30:30" x14ac:dyDescent="0.25">
      <c r="AD19582"/>
    </row>
    <row r="19583" spans="30:30" x14ac:dyDescent="0.25">
      <c r="AD19583"/>
    </row>
    <row r="19584" spans="30:30" x14ac:dyDescent="0.25">
      <c r="AD19584"/>
    </row>
    <row r="19585" spans="30:30" x14ac:dyDescent="0.25">
      <c r="AD19585"/>
    </row>
    <row r="19586" spans="30:30" x14ac:dyDescent="0.25">
      <c r="AD19586"/>
    </row>
    <row r="19587" spans="30:30" x14ac:dyDescent="0.25">
      <c r="AD19587"/>
    </row>
    <row r="19588" spans="30:30" x14ac:dyDescent="0.25">
      <c r="AD19588"/>
    </row>
    <row r="19589" spans="30:30" x14ac:dyDescent="0.25">
      <c r="AD19589"/>
    </row>
    <row r="19590" spans="30:30" x14ac:dyDescent="0.25">
      <c r="AD19590"/>
    </row>
    <row r="19591" spans="30:30" x14ac:dyDescent="0.25">
      <c r="AD19591"/>
    </row>
    <row r="19592" spans="30:30" x14ac:dyDescent="0.25">
      <c r="AD19592"/>
    </row>
    <row r="19593" spans="30:30" x14ac:dyDescent="0.25">
      <c r="AD19593"/>
    </row>
    <row r="19594" spans="30:30" x14ac:dyDescent="0.25">
      <c r="AD19594"/>
    </row>
    <row r="19595" spans="30:30" x14ac:dyDescent="0.25">
      <c r="AD19595"/>
    </row>
    <row r="19596" spans="30:30" x14ac:dyDescent="0.25">
      <c r="AD19596"/>
    </row>
    <row r="19597" spans="30:30" x14ac:dyDescent="0.25">
      <c r="AD19597"/>
    </row>
    <row r="19598" spans="30:30" x14ac:dyDescent="0.25">
      <c r="AD19598"/>
    </row>
    <row r="19599" spans="30:30" x14ac:dyDescent="0.25">
      <c r="AD19599"/>
    </row>
    <row r="19600" spans="30:30" x14ac:dyDescent="0.25">
      <c r="AD19600"/>
    </row>
    <row r="19601" spans="30:30" x14ac:dyDescent="0.25">
      <c r="AD19601"/>
    </row>
    <row r="19602" spans="30:30" x14ac:dyDescent="0.25">
      <c r="AD19602"/>
    </row>
    <row r="19603" spans="30:30" x14ac:dyDescent="0.25">
      <c r="AD19603"/>
    </row>
    <row r="19604" spans="30:30" x14ac:dyDescent="0.25">
      <c r="AD19604"/>
    </row>
    <row r="19605" spans="30:30" x14ac:dyDescent="0.25">
      <c r="AD19605"/>
    </row>
    <row r="19606" spans="30:30" x14ac:dyDescent="0.25">
      <c r="AD19606"/>
    </row>
    <row r="19607" spans="30:30" x14ac:dyDescent="0.25">
      <c r="AD19607"/>
    </row>
    <row r="19608" spans="30:30" x14ac:dyDescent="0.25">
      <c r="AD19608"/>
    </row>
    <row r="19609" spans="30:30" x14ac:dyDescent="0.25">
      <c r="AD19609"/>
    </row>
    <row r="19610" spans="30:30" x14ac:dyDescent="0.25">
      <c r="AD19610"/>
    </row>
    <row r="19611" spans="30:30" x14ac:dyDescent="0.25">
      <c r="AD19611"/>
    </row>
    <row r="19612" spans="30:30" x14ac:dyDescent="0.25">
      <c r="AD19612"/>
    </row>
    <row r="19613" spans="30:30" x14ac:dyDescent="0.25">
      <c r="AD19613"/>
    </row>
    <row r="19614" spans="30:30" x14ac:dyDescent="0.25">
      <c r="AD19614"/>
    </row>
    <row r="19615" spans="30:30" x14ac:dyDescent="0.25">
      <c r="AD19615"/>
    </row>
    <row r="19616" spans="30:30" x14ac:dyDescent="0.25">
      <c r="AD19616"/>
    </row>
    <row r="19617" spans="30:30" x14ac:dyDescent="0.25">
      <c r="AD19617"/>
    </row>
    <row r="19618" spans="30:30" x14ac:dyDescent="0.25">
      <c r="AD19618"/>
    </row>
    <row r="19619" spans="30:30" x14ac:dyDescent="0.25">
      <c r="AD19619"/>
    </row>
    <row r="19620" spans="30:30" x14ac:dyDescent="0.25">
      <c r="AD19620"/>
    </row>
    <row r="19621" spans="30:30" x14ac:dyDescent="0.25">
      <c r="AD19621"/>
    </row>
    <row r="19622" spans="30:30" x14ac:dyDescent="0.25">
      <c r="AD19622"/>
    </row>
    <row r="19623" spans="30:30" x14ac:dyDescent="0.25">
      <c r="AD19623"/>
    </row>
    <row r="19624" spans="30:30" x14ac:dyDescent="0.25">
      <c r="AD19624"/>
    </row>
    <row r="19625" spans="30:30" x14ac:dyDescent="0.25">
      <c r="AD19625"/>
    </row>
    <row r="19626" spans="30:30" x14ac:dyDescent="0.25">
      <c r="AD19626"/>
    </row>
    <row r="19627" spans="30:30" x14ac:dyDescent="0.25">
      <c r="AD19627"/>
    </row>
    <row r="19628" spans="30:30" x14ac:dyDescent="0.25">
      <c r="AD19628"/>
    </row>
    <row r="19629" spans="30:30" x14ac:dyDescent="0.25">
      <c r="AD19629"/>
    </row>
    <row r="19630" spans="30:30" x14ac:dyDescent="0.25">
      <c r="AD19630"/>
    </row>
    <row r="19631" spans="30:30" x14ac:dyDescent="0.25">
      <c r="AD19631"/>
    </row>
    <row r="19632" spans="30:30" x14ac:dyDescent="0.25">
      <c r="AD19632"/>
    </row>
    <row r="19633" spans="30:30" x14ac:dyDescent="0.25">
      <c r="AD19633"/>
    </row>
    <row r="19634" spans="30:30" x14ac:dyDescent="0.25">
      <c r="AD19634"/>
    </row>
    <row r="19635" spans="30:30" x14ac:dyDescent="0.25">
      <c r="AD19635"/>
    </row>
    <row r="19636" spans="30:30" x14ac:dyDescent="0.25">
      <c r="AD19636"/>
    </row>
    <row r="19637" spans="30:30" x14ac:dyDescent="0.25">
      <c r="AD19637"/>
    </row>
    <row r="19638" spans="30:30" x14ac:dyDescent="0.25">
      <c r="AD19638"/>
    </row>
    <row r="19639" spans="30:30" x14ac:dyDescent="0.25">
      <c r="AD19639"/>
    </row>
    <row r="19640" spans="30:30" x14ac:dyDescent="0.25">
      <c r="AD19640"/>
    </row>
    <row r="19641" spans="30:30" x14ac:dyDescent="0.25">
      <c r="AD19641"/>
    </row>
    <row r="19642" spans="30:30" x14ac:dyDescent="0.25">
      <c r="AD19642"/>
    </row>
    <row r="19643" spans="30:30" x14ac:dyDescent="0.25">
      <c r="AD19643"/>
    </row>
    <row r="19644" spans="30:30" x14ac:dyDescent="0.25">
      <c r="AD19644"/>
    </row>
    <row r="19645" spans="30:30" x14ac:dyDescent="0.25">
      <c r="AD19645"/>
    </row>
    <row r="19646" spans="30:30" x14ac:dyDescent="0.25">
      <c r="AD19646"/>
    </row>
    <row r="19647" spans="30:30" x14ac:dyDescent="0.25">
      <c r="AD19647"/>
    </row>
    <row r="19648" spans="30:30" x14ac:dyDescent="0.25">
      <c r="AD19648"/>
    </row>
    <row r="19649" spans="30:30" x14ac:dyDescent="0.25">
      <c r="AD19649"/>
    </row>
    <row r="19650" spans="30:30" x14ac:dyDescent="0.25">
      <c r="AD19650"/>
    </row>
    <row r="19651" spans="30:30" x14ac:dyDescent="0.25">
      <c r="AD19651"/>
    </row>
    <row r="19652" spans="30:30" x14ac:dyDescent="0.25">
      <c r="AD19652"/>
    </row>
    <row r="19653" spans="30:30" x14ac:dyDescent="0.25">
      <c r="AD19653"/>
    </row>
    <row r="19654" spans="30:30" x14ac:dyDescent="0.25">
      <c r="AD19654"/>
    </row>
    <row r="19655" spans="30:30" x14ac:dyDescent="0.25">
      <c r="AD19655"/>
    </row>
    <row r="19656" spans="30:30" x14ac:dyDescent="0.25">
      <c r="AD19656"/>
    </row>
    <row r="19657" spans="30:30" x14ac:dyDescent="0.25">
      <c r="AD19657"/>
    </row>
    <row r="19658" spans="30:30" x14ac:dyDescent="0.25">
      <c r="AD19658"/>
    </row>
    <row r="19659" spans="30:30" x14ac:dyDescent="0.25">
      <c r="AD19659"/>
    </row>
    <row r="19660" spans="30:30" x14ac:dyDescent="0.25">
      <c r="AD19660"/>
    </row>
    <row r="19661" spans="30:30" x14ac:dyDescent="0.25">
      <c r="AD19661"/>
    </row>
    <row r="19662" spans="30:30" x14ac:dyDescent="0.25">
      <c r="AD19662"/>
    </row>
    <row r="19663" spans="30:30" x14ac:dyDescent="0.25">
      <c r="AD19663"/>
    </row>
    <row r="19664" spans="30:30" x14ac:dyDescent="0.25">
      <c r="AD19664"/>
    </row>
    <row r="19665" spans="30:30" x14ac:dyDescent="0.25">
      <c r="AD19665"/>
    </row>
    <row r="19666" spans="30:30" x14ac:dyDescent="0.25">
      <c r="AD19666"/>
    </row>
    <row r="19667" spans="30:30" x14ac:dyDescent="0.25">
      <c r="AD19667"/>
    </row>
    <row r="19668" spans="30:30" x14ac:dyDescent="0.25">
      <c r="AD19668"/>
    </row>
    <row r="19669" spans="30:30" x14ac:dyDescent="0.25">
      <c r="AD19669"/>
    </row>
    <row r="19670" spans="30:30" x14ac:dyDescent="0.25">
      <c r="AD19670"/>
    </row>
    <row r="19671" spans="30:30" x14ac:dyDescent="0.25">
      <c r="AD19671"/>
    </row>
    <row r="19672" spans="30:30" x14ac:dyDescent="0.25">
      <c r="AD19672"/>
    </row>
    <row r="19673" spans="30:30" x14ac:dyDescent="0.25">
      <c r="AD19673"/>
    </row>
    <row r="19674" spans="30:30" x14ac:dyDescent="0.25">
      <c r="AD19674"/>
    </row>
    <row r="19675" spans="30:30" x14ac:dyDescent="0.25">
      <c r="AD19675"/>
    </row>
    <row r="19676" spans="30:30" x14ac:dyDescent="0.25">
      <c r="AD19676"/>
    </row>
    <row r="19677" spans="30:30" x14ac:dyDescent="0.25">
      <c r="AD19677"/>
    </row>
    <row r="19678" spans="30:30" x14ac:dyDescent="0.25">
      <c r="AD19678"/>
    </row>
    <row r="19679" spans="30:30" x14ac:dyDescent="0.25">
      <c r="AD19679"/>
    </row>
    <row r="19680" spans="30:30" x14ac:dyDescent="0.25">
      <c r="AD19680"/>
    </row>
    <row r="19681" spans="30:30" x14ac:dyDescent="0.25">
      <c r="AD19681"/>
    </row>
    <row r="19682" spans="30:30" x14ac:dyDescent="0.25">
      <c r="AD19682"/>
    </row>
    <row r="19683" spans="30:30" x14ac:dyDescent="0.25">
      <c r="AD19683"/>
    </row>
    <row r="19684" spans="30:30" x14ac:dyDescent="0.25">
      <c r="AD19684"/>
    </row>
    <row r="19685" spans="30:30" x14ac:dyDescent="0.25">
      <c r="AD19685"/>
    </row>
    <row r="19686" spans="30:30" x14ac:dyDescent="0.25">
      <c r="AD19686"/>
    </row>
    <row r="19687" spans="30:30" x14ac:dyDescent="0.25">
      <c r="AD19687"/>
    </row>
    <row r="19688" spans="30:30" x14ac:dyDescent="0.25">
      <c r="AD19688"/>
    </row>
    <row r="19689" spans="30:30" x14ac:dyDescent="0.25">
      <c r="AD19689"/>
    </row>
    <row r="19690" spans="30:30" x14ac:dyDescent="0.25">
      <c r="AD19690"/>
    </row>
    <row r="19691" spans="30:30" x14ac:dyDescent="0.25">
      <c r="AD19691"/>
    </row>
    <row r="19692" spans="30:30" x14ac:dyDescent="0.25">
      <c r="AD19692"/>
    </row>
    <row r="19693" spans="30:30" x14ac:dyDescent="0.25">
      <c r="AD19693"/>
    </row>
    <row r="19694" spans="30:30" x14ac:dyDescent="0.25">
      <c r="AD19694"/>
    </row>
    <row r="19695" spans="30:30" x14ac:dyDescent="0.25">
      <c r="AD19695"/>
    </row>
    <row r="19696" spans="30:30" x14ac:dyDescent="0.25">
      <c r="AD19696"/>
    </row>
    <row r="19697" spans="30:30" x14ac:dyDescent="0.25">
      <c r="AD19697"/>
    </row>
    <row r="19698" spans="30:30" x14ac:dyDescent="0.25">
      <c r="AD19698"/>
    </row>
    <row r="19699" spans="30:30" x14ac:dyDescent="0.25">
      <c r="AD19699"/>
    </row>
    <row r="19700" spans="30:30" x14ac:dyDescent="0.25">
      <c r="AD19700"/>
    </row>
    <row r="19701" spans="30:30" x14ac:dyDescent="0.25">
      <c r="AD19701"/>
    </row>
    <row r="19702" spans="30:30" x14ac:dyDescent="0.25">
      <c r="AD19702"/>
    </row>
    <row r="19703" spans="30:30" x14ac:dyDescent="0.25">
      <c r="AD19703"/>
    </row>
    <row r="19704" spans="30:30" x14ac:dyDescent="0.25">
      <c r="AD19704"/>
    </row>
    <row r="19705" spans="30:30" x14ac:dyDescent="0.25">
      <c r="AD19705"/>
    </row>
    <row r="19706" spans="30:30" x14ac:dyDescent="0.25">
      <c r="AD19706"/>
    </row>
    <row r="19707" spans="30:30" x14ac:dyDescent="0.25">
      <c r="AD19707"/>
    </row>
    <row r="19708" spans="30:30" x14ac:dyDescent="0.25">
      <c r="AD19708"/>
    </row>
    <row r="19709" spans="30:30" x14ac:dyDescent="0.25">
      <c r="AD19709"/>
    </row>
    <row r="19710" spans="30:30" x14ac:dyDescent="0.25">
      <c r="AD19710"/>
    </row>
    <row r="19711" spans="30:30" x14ac:dyDescent="0.25">
      <c r="AD19711"/>
    </row>
    <row r="19712" spans="30:30" x14ac:dyDescent="0.25">
      <c r="AD19712"/>
    </row>
    <row r="19713" spans="30:30" x14ac:dyDescent="0.25">
      <c r="AD19713"/>
    </row>
    <row r="19714" spans="30:30" x14ac:dyDescent="0.25">
      <c r="AD19714"/>
    </row>
    <row r="19715" spans="30:30" x14ac:dyDescent="0.25">
      <c r="AD19715"/>
    </row>
    <row r="19716" spans="30:30" x14ac:dyDescent="0.25">
      <c r="AD19716"/>
    </row>
    <row r="19717" spans="30:30" x14ac:dyDescent="0.25">
      <c r="AD19717"/>
    </row>
    <row r="19718" spans="30:30" x14ac:dyDescent="0.25">
      <c r="AD19718"/>
    </row>
    <row r="19719" spans="30:30" x14ac:dyDescent="0.25">
      <c r="AD19719"/>
    </row>
    <row r="19720" spans="30:30" x14ac:dyDescent="0.25">
      <c r="AD19720"/>
    </row>
    <row r="19721" spans="30:30" x14ac:dyDescent="0.25">
      <c r="AD19721"/>
    </row>
    <row r="19722" spans="30:30" x14ac:dyDescent="0.25">
      <c r="AD19722"/>
    </row>
    <row r="19723" spans="30:30" x14ac:dyDescent="0.25">
      <c r="AD19723"/>
    </row>
    <row r="19724" spans="30:30" x14ac:dyDescent="0.25">
      <c r="AD19724"/>
    </row>
    <row r="19725" spans="30:30" x14ac:dyDescent="0.25">
      <c r="AD19725"/>
    </row>
    <row r="19726" spans="30:30" x14ac:dyDescent="0.25">
      <c r="AD19726"/>
    </row>
    <row r="19727" spans="30:30" x14ac:dyDescent="0.25">
      <c r="AD19727"/>
    </row>
    <row r="19728" spans="30:30" x14ac:dyDescent="0.25">
      <c r="AD19728"/>
    </row>
    <row r="19729" spans="30:30" x14ac:dyDescent="0.25">
      <c r="AD19729"/>
    </row>
    <row r="19730" spans="30:30" x14ac:dyDescent="0.25">
      <c r="AD19730"/>
    </row>
    <row r="19731" spans="30:30" x14ac:dyDescent="0.25">
      <c r="AD19731"/>
    </row>
    <row r="19732" spans="30:30" x14ac:dyDescent="0.25">
      <c r="AD19732"/>
    </row>
    <row r="19733" spans="30:30" x14ac:dyDescent="0.25">
      <c r="AD19733"/>
    </row>
    <row r="19734" spans="30:30" x14ac:dyDescent="0.25">
      <c r="AD19734"/>
    </row>
    <row r="19735" spans="30:30" x14ac:dyDescent="0.25">
      <c r="AD19735"/>
    </row>
    <row r="19736" spans="30:30" x14ac:dyDescent="0.25">
      <c r="AD19736"/>
    </row>
    <row r="19737" spans="30:30" x14ac:dyDescent="0.25">
      <c r="AD19737"/>
    </row>
    <row r="19738" spans="30:30" x14ac:dyDescent="0.25">
      <c r="AD19738"/>
    </row>
    <row r="19739" spans="30:30" x14ac:dyDescent="0.25">
      <c r="AD19739"/>
    </row>
    <row r="19740" spans="30:30" x14ac:dyDescent="0.25">
      <c r="AD19740"/>
    </row>
    <row r="19741" spans="30:30" x14ac:dyDescent="0.25">
      <c r="AD19741"/>
    </row>
    <row r="19742" spans="30:30" x14ac:dyDescent="0.25">
      <c r="AD19742"/>
    </row>
    <row r="19743" spans="30:30" x14ac:dyDescent="0.25">
      <c r="AD19743"/>
    </row>
    <row r="19744" spans="30:30" x14ac:dyDescent="0.25">
      <c r="AD19744"/>
    </row>
    <row r="19745" spans="30:30" x14ac:dyDescent="0.25">
      <c r="AD19745"/>
    </row>
    <row r="19746" spans="30:30" x14ac:dyDescent="0.25">
      <c r="AD19746"/>
    </row>
    <row r="19747" spans="30:30" x14ac:dyDescent="0.25">
      <c r="AD19747"/>
    </row>
    <row r="19748" spans="30:30" x14ac:dyDescent="0.25">
      <c r="AD19748"/>
    </row>
    <row r="19749" spans="30:30" x14ac:dyDescent="0.25">
      <c r="AD19749"/>
    </row>
    <row r="19750" spans="30:30" x14ac:dyDescent="0.25">
      <c r="AD19750"/>
    </row>
    <row r="19751" spans="30:30" x14ac:dyDescent="0.25">
      <c r="AD19751"/>
    </row>
    <row r="19752" spans="30:30" x14ac:dyDescent="0.25">
      <c r="AD19752"/>
    </row>
    <row r="19753" spans="30:30" x14ac:dyDescent="0.25">
      <c r="AD19753"/>
    </row>
    <row r="19754" spans="30:30" x14ac:dyDescent="0.25">
      <c r="AD19754"/>
    </row>
    <row r="19755" spans="30:30" x14ac:dyDescent="0.25">
      <c r="AD19755"/>
    </row>
    <row r="19756" spans="30:30" x14ac:dyDescent="0.25">
      <c r="AD19756"/>
    </row>
    <row r="19757" spans="30:30" x14ac:dyDescent="0.25">
      <c r="AD19757"/>
    </row>
    <row r="19758" spans="30:30" x14ac:dyDescent="0.25">
      <c r="AD19758"/>
    </row>
    <row r="19759" spans="30:30" x14ac:dyDescent="0.25">
      <c r="AD19759"/>
    </row>
    <row r="19760" spans="30:30" x14ac:dyDescent="0.25">
      <c r="AD19760"/>
    </row>
    <row r="19761" spans="30:30" x14ac:dyDescent="0.25">
      <c r="AD19761"/>
    </row>
    <row r="19762" spans="30:30" x14ac:dyDescent="0.25">
      <c r="AD19762"/>
    </row>
    <row r="19763" spans="30:30" x14ac:dyDescent="0.25">
      <c r="AD19763"/>
    </row>
    <row r="19764" spans="30:30" x14ac:dyDescent="0.25">
      <c r="AD19764"/>
    </row>
    <row r="19765" spans="30:30" x14ac:dyDescent="0.25">
      <c r="AD19765"/>
    </row>
    <row r="19766" spans="30:30" x14ac:dyDescent="0.25">
      <c r="AD19766"/>
    </row>
    <row r="19767" spans="30:30" x14ac:dyDescent="0.25">
      <c r="AD19767"/>
    </row>
    <row r="19768" spans="30:30" x14ac:dyDescent="0.25">
      <c r="AD19768"/>
    </row>
    <row r="19769" spans="30:30" x14ac:dyDescent="0.25">
      <c r="AD19769"/>
    </row>
    <row r="19770" spans="30:30" x14ac:dyDescent="0.25">
      <c r="AD19770"/>
    </row>
    <row r="19771" spans="30:30" x14ac:dyDescent="0.25">
      <c r="AD19771"/>
    </row>
    <row r="19772" spans="30:30" x14ac:dyDescent="0.25">
      <c r="AD19772"/>
    </row>
    <row r="19773" spans="30:30" x14ac:dyDescent="0.25">
      <c r="AD19773"/>
    </row>
    <row r="19774" spans="30:30" x14ac:dyDescent="0.25">
      <c r="AD19774"/>
    </row>
    <row r="19775" spans="30:30" x14ac:dyDescent="0.25">
      <c r="AD19775"/>
    </row>
    <row r="19776" spans="30:30" x14ac:dyDescent="0.25">
      <c r="AD19776"/>
    </row>
    <row r="19777" spans="30:30" x14ac:dyDescent="0.25">
      <c r="AD19777"/>
    </row>
    <row r="19778" spans="30:30" x14ac:dyDescent="0.25">
      <c r="AD19778"/>
    </row>
    <row r="19779" spans="30:30" x14ac:dyDescent="0.25">
      <c r="AD19779"/>
    </row>
    <row r="19780" spans="30:30" x14ac:dyDescent="0.25">
      <c r="AD19780"/>
    </row>
    <row r="19781" spans="30:30" x14ac:dyDescent="0.25">
      <c r="AD19781"/>
    </row>
    <row r="19782" spans="30:30" x14ac:dyDescent="0.25">
      <c r="AD19782"/>
    </row>
    <row r="19783" spans="30:30" x14ac:dyDescent="0.25">
      <c r="AD19783"/>
    </row>
    <row r="19784" spans="30:30" x14ac:dyDescent="0.25">
      <c r="AD19784"/>
    </row>
    <row r="19785" spans="30:30" x14ac:dyDescent="0.25">
      <c r="AD19785"/>
    </row>
    <row r="19786" spans="30:30" x14ac:dyDescent="0.25">
      <c r="AD19786"/>
    </row>
    <row r="19787" spans="30:30" x14ac:dyDescent="0.25">
      <c r="AD19787"/>
    </row>
    <row r="19788" spans="30:30" x14ac:dyDescent="0.25">
      <c r="AD19788"/>
    </row>
    <row r="19789" spans="30:30" x14ac:dyDescent="0.25">
      <c r="AD19789"/>
    </row>
    <row r="19790" spans="30:30" x14ac:dyDescent="0.25">
      <c r="AD19790"/>
    </row>
    <row r="19791" spans="30:30" x14ac:dyDescent="0.25">
      <c r="AD19791"/>
    </row>
    <row r="19792" spans="30:30" x14ac:dyDescent="0.25">
      <c r="AD19792"/>
    </row>
    <row r="19793" spans="30:30" x14ac:dyDescent="0.25">
      <c r="AD19793"/>
    </row>
    <row r="19794" spans="30:30" x14ac:dyDescent="0.25">
      <c r="AD19794"/>
    </row>
    <row r="19795" spans="30:30" x14ac:dyDescent="0.25">
      <c r="AD19795"/>
    </row>
    <row r="19796" spans="30:30" x14ac:dyDescent="0.25">
      <c r="AD19796"/>
    </row>
    <row r="19797" spans="30:30" x14ac:dyDescent="0.25">
      <c r="AD19797"/>
    </row>
    <row r="19798" spans="30:30" x14ac:dyDescent="0.25">
      <c r="AD19798"/>
    </row>
    <row r="19799" spans="30:30" x14ac:dyDescent="0.25">
      <c r="AD19799"/>
    </row>
    <row r="19800" spans="30:30" x14ac:dyDescent="0.25">
      <c r="AD19800"/>
    </row>
    <row r="19801" spans="30:30" x14ac:dyDescent="0.25">
      <c r="AD19801"/>
    </row>
    <row r="19802" spans="30:30" x14ac:dyDescent="0.25">
      <c r="AD19802"/>
    </row>
    <row r="19803" spans="30:30" x14ac:dyDescent="0.25">
      <c r="AD19803"/>
    </row>
    <row r="19804" spans="30:30" x14ac:dyDescent="0.25">
      <c r="AD19804"/>
    </row>
    <row r="19805" spans="30:30" x14ac:dyDescent="0.25">
      <c r="AD19805"/>
    </row>
    <row r="19806" spans="30:30" x14ac:dyDescent="0.25">
      <c r="AD19806"/>
    </row>
    <row r="19807" spans="30:30" x14ac:dyDescent="0.25">
      <c r="AD19807"/>
    </row>
    <row r="19808" spans="30:30" x14ac:dyDescent="0.25">
      <c r="AD19808"/>
    </row>
    <row r="19809" spans="30:30" x14ac:dyDescent="0.25">
      <c r="AD19809"/>
    </row>
    <row r="19810" spans="30:30" x14ac:dyDescent="0.25">
      <c r="AD19810"/>
    </row>
    <row r="19811" spans="30:30" x14ac:dyDescent="0.25">
      <c r="AD19811"/>
    </row>
    <row r="19812" spans="30:30" x14ac:dyDescent="0.25">
      <c r="AD19812"/>
    </row>
    <row r="19813" spans="30:30" x14ac:dyDescent="0.25">
      <c r="AD19813"/>
    </row>
    <row r="19814" spans="30:30" x14ac:dyDescent="0.25">
      <c r="AD19814"/>
    </row>
    <row r="19815" spans="30:30" x14ac:dyDescent="0.25">
      <c r="AD19815"/>
    </row>
    <row r="19816" spans="30:30" x14ac:dyDescent="0.25">
      <c r="AD19816"/>
    </row>
    <row r="19817" spans="30:30" x14ac:dyDescent="0.25">
      <c r="AD19817"/>
    </row>
    <row r="19818" spans="30:30" x14ac:dyDescent="0.25">
      <c r="AD19818"/>
    </row>
    <row r="19819" spans="30:30" x14ac:dyDescent="0.25">
      <c r="AD19819"/>
    </row>
    <row r="19820" spans="30:30" x14ac:dyDescent="0.25">
      <c r="AD19820"/>
    </row>
    <row r="19821" spans="30:30" x14ac:dyDescent="0.25">
      <c r="AD19821"/>
    </row>
    <row r="19822" spans="30:30" x14ac:dyDescent="0.25">
      <c r="AD19822"/>
    </row>
    <row r="19823" spans="30:30" x14ac:dyDescent="0.25">
      <c r="AD19823"/>
    </row>
    <row r="19824" spans="30:30" x14ac:dyDescent="0.25">
      <c r="AD19824"/>
    </row>
    <row r="19825" spans="30:30" x14ac:dyDescent="0.25">
      <c r="AD19825"/>
    </row>
    <row r="19826" spans="30:30" x14ac:dyDescent="0.25">
      <c r="AD19826"/>
    </row>
    <row r="19827" spans="30:30" x14ac:dyDescent="0.25">
      <c r="AD19827"/>
    </row>
    <row r="19828" spans="30:30" x14ac:dyDescent="0.25">
      <c r="AD19828"/>
    </row>
    <row r="19829" spans="30:30" x14ac:dyDescent="0.25">
      <c r="AD19829"/>
    </row>
    <row r="19830" spans="30:30" x14ac:dyDescent="0.25">
      <c r="AD19830"/>
    </row>
    <row r="19831" spans="30:30" x14ac:dyDescent="0.25">
      <c r="AD19831"/>
    </row>
    <row r="19832" spans="30:30" x14ac:dyDescent="0.25">
      <c r="AD19832"/>
    </row>
    <row r="19833" spans="30:30" x14ac:dyDescent="0.25">
      <c r="AD19833"/>
    </row>
    <row r="19834" spans="30:30" x14ac:dyDescent="0.25">
      <c r="AD19834"/>
    </row>
    <row r="19835" spans="30:30" x14ac:dyDescent="0.25">
      <c r="AD19835"/>
    </row>
    <row r="19836" spans="30:30" x14ac:dyDescent="0.25">
      <c r="AD19836"/>
    </row>
    <row r="19837" spans="30:30" x14ac:dyDescent="0.25">
      <c r="AD19837"/>
    </row>
    <row r="19838" spans="30:30" x14ac:dyDescent="0.25">
      <c r="AD19838"/>
    </row>
    <row r="19839" spans="30:30" x14ac:dyDescent="0.25">
      <c r="AD19839"/>
    </row>
    <row r="19840" spans="30:30" x14ac:dyDescent="0.25">
      <c r="AD19840"/>
    </row>
    <row r="19841" spans="30:30" x14ac:dyDescent="0.25">
      <c r="AD19841"/>
    </row>
    <row r="19842" spans="30:30" x14ac:dyDescent="0.25">
      <c r="AD19842"/>
    </row>
    <row r="19843" spans="30:30" x14ac:dyDescent="0.25">
      <c r="AD19843"/>
    </row>
    <row r="19844" spans="30:30" x14ac:dyDescent="0.25">
      <c r="AD19844"/>
    </row>
    <row r="19845" spans="30:30" x14ac:dyDescent="0.25">
      <c r="AD19845"/>
    </row>
    <row r="19846" spans="30:30" x14ac:dyDescent="0.25">
      <c r="AD19846"/>
    </row>
    <row r="19847" spans="30:30" x14ac:dyDescent="0.25">
      <c r="AD19847"/>
    </row>
    <row r="19848" spans="30:30" x14ac:dyDescent="0.25">
      <c r="AD19848"/>
    </row>
    <row r="19849" spans="30:30" x14ac:dyDescent="0.25">
      <c r="AD19849"/>
    </row>
    <row r="19850" spans="30:30" x14ac:dyDescent="0.25">
      <c r="AD19850"/>
    </row>
    <row r="19851" spans="30:30" x14ac:dyDescent="0.25">
      <c r="AD19851"/>
    </row>
    <row r="19852" spans="30:30" x14ac:dyDescent="0.25">
      <c r="AD19852"/>
    </row>
    <row r="19853" spans="30:30" x14ac:dyDescent="0.25">
      <c r="AD19853"/>
    </row>
    <row r="19854" spans="30:30" x14ac:dyDescent="0.25">
      <c r="AD19854"/>
    </row>
    <row r="19855" spans="30:30" x14ac:dyDescent="0.25">
      <c r="AD19855"/>
    </row>
    <row r="19856" spans="30:30" x14ac:dyDescent="0.25">
      <c r="AD19856"/>
    </row>
    <row r="19857" spans="30:30" x14ac:dyDescent="0.25">
      <c r="AD19857"/>
    </row>
    <row r="19858" spans="30:30" x14ac:dyDescent="0.25">
      <c r="AD19858"/>
    </row>
    <row r="19859" spans="30:30" x14ac:dyDescent="0.25">
      <c r="AD19859"/>
    </row>
    <row r="19860" spans="30:30" x14ac:dyDescent="0.25">
      <c r="AD19860"/>
    </row>
    <row r="19861" spans="30:30" x14ac:dyDescent="0.25">
      <c r="AD19861"/>
    </row>
    <row r="19862" spans="30:30" x14ac:dyDescent="0.25">
      <c r="AD19862"/>
    </row>
    <row r="19863" spans="30:30" x14ac:dyDescent="0.25">
      <c r="AD19863"/>
    </row>
    <row r="19864" spans="30:30" x14ac:dyDescent="0.25">
      <c r="AD19864"/>
    </row>
    <row r="19865" spans="30:30" x14ac:dyDescent="0.25">
      <c r="AD19865"/>
    </row>
    <row r="19866" spans="30:30" x14ac:dyDescent="0.25">
      <c r="AD19866"/>
    </row>
    <row r="19867" spans="30:30" x14ac:dyDescent="0.25">
      <c r="AD19867"/>
    </row>
    <row r="19868" spans="30:30" x14ac:dyDescent="0.25">
      <c r="AD19868"/>
    </row>
    <row r="19869" spans="30:30" x14ac:dyDescent="0.25">
      <c r="AD19869"/>
    </row>
    <row r="19870" spans="30:30" x14ac:dyDescent="0.25">
      <c r="AD19870"/>
    </row>
    <row r="19871" spans="30:30" x14ac:dyDescent="0.25">
      <c r="AD19871"/>
    </row>
    <row r="19872" spans="30:30" x14ac:dyDescent="0.25">
      <c r="AD19872"/>
    </row>
    <row r="19873" spans="30:30" x14ac:dyDescent="0.25">
      <c r="AD19873"/>
    </row>
    <row r="19874" spans="30:30" x14ac:dyDescent="0.25">
      <c r="AD19874"/>
    </row>
    <row r="19875" spans="30:30" x14ac:dyDescent="0.25">
      <c r="AD19875"/>
    </row>
    <row r="19876" spans="30:30" x14ac:dyDescent="0.25">
      <c r="AD19876"/>
    </row>
    <row r="19877" spans="30:30" x14ac:dyDescent="0.25">
      <c r="AD19877"/>
    </row>
    <row r="19878" spans="30:30" x14ac:dyDescent="0.25">
      <c r="AD19878"/>
    </row>
    <row r="19879" spans="30:30" x14ac:dyDescent="0.25">
      <c r="AD19879"/>
    </row>
    <row r="19880" spans="30:30" x14ac:dyDescent="0.25">
      <c r="AD19880"/>
    </row>
    <row r="19881" spans="30:30" x14ac:dyDescent="0.25">
      <c r="AD19881"/>
    </row>
    <row r="19882" spans="30:30" x14ac:dyDescent="0.25">
      <c r="AD19882"/>
    </row>
    <row r="19883" spans="30:30" x14ac:dyDescent="0.25">
      <c r="AD19883"/>
    </row>
    <row r="19884" spans="30:30" x14ac:dyDescent="0.25">
      <c r="AD19884"/>
    </row>
    <row r="19885" spans="30:30" x14ac:dyDescent="0.25">
      <c r="AD19885"/>
    </row>
    <row r="19886" spans="30:30" x14ac:dyDescent="0.25">
      <c r="AD19886"/>
    </row>
    <row r="19887" spans="30:30" x14ac:dyDescent="0.25">
      <c r="AD19887"/>
    </row>
    <row r="19888" spans="30:30" x14ac:dyDescent="0.25">
      <c r="AD19888"/>
    </row>
    <row r="19889" spans="30:30" x14ac:dyDescent="0.25">
      <c r="AD19889"/>
    </row>
    <row r="19890" spans="30:30" x14ac:dyDescent="0.25">
      <c r="AD19890"/>
    </row>
    <row r="19891" spans="30:30" x14ac:dyDescent="0.25">
      <c r="AD19891"/>
    </row>
    <row r="19892" spans="30:30" x14ac:dyDescent="0.25">
      <c r="AD19892"/>
    </row>
    <row r="19893" spans="30:30" x14ac:dyDescent="0.25">
      <c r="AD19893"/>
    </row>
    <row r="19894" spans="30:30" x14ac:dyDescent="0.25">
      <c r="AD19894"/>
    </row>
    <row r="19895" spans="30:30" x14ac:dyDescent="0.25">
      <c r="AD19895"/>
    </row>
    <row r="19896" spans="30:30" x14ac:dyDescent="0.25">
      <c r="AD19896"/>
    </row>
    <row r="19897" spans="30:30" x14ac:dyDescent="0.25">
      <c r="AD19897"/>
    </row>
    <row r="19898" spans="30:30" x14ac:dyDescent="0.25">
      <c r="AD19898"/>
    </row>
    <row r="19899" spans="30:30" x14ac:dyDescent="0.25">
      <c r="AD19899"/>
    </row>
    <row r="19900" spans="30:30" x14ac:dyDescent="0.25">
      <c r="AD19900"/>
    </row>
    <row r="19901" spans="30:30" x14ac:dyDescent="0.25">
      <c r="AD19901"/>
    </row>
    <row r="19902" spans="30:30" x14ac:dyDescent="0.25">
      <c r="AD19902"/>
    </row>
    <row r="19903" spans="30:30" x14ac:dyDescent="0.25">
      <c r="AD19903"/>
    </row>
    <row r="19904" spans="30:30" x14ac:dyDescent="0.25">
      <c r="AD19904"/>
    </row>
    <row r="19905" spans="30:30" x14ac:dyDescent="0.25">
      <c r="AD19905"/>
    </row>
    <row r="19906" spans="30:30" x14ac:dyDescent="0.25">
      <c r="AD19906"/>
    </row>
    <row r="19907" spans="30:30" x14ac:dyDescent="0.25">
      <c r="AD19907"/>
    </row>
    <row r="19908" spans="30:30" x14ac:dyDescent="0.25">
      <c r="AD19908"/>
    </row>
    <row r="19909" spans="30:30" x14ac:dyDescent="0.25">
      <c r="AD19909"/>
    </row>
    <row r="19910" spans="30:30" x14ac:dyDescent="0.25">
      <c r="AD19910"/>
    </row>
    <row r="19911" spans="30:30" x14ac:dyDescent="0.25">
      <c r="AD19911"/>
    </row>
    <row r="19912" spans="30:30" x14ac:dyDescent="0.25">
      <c r="AD19912"/>
    </row>
    <row r="19913" spans="30:30" x14ac:dyDescent="0.25">
      <c r="AD19913"/>
    </row>
    <row r="19914" spans="30:30" x14ac:dyDescent="0.25">
      <c r="AD19914"/>
    </row>
    <row r="19915" spans="30:30" x14ac:dyDescent="0.25">
      <c r="AD19915"/>
    </row>
    <row r="19916" spans="30:30" x14ac:dyDescent="0.25">
      <c r="AD19916"/>
    </row>
    <row r="19917" spans="30:30" x14ac:dyDescent="0.25">
      <c r="AD19917"/>
    </row>
    <row r="19918" spans="30:30" x14ac:dyDescent="0.25">
      <c r="AD19918"/>
    </row>
    <row r="19919" spans="30:30" x14ac:dyDescent="0.25">
      <c r="AD19919"/>
    </row>
    <row r="19920" spans="30:30" x14ac:dyDescent="0.25">
      <c r="AD19920"/>
    </row>
    <row r="19921" spans="30:30" x14ac:dyDescent="0.25">
      <c r="AD19921"/>
    </row>
    <row r="19922" spans="30:30" x14ac:dyDescent="0.25">
      <c r="AD19922"/>
    </row>
    <row r="19923" spans="30:30" x14ac:dyDescent="0.25">
      <c r="AD19923"/>
    </row>
    <row r="19924" spans="30:30" x14ac:dyDescent="0.25">
      <c r="AD19924"/>
    </row>
    <row r="19925" spans="30:30" x14ac:dyDescent="0.25">
      <c r="AD19925"/>
    </row>
    <row r="19926" spans="30:30" x14ac:dyDescent="0.25">
      <c r="AD19926"/>
    </row>
    <row r="19927" spans="30:30" x14ac:dyDescent="0.25">
      <c r="AD19927"/>
    </row>
    <row r="19928" spans="30:30" x14ac:dyDescent="0.25">
      <c r="AD19928"/>
    </row>
    <row r="19929" spans="30:30" x14ac:dyDescent="0.25">
      <c r="AD19929"/>
    </row>
    <row r="19930" spans="30:30" x14ac:dyDescent="0.25">
      <c r="AD19930"/>
    </row>
    <row r="19931" spans="30:30" x14ac:dyDescent="0.25">
      <c r="AD19931"/>
    </row>
    <row r="19932" spans="30:30" x14ac:dyDescent="0.25">
      <c r="AD19932"/>
    </row>
    <row r="19933" spans="30:30" x14ac:dyDescent="0.25">
      <c r="AD19933"/>
    </row>
    <row r="19934" spans="30:30" x14ac:dyDescent="0.25">
      <c r="AD19934"/>
    </row>
    <row r="19935" spans="30:30" x14ac:dyDescent="0.25">
      <c r="AD19935"/>
    </row>
    <row r="19936" spans="30:30" x14ac:dyDescent="0.25">
      <c r="AD19936"/>
    </row>
    <row r="19937" spans="30:30" x14ac:dyDescent="0.25">
      <c r="AD19937"/>
    </row>
    <row r="19938" spans="30:30" x14ac:dyDescent="0.25">
      <c r="AD19938"/>
    </row>
    <row r="19939" spans="30:30" x14ac:dyDescent="0.25">
      <c r="AD19939"/>
    </row>
    <row r="19940" spans="30:30" x14ac:dyDescent="0.25">
      <c r="AD19940"/>
    </row>
    <row r="19941" spans="30:30" x14ac:dyDescent="0.25">
      <c r="AD19941"/>
    </row>
    <row r="19942" spans="30:30" x14ac:dyDescent="0.25">
      <c r="AD19942"/>
    </row>
    <row r="19943" spans="30:30" x14ac:dyDescent="0.25">
      <c r="AD19943"/>
    </row>
    <row r="19944" spans="30:30" x14ac:dyDescent="0.25">
      <c r="AD19944"/>
    </row>
    <row r="19945" spans="30:30" x14ac:dyDescent="0.25">
      <c r="AD19945"/>
    </row>
    <row r="19946" spans="30:30" x14ac:dyDescent="0.25">
      <c r="AD19946"/>
    </row>
    <row r="19947" spans="30:30" x14ac:dyDescent="0.25">
      <c r="AD19947"/>
    </row>
    <row r="19948" spans="30:30" x14ac:dyDescent="0.25">
      <c r="AD19948"/>
    </row>
    <row r="19949" spans="30:30" x14ac:dyDescent="0.25">
      <c r="AD19949"/>
    </row>
    <row r="19950" spans="30:30" x14ac:dyDescent="0.25">
      <c r="AD19950"/>
    </row>
    <row r="19951" spans="30:30" x14ac:dyDescent="0.25">
      <c r="AD19951"/>
    </row>
    <row r="19952" spans="30:30" x14ac:dyDescent="0.25">
      <c r="AD19952"/>
    </row>
    <row r="19953" spans="30:30" x14ac:dyDescent="0.25">
      <c r="AD19953"/>
    </row>
    <row r="19954" spans="30:30" x14ac:dyDescent="0.25">
      <c r="AD19954"/>
    </row>
    <row r="19955" spans="30:30" x14ac:dyDescent="0.25">
      <c r="AD19955"/>
    </row>
    <row r="19956" spans="30:30" x14ac:dyDescent="0.25">
      <c r="AD19956"/>
    </row>
    <row r="19957" spans="30:30" x14ac:dyDescent="0.25">
      <c r="AD19957"/>
    </row>
    <row r="19958" spans="30:30" x14ac:dyDescent="0.25">
      <c r="AD19958"/>
    </row>
    <row r="19959" spans="30:30" x14ac:dyDescent="0.25">
      <c r="AD19959"/>
    </row>
    <row r="19960" spans="30:30" x14ac:dyDescent="0.25">
      <c r="AD19960"/>
    </row>
    <row r="19961" spans="30:30" x14ac:dyDescent="0.25">
      <c r="AD19961"/>
    </row>
    <row r="19962" spans="30:30" x14ac:dyDescent="0.25">
      <c r="AD19962"/>
    </row>
    <row r="19963" spans="30:30" x14ac:dyDescent="0.25">
      <c r="AD19963"/>
    </row>
    <row r="19964" spans="30:30" x14ac:dyDescent="0.25">
      <c r="AD19964"/>
    </row>
    <row r="19965" spans="30:30" x14ac:dyDescent="0.25">
      <c r="AD19965"/>
    </row>
    <row r="19966" spans="30:30" x14ac:dyDescent="0.25">
      <c r="AD19966"/>
    </row>
    <row r="19967" spans="30:30" x14ac:dyDescent="0.25">
      <c r="AD19967"/>
    </row>
    <row r="19968" spans="30:30" x14ac:dyDescent="0.25">
      <c r="AD19968"/>
    </row>
    <row r="19969" spans="30:30" x14ac:dyDescent="0.25">
      <c r="AD19969"/>
    </row>
    <row r="19970" spans="30:30" x14ac:dyDescent="0.25">
      <c r="AD19970"/>
    </row>
    <row r="19971" spans="30:30" x14ac:dyDescent="0.25">
      <c r="AD19971"/>
    </row>
    <row r="19972" spans="30:30" x14ac:dyDescent="0.25">
      <c r="AD19972"/>
    </row>
    <row r="19973" spans="30:30" x14ac:dyDescent="0.25">
      <c r="AD19973"/>
    </row>
    <row r="19974" spans="30:30" x14ac:dyDescent="0.25">
      <c r="AD19974"/>
    </row>
    <row r="19975" spans="30:30" x14ac:dyDescent="0.25">
      <c r="AD19975"/>
    </row>
    <row r="19976" spans="30:30" x14ac:dyDescent="0.25">
      <c r="AD19976"/>
    </row>
    <row r="19977" spans="30:30" x14ac:dyDescent="0.25">
      <c r="AD19977"/>
    </row>
    <row r="19978" spans="30:30" x14ac:dyDescent="0.25">
      <c r="AD19978"/>
    </row>
    <row r="19979" spans="30:30" x14ac:dyDescent="0.25">
      <c r="AD19979"/>
    </row>
    <row r="19980" spans="30:30" x14ac:dyDescent="0.25">
      <c r="AD19980"/>
    </row>
    <row r="19981" spans="30:30" x14ac:dyDescent="0.25">
      <c r="AD19981"/>
    </row>
    <row r="19982" spans="30:30" x14ac:dyDescent="0.25">
      <c r="AD19982"/>
    </row>
    <row r="19983" spans="30:30" x14ac:dyDescent="0.25">
      <c r="AD19983"/>
    </row>
    <row r="19984" spans="30:30" x14ac:dyDescent="0.25">
      <c r="AD19984"/>
    </row>
    <row r="19985" spans="30:30" x14ac:dyDescent="0.25">
      <c r="AD19985"/>
    </row>
    <row r="19986" spans="30:30" x14ac:dyDescent="0.25">
      <c r="AD19986"/>
    </row>
    <row r="19987" spans="30:30" x14ac:dyDescent="0.25">
      <c r="AD19987"/>
    </row>
    <row r="19988" spans="30:30" x14ac:dyDescent="0.25">
      <c r="AD19988"/>
    </row>
    <row r="19989" spans="30:30" x14ac:dyDescent="0.25">
      <c r="AD19989"/>
    </row>
    <row r="19990" spans="30:30" x14ac:dyDescent="0.25">
      <c r="AD19990"/>
    </row>
    <row r="19991" spans="30:30" x14ac:dyDescent="0.25">
      <c r="AD19991"/>
    </row>
    <row r="19992" spans="30:30" x14ac:dyDescent="0.25">
      <c r="AD19992"/>
    </row>
    <row r="19993" spans="30:30" x14ac:dyDescent="0.25">
      <c r="AD19993"/>
    </row>
    <row r="19994" spans="30:30" x14ac:dyDescent="0.25">
      <c r="AD19994"/>
    </row>
    <row r="19995" spans="30:30" x14ac:dyDescent="0.25">
      <c r="AD19995"/>
    </row>
    <row r="19996" spans="30:30" x14ac:dyDescent="0.25">
      <c r="AD19996"/>
    </row>
    <row r="19997" spans="30:30" x14ac:dyDescent="0.25">
      <c r="AD19997"/>
    </row>
    <row r="19998" spans="30:30" x14ac:dyDescent="0.25">
      <c r="AD19998"/>
    </row>
    <row r="19999" spans="30:30" x14ac:dyDescent="0.25">
      <c r="AD19999"/>
    </row>
    <row r="20000" spans="30:30" x14ac:dyDescent="0.25">
      <c r="AD20000"/>
    </row>
    <row r="20001" spans="30:30" x14ac:dyDescent="0.25">
      <c r="AD20001"/>
    </row>
    <row r="20002" spans="30:30" x14ac:dyDescent="0.25">
      <c r="AD20002"/>
    </row>
    <row r="20003" spans="30:30" x14ac:dyDescent="0.25">
      <c r="AD20003"/>
    </row>
    <row r="20004" spans="30:30" x14ac:dyDescent="0.25">
      <c r="AD20004"/>
    </row>
    <row r="20005" spans="30:30" x14ac:dyDescent="0.25">
      <c r="AD20005"/>
    </row>
    <row r="20006" spans="30:30" x14ac:dyDescent="0.25">
      <c r="AD20006"/>
    </row>
    <row r="20007" spans="30:30" x14ac:dyDescent="0.25">
      <c r="AD20007"/>
    </row>
    <row r="20008" spans="30:30" x14ac:dyDescent="0.25">
      <c r="AD20008"/>
    </row>
    <row r="20009" spans="30:30" x14ac:dyDescent="0.25">
      <c r="AD20009"/>
    </row>
    <row r="20010" spans="30:30" x14ac:dyDescent="0.25">
      <c r="AD20010"/>
    </row>
    <row r="20011" spans="30:30" x14ac:dyDescent="0.25">
      <c r="AD20011"/>
    </row>
    <row r="20012" spans="30:30" x14ac:dyDescent="0.25">
      <c r="AD20012"/>
    </row>
    <row r="20013" spans="30:30" x14ac:dyDescent="0.25">
      <c r="AD20013"/>
    </row>
    <row r="20014" spans="30:30" x14ac:dyDescent="0.25">
      <c r="AD20014"/>
    </row>
    <row r="20015" spans="30:30" x14ac:dyDescent="0.25">
      <c r="AD20015"/>
    </row>
    <row r="20016" spans="30:30" x14ac:dyDescent="0.25">
      <c r="AD20016"/>
    </row>
    <row r="20017" spans="30:30" x14ac:dyDescent="0.25">
      <c r="AD20017"/>
    </row>
    <row r="20018" spans="30:30" x14ac:dyDescent="0.25">
      <c r="AD20018"/>
    </row>
    <row r="20019" spans="30:30" x14ac:dyDescent="0.25">
      <c r="AD20019"/>
    </row>
    <row r="20020" spans="30:30" x14ac:dyDescent="0.25">
      <c r="AD20020"/>
    </row>
    <row r="20021" spans="30:30" x14ac:dyDescent="0.25">
      <c r="AD20021"/>
    </row>
    <row r="20022" spans="30:30" x14ac:dyDescent="0.25">
      <c r="AD20022"/>
    </row>
    <row r="20023" spans="30:30" x14ac:dyDescent="0.25">
      <c r="AD20023"/>
    </row>
    <row r="20024" spans="30:30" x14ac:dyDescent="0.25">
      <c r="AD20024"/>
    </row>
    <row r="20025" spans="30:30" x14ac:dyDescent="0.25">
      <c r="AD20025"/>
    </row>
    <row r="20026" spans="30:30" x14ac:dyDescent="0.25">
      <c r="AD20026"/>
    </row>
    <row r="20027" spans="30:30" x14ac:dyDescent="0.25">
      <c r="AD20027"/>
    </row>
    <row r="20028" spans="30:30" x14ac:dyDescent="0.25">
      <c r="AD20028"/>
    </row>
    <row r="20029" spans="30:30" x14ac:dyDescent="0.25">
      <c r="AD20029"/>
    </row>
    <row r="20030" spans="30:30" x14ac:dyDescent="0.25">
      <c r="AD20030"/>
    </row>
    <row r="20031" spans="30:30" x14ac:dyDescent="0.25">
      <c r="AD20031"/>
    </row>
    <row r="20032" spans="30:30" x14ac:dyDescent="0.25">
      <c r="AD20032"/>
    </row>
    <row r="20033" spans="30:30" x14ac:dyDescent="0.25">
      <c r="AD20033"/>
    </row>
    <row r="20034" spans="30:30" x14ac:dyDescent="0.25">
      <c r="AD20034"/>
    </row>
    <row r="20035" spans="30:30" x14ac:dyDescent="0.25">
      <c r="AD20035"/>
    </row>
    <row r="20036" spans="30:30" x14ac:dyDescent="0.25">
      <c r="AD20036"/>
    </row>
    <row r="20037" spans="30:30" x14ac:dyDescent="0.25">
      <c r="AD20037"/>
    </row>
    <row r="20038" spans="30:30" x14ac:dyDescent="0.25">
      <c r="AD20038"/>
    </row>
    <row r="20039" spans="30:30" x14ac:dyDescent="0.25">
      <c r="AD20039"/>
    </row>
    <row r="20040" spans="30:30" x14ac:dyDescent="0.25">
      <c r="AD20040"/>
    </row>
    <row r="20041" spans="30:30" x14ac:dyDescent="0.25">
      <c r="AD20041"/>
    </row>
    <row r="20042" spans="30:30" x14ac:dyDescent="0.25">
      <c r="AD20042"/>
    </row>
    <row r="20043" spans="30:30" x14ac:dyDescent="0.25">
      <c r="AD20043"/>
    </row>
    <row r="20044" spans="30:30" x14ac:dyDescent="0.25">
      <c r="AD20044"/>
    </row>
    <row r="20045" spans="30:30" x14ac:dyDescent="0.25">
      <c r="AD20045"/>
    </row>
    <row r="20046" spans="30:30" x14ac:dyDescent="0.25">
      <c r="AD20046"/>
    </row>
    <row r="20047" spans="30:30" x14ac:dyDescent="0.25">
      <c r="AD20047"/>
    </row>
    <row r="20048" spans="30:30" x14ac:dyDescent="0.25">
      <c r="AD20048"/>
    </row>
    <row r="20049" spans="30:30" x14ac:dyDescent="0.25">
      <c r="AD20049"/>
    </row>
    <row r="20050" spans="30:30" x14ac:dyDescent="0.25">
      <c r="AD20050"/>
    </row>
    <row r="20051" spans="30:30" x14ac:dyDescent="0.25">
      <c r="AD20051"/>
    </row>
    <row r="20052" spans="30:30" x14ac:dyDescent="0.25">
      <c r="AD20052"/>
    </row>
    <row r="20053" spans="30:30" x14ac:dyDescent="0.25">
      <c r="AD20053"/>
    </row>
    <row r="20054" spans="30:30" x14ac:dyDescent="0.25">
      <c r="AD20054"/>
    </row>
    <row r="20055" spans="30:30" x14ac:dyDescent="0.25">
      <c r="AD20055"/>
    </row>
    <row r="20056" spans="30:30" x14ac:dyDescent="0.25">
      <c r="AD20056"/>
    </row>
    <row r="20057" spans="30:30" x14ac:dyDescent="0.25">
      <c r="AD20057"/>
    </row>
    <row r="20058" spans="30:30" x14ac:dyDescent="0.25">
      <c r="AD20058"/>
    </row>
    <row r="20059" spans="30:30" x14ac:dyDescent="0.25">
      <c r="AD20059"/>
    </row>
    <row r="20060" spans="30:30" x14ac:dyDescent="0.25">
      <c r="AD20060"/>
    </row>
    <row r="20061" spans="30:30" x14ac:dyDescent="0.25">
      <c r="AD20061"/>
    </row>
    <row r="20062" spans="30:30" x14ac:dyDescent="0.25">
      <c r="AD20062"/>
    </row>
    <row r="20063" spans="30:30" x14ac:dyDescent="0.25">
      <c r="AD20063"/>
    </row>
    <row r="20064" spans="30:30" x14ac:dyDescent="0.25">
      <c r="AD20064"/>
    </row>
    <row r="20065" spans="30:30" x14ac:dyDescent="0.25">
      <c r="AD20065"/>
    </row>
    <row r="20066" spans="30:30" x14ac:dyDescent="0.25">
      <c r="AD20066"/>
    </row>
    <row r="20067" spans="30:30" x14ac:dyDescent="0.25">
      <c r="AD20067"/>
    </row>
    <row r="20068" spans="30:30" x14ac:dyDescent="0.25">
      <c r="AD20068"/>
    </row>
    <row r="20069" spans="30:30" x14ac:dyDescent="0.25">
      <c r="AD20069"/>
    </row>
    <row r="20070" spans="30:30" x14ac:dyDescent="0.25">
      <c r="AD20070"/>
    </row>
    <row r="20071" spans="30:30" x14ac:dyDescent="0.25">
      <c r="AD20071"/>
    </row>
    <row r="20072" spans="30:30" x14ac:dyDescent="0.25">
      <c r="AD20072"/>
    </row>
    <row r="20073" spans="30:30" x14ac:dyDescent="0.25">
      <c r="AD20073"/>
    </row>
    <row r="20074" spans="30:30" x14ac:dyDescent="0.25">
      <c r="AD20074"/>
    </row>
    <row r="20075" spans="30:30" x14ac:dyDescent="0.25">
      <c r="AD20075"/>
    </row>
    <row r="20076" spans="30:30" x14ac:dyDescent="0.25">
      <c r="AD20076"/>
    </row>
    <row r="20077" spans="30:30" x14ac:dyDescent="0.25">
      <c r="AD20077"/>
    </row>
    <row r="20078" spans="30:30" x14ac:dyDescent="0.25">
      <c r="AD20078"/>
    </row>
    <row r="20079" spans="30:30" x14ac:dyDescent="0.25">
      <c r="AD20079"/>
    </row>
    <row r="20080" spans="30:30" x14ac:dyDescent="0.25">
      <c r="AD20080"/>
    </row>
    <row r="20081" spans="30:30" x14ac:dyDescent="0.25">
      <c r="AD20081"/>
    </row>
    <row r="20082" spans="30:30" x14ac:dyDescent="0.25">
      <c r="AD20082"/>
    </row>
    <row r="20083" spans="30:30" x14ac:dyDescent="0.25">
      <c r="AD20083"/>
    </row>
    <row r="20084" spans="30:30" x14ac:dyDescent="0.25">
      <c r="AD20084"/>
    </row>
    <row r="20085" spans="30:30" x14ac:dyDescent="0.25">
      <c r="AD20085"/>
    </row>
    <row r="20086" spans="30:30" x14ac:dyDescent="0.25">
      <c r="AD20086"/>
    </row>
    <row r="20087" spans="30:30" x14ac:dyDescent="0.25">
      <c r="AD20087"/>
    </row>
    <row r="20088" spans="30:30" x14ac:dyDescent="0.25">
      <c r="AD20088"/>
    </row>
    <row r="20089" spans="30:30" x14ac:dyDescent="0.25">
      <c r="AD20089"/>
    </row>
    <row r="20090" spans="30:30" x14ac:dyDescent="0.25">
      <c r="AD20090"/>
    </row>
    <row r="20091" spans="30:30" x14ac:dyDescent="0.25">
      <c r="AD20091"/>
    </row>
    <row r="20092" spans="30:30" x14ac:dyDescent="0.25">
      <c r="AD20092"/>
    </row>
    <row r="20093" spans="30:30" x14ac:dyDescent="0.25">
      <c r="AD20093"/>
    </row>
    <row r="20094" spans="30:30" x14ac:dyDescent="0.25">
      <c r="AD20094"/>
    </row>
    <row r="20095" spans="30:30" x14ac:dyDescent="0.25">
      <c r="AD20095"/>
    </row>
    <row r="20096" spans="30:30" x14ac:dyDescent="0.25">
      <c r="AD20096"/>
    </row>
    <row r="20097" spans="30:30" x14ac:dyDescent="0.25">
      <c r="AD20097"/>
    </row>
    <row r="20098" spans="30:30" x14ac:dyDescent="0.25">
      <c r="AD20098"/>
    </row>
    <row r="20099" spans="30:30" x14ac:dyDescent="0.25">
      <c r="AD20099"/>
    </row>
    <row r="20100" spans="30:30" x14ac:dyDescent="0.25">
      <c r="AD20100"/>
    </row>
    <row r="20101" spans="30:30" x14ac:dyDescent="0.25">
      <c r="AD20101"/>
    </row>
    <row r="20102" spans="30:30" x14ac:dyDescent="0.25">
      <c r="AD20102"/>
    </row>
    <row r="20103" spans="30:30" x14ac:dyDescent="0.25">
      <c r="AD20103"/>
    </row>
    <row r="20104" spans="30:30" x14ac:dyDescent="0.25">
      <c r="AD20104"/>
    </row>
    <row r="20105" spans="30:30" x14ac:dyDescent="0.25">
      <c r="AD20105"/>
    </row>
    <row r="20106" spans="30:30" x14ac:dyDescent="0.25">
      <c r="AD20106"/>
    </row>
    <row r="20107" spans="30:30" x14ac:dyDescent="0.25">
      <c r="AD20107"/>
    </row>
    <row r="20108" spans="30:30" x14ac:dyDescent="0.25">
      <c r="AD20108"/>
    </row>
    <row r="20109" spans="30:30" x14ac:dyDescent="0.25">
      <c r="AD20109"/>
    </row>
    <row r="20110" spans="30:30" x14ac:dyDescent="0.25">
      <c r="AD20110"/>
    </row>
    <row r="20111" spans="30:30" x14ac:dyDescent="0.25">
      <c r="AD20111"/>
    </row>
    <row r="20112" spans="30:30" x14ac:dyDescent="0.25">
      <c r="AD20112"/>
    </row>
    <row r="20113" spans="30:30" x14ac:dyDescent="0.25">
      <c r="AD20113"/>
    </row>
    <row r="20114" spans="30:30" x14ac:dyDescent="0.25">
      <c r="AD20114"/>
    </row>
    <row r="20115" spans="30:30" x14ac:dyDescent="0.25">
      <c r="AD20115"/>
    </row>
    <row r="20116" spans="30:30" x14ac:dyDescent="0.25">
      <c r="AD20116"/>
    </row>
    <row r="20117" spans="30:30" x14ac:dyDescent="0.25">
      <c r="AD20117"/>
    </row>
    <row r="20118" spans="30:30" x14ac:dyDescent="0.25">
      <c r="AD20118"/>
    </row>
    <row r="20119" spans="30:30" x14ac:dyDescent="0.25">
      <c r="AD20119"/>
    </row>
    <row r="20120" spans="30:30" x14ac:dyDescent="0.25">
      <c r="AD20120"/>
    </row>
    <row r="20121" spans="30:30" x14ac:dyDescent="0.25">
      <c r="AD20121"/>
    </row>
    <row r="20122" spans="30:30" x14ac:dyDescent="0.25">
      <c r="AD20122"/>
    </row>
    <row r="20123" spans="30:30" x14ac:dyDescent="0.25">
      <c r="AD20123"/>
    </row>
    <row r="20124" spans="30:30" x14ac:dyDescent="0.25">
      <c r="AD20124"/>
    </row>
    <row r="20125" spans="30:30" x14ac:dyDescent="0.25">
      <c r="AD20125"/>
    </row>
    <row r="20126" spans="30:30" x14ac:dyDescent="0.25">
      <c r="AD20126"/>
    </row>
    <row r="20127" spans="30:30" x14ac:dyDescent="0.25">
      <c r="AD20127"/>
    </row>
    <row r="20128" spans="30:30" x14ac:dyDescent="0.25">
      <c r="AD20128"/>
    </row>
    <row r="20129" spans="30:30" x14ac:dyDescent="0.25">
      <c r="AD20129"/>
    </row>
    <row r="20130" spans="30:30" x14ac:dyDescent="0.25">
      <c r="AD20130"/>
    </row>
    <row r="20131" spans="30:30" x14ac:dyDescent="0.25">
      <c r="AD20131"/>
    </row>
    <row r="20132" spans="30:30" x14ac:dyDescent="0.25">
      <c r="AD20132"/>
    </row>
    <row r="20133" spans="30:30" x14ac:dyDescent="0.25">
      <c r="AD20133"/>
    </row>
    <row r="20134" spans="30:30" x14ac:dyDescent="0.25">
      <c r="AD20134"/>
    </row>
    <row r="20135" spans="30:30" x14ac:dyDescent="0.25">
      <c r="AD20135"/>
    </row>
    <row r="20136" spans="30:30" x14ac:dyDescent="0.25">
      <c r="AD20136"/>
    </row>
    <row r="20137" spans="30:30" x14ac:dyDescent="0.25">
      <c r="AD20137"/>
    </row>
    <row r="20138" spans="30:30" x14ac:dyDescent="0.25">
      <c r="AD20138"/>
    </row>
    <row r="20139" spans="30:30" x14ac:dyDescent="0.25">
      <c r="AD20139"/>
    </row>
    <row r="20140" spans="30:30" x14ac:dyDescent="0.25">
      <c r="AD20140"/>
    </row>
    <row r="20141" spans="30:30" x14ac:dyDescent="0.25">
      <c r="AD20141"/>
    </row>
    <row r="20142" spans="30:30" x14ac:dyDescent="0.25">
      <c r="AD20142"/>
    </row>
    <row r="20143" spans="30:30" x14ac:dyDescent="0.25">
      <c r="AD20143"/>
    </row>
    <row r="20144" spans="30:30" x14ac:dyDescent="0.25">
      <c r="AD20144"/>
    </row>
    <row r="20145" spans="30:30" x14ac:dyDescent="0.25">
      <c r="AD20145"/>
    </row>
    <row r="20146" spans="30:30" x14ac:dyDescent="0.25">
      <c r="AD20146"/>
    </row>
    <row r="20147" spans="30:30" x14ac:dyDescent="0.25">
      <c r="AD20147"/>
    </row>
    <row r="20148" spans="30:30" x14ac:dyDescent="0.25">
      <c r="AD20148"/>
    </row>
    <row r="20149" spans="30:30" x14ac:dyDescent="0.25">
      <c r="AD20149"/>
    </row>
    <row r="20150" spans="30:30" x14ac:dyDescent="0.25">
      <c r="AD20150"/>
    </row>
    <row r="20151" spans="30:30" x14ac:dyDescent="0.25">
      <c r="AD20151"/>
    </row>
    <row r="20152" spans="30:30" x14ac:dyDescent="0.25">
      <c r="AD20152"/>
    </row>
    <row r="20153" spans="30:30" x14ac:dyDescent="0.25">
      <c r="AD20153"/>
    </row>
    <row r="20154" spans="30:30" x14ac:dyDescent="0.25">
      <c r="AD20154"/>
    </row>
    <row r="20155" spans="30:30" x14ac:dyDescent="0.25">
      <c r="AD20155"/>
    </row>
    <row r="20156" spans="30:30" x14ac:dyDescent="0.25">
      <c r="AD20156"/>
    </row>
    <row r="20157" spans="30:30" x14ac:dyDescent="0.25">
      <c r="AD20157"/>
    </row>
    <row r="20158" spans="30:30" x14ac:dyDescent="0.25">
      <c r="AD20158"/>
    </row>
    <row r="20159" spans="30:30" x14ac:dyDescent="0.25">
      <c r="AD20159"/>
    </row>
    <row r="20160" spans="30:30" x14ac:dyDescent="0.25">
      <c r="AD20160"/>
    </row>
    <row r="20161" spans="30:30" x14ac:dyDescent="0.25">
      <c r="AD20161"/>
    </row>
    <row r="20162" spans="30:30" x14ac:dyDescent="0.25">
      <c r="AD20162"/>
    </row>
    <row r="20163" spans="30:30" x14ac:dyDescent="0.25">
      <c r="AD20163"/>
    </row>
    <row r="20164" spans="30:30" x14ac:dyDescent="0.25">
      <c r="AD20164"/>
    </row>
    <row r="20165" spans="30:30" x14ac:dyDescent="0.25">
      <c r="AD20165"/>
    </row>
    <row r="20166" spans="30:30" x14ac:dyDescent="0.25">
      <c r="AD20166"/>
    </row>
    <row r="20167" spans="30:30" x14ac:dyDescent="0.25">
      <c r="AD20167"/>
    </row>
    <row r="20168" spans="30:30" x14ac:dyDescent="0.25">
      <c r="AD20168"/>
    </row>
    <row r="20169" spans="30:30" x14ac:dyDescent="0.25">
      <c r="AD20169"/>
    </row>
    <row r="20170" spans="30:30" x14ac:dyDescent="0.25">
      <c r="AD20170"/>
    </row>
    <row r="20171" spans="30:30" x14ac:dyDescent="0.25">
      <c r="AD20171"/>
    </row>
    <row r="20172" spans="30:30" x14ac:dyDescent="0.25">
      <c r="AD20172"/>
    </row>
    <row r="20173" spans="30:30" x14ac:dyDescent="0.25">
      <c r="AD20173"/>
    </row>
    <row r="20174" spans="30:30" x14ac:dyDescent="0.25">
      <c r="AD20174"/>
    </row>
    <row r="20175" spans="30:30" x14ac:dyDescent="0.25">
      <c r="AD20175"/>
    </row>
    <row r="20176" spans="30:30" x14ac:dyDescent="0.25">
      <c r="AD20176"/>
    </row>
    <row r="20177" spans="30:30" x14ac:dyDescent="0.25">
      <c r="AD20177"/>
    </row>
    <row r="20178" spans="30:30" x14ac:dyDescent="0.25">
      <c r="AD20178"/>
    </row>
    <row r="20179" spans="30:30" x14ac:dyDescent="0.25">
      <c r="AD20179"/>
    </row>
    <row r="20180" spans="30:30" x14ac:dyDescent="0.25">
      <c r="AD20180"/>
    </row>
    <row r="20181" spans="30:30" x14ac:dyDescent="0.25">
      <c r="AD20181"/>
    </row>
    <row r="20182" spans="30:30" x14ac:dyDescent="0.25">
      <c r="AD20182"/>
    </row>
    <row r="20183" spans="30:30" x14ac:dyDescent="0.25">
      <c r="AD20183"/>
    </row>
    <row r="20184" spans="30:30" x14ac:dyDescent="0.25">
      <c r="AD20184"/>
    </row>
    <row r="20185" spans="30:30" x14ac:dyDescent="0.25">
      <c r="AD20185"/>
    </row>
    <row r="20186" spans="30:30" x14ac:dyDescent="0.25">
      <c r="AD20186"/>
    </row>
    <row r="20187" spans="30:30" x14ac:dyDescent="0.25">
      <c r="AD20187"/>
    </row>
    <row r="20188" spans="30:30" x14ac:dyDescent="0.25">
      <c r="AD20188"/>
    </row>
    <row r="20189" spans="30:30" x14ac:dyDescent="0.25">
      <c r="AD20189"/>
    </row>
    <row r="20190" spans="30:30" x14ac:dyDescent="0.25">
      <c r="AD20190"/>
    </row>
    <row r="20191" spans="30:30" x14ac:dyDescent="0.25">
      <c r="AD20191"/>
    </row>
    <row r="20192" spans="30:30" x14ac:dyDescent="0.25">
      <c r="AD20192"/>
    </row>
    <row r="20193" spans="30:30" x14ac:dyDescent="0.25">
      <c r="AD20193"/>
    </row>
    <row r="20194" spans="30:30" x14ac:dyDescent="0.25">
      <c r="AD20194"/>
    </row>
    <row r="20195" spans="30:30" x14ac:dyDescent="0.25">
      <c r="AD20195"/>
    </row>
    <row r="20196" spans="30:30" x14ac:dyDescent="0.25">
      <c r="AD20196"/>
    </row>
    <row r="20197" spans="30:30" x14ac:dyDescent="0.25">
      <c r="AD20197"/>
    </row>
    <row r="20198" spans="30:30" x14ac:dyDescent="0.25">
      <c r="AD20198"/>
    </row>
    <row r="20199" spans="30:30" x14ac:dyDescent="0.25">
      <c r="AD20199"/>
    </row>
    <row r="20200" spans="30:30" x14ac:dyDescent="0.25">
      <c r="AD20200"/>
    </row>
    <row r="20201" spans="30:30" x14ac:dyDescent="0.25">
      <c r="AD20201"/>
    </row>
    <row r="20202" spans="30:30" x14ac:dyDescent="0.25">
      <c r="AD20202"/>
    </row>
    <row r="20203" spans="30:30" x14ac:dyDescent="0.25">
      <c r="AD20203"/>
    </row>
    <row r="20204" spans="30:30" x14ac:dyDescent="0.25">
      <c r="AD20204"/>
    </row>
    <row r="20205" spans="30:30" x14ac:dyDescent="0.25">
      <c r="AD20205"/>
    </row>
    <row r="20206" spans="30:30" x14ac:dyDescent="0.25">
      <c r="AD20206"/>
    </row>
    <row r="20207" spans="30:30" x14ac:dyDescent="0.25">
      <c r="AD20207"/>
    </row>
    <row r="20208" spans="30:30" x14ac:dyDescent="0.25">
      <c r="AD20208"/>
    </row>
    <row r="20209" spans="30:30" x14ac:dyDescent="0.25">
      <c r="AD20209"/>
    </row>
    <row r="20210" spans="30:30" x14ac:dyDescent="0.25">
      <c r="AD20210"/>
    </row>
    <row r="20211" spans="30:30" x14ac:dyDescent="0.25">
      <c r="AD20211"/>
    </row>
    <row r="20212" spans="30:30" x14ac:dyDescent="0.25">
      <c r="AD20212"/>
    </row>
    <row r="20213" spans="30:30" x14ac:dyDescent="0.25">
      <c r="AD20213"/>
    </row>
    <row r="20214" spans="30:30" x14ac:dyDescent="0.25">
      <c r="AD20214"/>
    </row>
    <row r="20215" spans="30:30" x14ac:dyDescent="0.25">
      <c r="AD20215"/>
    </row>
    <row r="20216" spans="30:30" x14ac:dyDescent="0.25">
      <c r="AD20216"/>
    </row>
    <row r="20217" spans="30:30" x14ac:dyDescent="0.25">
      <c r="AD20217"/>
    </row>
    <row r="20218" spans="30:30" x14ac:dyDescent="0.25">
      <c r="AD20218"/>
    </row>
    <row r="20219" spans="30:30" x14ac:dyDescent="0.25">
      <c r="AD20219"/>
    </row>
    <row r="20220" spans="30:30" x14ac:dyDescent="0.25">
      <c r="AD20220"/>
    </row>
    <row r="20221" spans="30:30" x14ac:dyDescent="0.25">
      <c r="AD20221"/>
    </row>
    <row r="20222" spans="30:30" x14ac:dyDescent="0.25">
      <c r="AD20222"/>
    </row>
    <row r="20223" spans="30:30" x14ac:dyDescent="0.25">
      <c r="AD20223"/>
    </row>
    <row r="20224" spans="30:30" x14ac:dyDescent="0.25">
      <c r="AD20224"/>
    </row>
    <row r="20225" spans="30:30" x14ac:dyDescent="0.25">
      <c r="AD20225"/>
    </row>
    <row r="20226" spans="30:30" x14ac:dyDescent="0.25">
      <c r="AD20226"/>
    </row>
    <row r="20227" spans="30:30" x14ac:dyDescent="0.25">
      <c r="AD20227"/>
    </row>
    <row r="20228" spans="30:30" x14ac:dyDescent="0.25">
      <c r="AD20228"/>
    </row>
    <row r="20229" spans="30:30" x14ac:dyDescent="0.25">
      <c r="AD20229"/>
    </row>
    <row r="20230" spans="30:30" x14ac:dyDescent="0.25">
      <c r="AD20230"/>
    </row>
    <row r="20231" spans="30:30" x14ac:dyDescent="0.25">
      <c r="AD20231"/>
    </row>
    <row r="20232" spans="30:30" x14ac:dyDescent="0.25">
      <c r="AD20232"/>
    </row>
    <row r="20233" spans="30:30" x14ac:dyDescent="0.25">
      <c r="AD20233"/>
    </row>
    <row r="20234" spans="30:30" x14ac:dyDescent="0.25">
      <c r="AD20234"/>
    </row>
    <row r="20235" spans="30:30" x14ac:dyDescent="0.25">
      <c r="AD20235"/>
    </row>
    <row r="20236" spans="30:30" x14ac:dyDescent="0.25">
      <c r="AD20236"/>
    </row>
    <row r="20237" spans="30:30" x14ac:dyDescent="0.25">
      <c r="AD20237"/>
    </row>
    <row r="20238" spans="30:30" x14ac:dyDescent="0.25">
      <c r="AD20238"/>
    </row>
    <row r="20239" spans="30:30" x14ac:dyDescent="0.25">
      <c r="AD20239"/>
    </row>
    <row r="20240" spans="30:30" x14ac:dyDescent="0.25">
      <c r="AD20240"/>
    </row>
    <row r="20241" spans="30:30" x14ac:dyDescent="0.25">
      <c r="AD20241"/>
    </row>
    <row r="20242" spans="30:30" x14ac:dyDescent="0.25">
      <c r="AD20242"/>
    </row>
    <row r="20243" spans="30:30" x14ac:dyDescent="0.25">
      <c r="AD20243"/>
    </row>
    <row r="20244" spans="30:30" x14ac:dyDescent="0.25">
      <c r="AD20244"/>
    </row>
    <row r="20245" spans="30:30" x14ac:dyDescent="0.25">
      <c r="AD20245"/>
    </row>
    <row r="20246" spans="30:30" x14ac:dyDescent="0.25">
      <c r="AD20246"/>
    </row>
    <row r="20247" spans="30:30" x14ac:dyDescent="0.25">
      <c r="AD20247"/>
    </row>
    <row r="20248" spans="30:30" x14ac:dyDescent="0.25">
      <c r="AD20248"/>
    </row>
    <row r="20249" spans="30:30" x14ac:dyDescent="0.25">
      <c r="AD20249"/>
    </row>
    <row r="20250" spans="30:30" x14ac:dyDescent="0.25">
      <c r="AD20250"/>
    </row>
    <row r="20251" spans="30:30" x14ac:dyDescent="0.25">
      <c r="AD20251"/>
    </row>
    <row r="20252" spans="30:30" x14ac:dyDescent="0.25">
      <c r="AD20252"/>
    </row>
    <row r="20253" spans="30:30" x14ac:dyDescent="0.25">
      <c r="AD20253"/>
    </row>
    <row r="20254" spans="30:30" x14ac:dyDescent="0.25">
      <c r="AD20254"/>
    </row>
    <row r="20255" spans="30:30" x14ac:dyDescent="0.25">
      <c r="AD20255"/>
    </row>
    <row r="20256" spans="30:30" x14ac:dyDescent="0.25">
      <c r="AD20256"/>
    </row>
    <row r="20257" spans="30:30" x14ac:dyDescent="0.25">
      <c r="AD20257"/>
    </row>
    <row r="20258" spans="30:30" x14ac:dyDescent="0.25">
      <c r="AD20258"/>
    </row>
    <row r="20259" spans="30:30" x14ac:dyDescent="0.25">
      <c r="AD20259"/>
    </row>
    <row r="20260" spans="30:30" x14ac:dyDescent="0.25">
      <c r="AD20260"/>
    </row>
    <row r="20261" spans="30:30" x14ac:dyDescent="0.25">
      <c r="AD20261"/>
    </row>
    <row r="20262" spans="30:30" x14ac:dyDescent="0.25">
      <c r="AD20262"/>
    </row>
    <row r="20263" spans="30:30" x14ac:dyDescent="0.25">
      <c r="AD20263"/>
    </row>
    <row r="20264" spans="30:30" x14ac:dyDescent="0.25">
      <c r="AD20264"/>
    </row>
    <row r="20265" spans="30:30" x14ac:dyDescent="0.25">
      <c r="AD20265"/>
    </row>
    <row r="20266" spans="30:30" x14ac:dyDescent="0.25">
      <c r="AD20266"/>
    </row>
    <row r="20267" spans="30:30" x14ac:dyDescent="0.25">
      <c r="AD20267"/>
    </row>
    <row r="20268" spans="30:30" x14ac:dyDescent="0.25">
      <c r="AD20268"/>
    </row>
    <row r="20269" spans="30:30" x14ac:dyDescent="0.25">
      <c r="AD20269"/>
    </row>
    <row r="20270" spans="30:30" x14ac:dyDescent="0.25">
      <c r="AD20270"/>
    </row>
    <row r="20271" spans="30:30" x14ac:dyDescent="0.25">
      <c r="AD20271"/>
    </row>
    <row r="20272" spans="30:30" x14ac:dyDescent="0.25">
      <c r="AD20272"/>
    </row>
    <row r="20273" spans="30:30" x14ac:dyDescent="0.25">
      <c r="AD20273"/>
    </row>
    <row r="20274" spans="30:30" x14ac:dyDescent="0.25">
      <c r="AD20274"/>
    </row>
    <row r="20275" spans="30:30" x14ac:dyDescent="0.25">
      <c r="AD20275"/>
    </row>
    <row r="20276" spans="30:30" x14ac:dyDescent="0.25">
      <c r="AD20276"/>
    </row>
    <row r="20277" spans="30:30" x14ac:dyDescent="0.25">
      <c r="AD20277"/>
    </row>
    <row r="20278" spans="30:30" x14ac:dyDescent="0.25">
      <c r="AD20278"/>
    </row>
    <row r="20279" spans="30:30" x14ac:dyDescent="0.25">
      <c r="AD20279"/>
    </row>
    <row r="20280" spans="30:30" x14ac:dyDescent="0.25">
      <c r="AD20280"/>
    </row>
    <row r="20281" spans="30:30" x14ac:dyDescent="0.25">
      <c r="AD20281"/>
    </row>
    <row r="20282" spans="30:30" x14ac:dyDescent="0.25">
      <c r="AD20282"/>
    </row>
    <row r="20283" spans="30:30" x14ac:dyDescent="0.25">
      <c r="AD20283"/>
    </row>
    <row r="20284" spans="30:30" x14ac:dyDescent="0.25">
      <c r="AD20284"/>
    </row>
    <row r="20285" spans="30:30" x14ac:dyDescent="0.25">
      <c r="AD20285"/>
    </row>
    <row r="20286" spans="30:30" x14ac:dyDescent="0.25">
      <c r="AD20286"/>
    </row>
    <row r="20287" spans="30:30" x14ac:dyDescent="0.25">
      <c r="AD20287"/>
    </row>
    <row r="20288" spans="30:30" x14ac:dyDescent="0.25">
      <c r="AD20288"/>
    </row>
    <row r="20289" spans="30:30" x14ac:dyDescent="0.25">
      <c r="AD20289"/>
    </row>
    <row r="20290" spans="30:30" x14ac:dyDescent="0.25">
      <c r="AD20290"/>
    </row>
    <row r="20291" spans="30:30" x14ac:dyDescent="0.25">
      <c r="AD20291"/>
    </row>
    <row r="20292" spans="30:30" x14ac:dyDescent="0.25">
      <c r="AD20292"/>
    </row>
    <row r="20293" spans="30:30" x14ac:dyDescent="0.25">
      <c r="AD20293"/>
    </row>
    <row r="20294" spans="30:30" x14ac:dyDescent="0.25">
      <c r="AD20294"/>
    </row>
    <row r="20295" spans="30:30" x14ac:dyDescent="0.25">
      <c r="AD20295"/>
    </row>
    <row r="20296" spans="30:30" x14ac:dyDescent="0.25">
      <c r="AD20296"/>
    </row>
    <row r="20297" spans="30:30" x14ac:dyDescent="0.25">
      <c r="AD20297"/>
    </row>
    <row r="20298" spans="30:30" x14ac:dyDescent="0.25">
      <c r="AD20298"/>
    </row>
    <row r="20299" spans="30:30" x14ac:dyDescent="0.25">
      <c r="AD20299"/>
    </row>
    <row r="20300" spans="30:30" x14ac:dyDescent="0.25">
      <c r="AD20300"/>
    </row>
    <row r="20301" spans="30:30" x14ac:dyDescent="0.25">
      <c r="AD20301"/>
    </row>
    <row r="20302" spans="30:30" x14ac:dyDescent="0.25">
      <c r="AD20302"/>
    </row>
    <row r="20303" spans="30:30" x14ac:dyDescent="0.25">
      <c r="AD20303"/>
    </row>
    <row r="20304" spans="30:30" x14ac:dyDescent="0.25">
      <c r="AD20304"/>
    </row>
    <row r="20305" spans="30:30" x14ac:dyDescent="0.25">
      <c r="AD20305"/>
    </row>
    <row r="20306" spans="30:30" x14ac:dyDescent="0.25">
      <c r="AD20306"/>
    </row>
    <row r="20307" spans="30:30" x14ac:dyDescent="0.25">
      <c r="AD20307"/>
    </row>
    <row r="20308" spans="30:30" x14ac:dyDescent="0.25">
      <c r="AD20308"/>
    </row>
    <row r="20309" spans="30:30" x14ac:dyDescent="0.25">
      <c r="AD20309"/>
    </row>
    <row r="20310" spans="30:30" x14ac:dyDescent="0.25">
      <c r="AD20310"/>
    </row>
    <row r="20311" spans="30:30" x14ac:dyDescent="0.25">
      <c r="AD20311"/>
    </row>
    <row r="20312" spans="30:30" x14ac:dyDescent="0.25">
      <c r="AD20312"/>
    </row>
    <row r="20313" spans="30:30" x14ac:dyDescent="0.25">
      <c r="AD20313"/>
    </row>
    <row r="20314" spans="30:30" x14ac:dyDescent="0.25">
      <c r="AD20314"/>
    </row>
    <row r="20315" spans="30:30" x14ac:dyDescent="0.25">
      <c r="AD20315"/>
    </row>
    <row r="20316" spans="30:30" x14ac:dyDescent="0.25">
      <c r="AD20316"/>
    </row>
    <row r="20317" spans="30:30" x14ac:dyDescent="0.25">
      <c r="AD20317"/>
    </row>
    <row r="20318" spans="30:30" x14ac:dyDescent="0.25">
      <c r="AD20318"/>
    </row>
    <row r="20319" spans="30:30" x14ac:dyDescent="0.25">
      <c r="AD20319"/>
    </row>
    <row r="20320" spans="30:30" x14ac:dyDescent="0.25">
      <c r="AD20320"/>
    </row>
    <row r="20321" spans="30:30" x14ac:dyDescent="0.25">
      <c r="AD20321"/>
    </row>
    <row r="20322" spans="30:30" x14ac:dyDescent="0.25">
      <c r="AD20322"/>
    </row>
    <row r="20323" spans="30:30" x14ac:dyDescent="0.25">
      <c r="AD20323"/>
    </row>
    <row r="20324" spans="30:30" x14ac:dyDescent="0.25">
      <c r="AD20324"/>
    </row>
    <row r="20325" spans="30:30" x14ac:dyDescent="0.25">
      <c r="AD20325"/>
    </row>
    <row r="20326" spans="30:30" x14ac:dyDescent="0.25">
      <c r="AD20326"/>
    </row>
    <row r="20327" spans="30:30" x14ac:dyDescent="0.25">
      <c r="AD20327"/>
    </row>
    <row r="20328" spans="30:30" x14ac:dyDescent="0.25">
      <c r="AD20328"/>
    </row>
    <row r="20329" spans="30:30" x14ac:dyDescent="0.25">
      <c r="AD20329"/>
    </row>
    <row r="20330" spans="30:30" x14ac:dyDescent="0.25">
      <c r="AD20330"/>
    </row>
    <row r="20331" spans="30:30" x14ac:dyDescent="0.25">
      <c r="AD20331"/>
    </row>
    <row r="20332" spans="30:30" x14ac:dyDescent="0.25">
      <c r="AD20332"/>
    </row>
    <row r="20333" spans="30:30" x14ac:dyDescent="0.25">
      <c r="AD20333"/>
    </row>
    <row r="20334" spans="30:30" x14ac:dyDescent="0.25">
      <c r="AD20334"/>
    </row>
    <row r="20335" spans="30:30" x14ac:dyDescent="0.25">
      <c r="AD20335"/>
    </row>
    <row r="20336" spans="30:30" x14ac:dyDescent="0.25">
      <c r="AD20336"/>
    </row>
    <row r="20337" spans="30:30" x14ac:dyDescent="0.25">
      <c r="AD20337"/>
    </row>
    <row r="20338" spans="30:30" x14ac:dyDescent="0.25">
      <c r="AD20338"/>
    </row>
    <row r="20339" spans="30:30" x14ac:dyDescent="0.25">
      <c r="AD20339"/>
    </row>
    <row r="20340" spans="30:30" x14ac:dyDescent="0.25">
      <c r="AD20340"/>
    </row>
    <row r="20341" spans="30:30" x14ac:dyDescent="0.25">
      <c r="AD20341"/>
    </row>
    <row r="20342" spans="30:30" x14ac:dyDescent="0.25">
      <c r="AD20342"/>
    </row>
    <row r="20343" spans="30:30" x14ac:dyDescent="0.25">
      <c r="AD20343"/>
    </row>
    <row r="20344" spans="30:30" x14ac:dyDescent="0.25">
      <c r="AD20344"/>
    </row>
    <row r="20345" spans="30:30" x14ac:dyDescent="0.25">
      <c r="AD20345"/>
    </row>
    <row r="20346" spans="30:30" x14ac:dyDescent="0.25">
      <c r="AD20346"/>
    </row>
    <row r="20347" spans="30:30" x14ac:dyDescent="0.25">
      <c r="AD20347"/>
    </row>
    <row r="20348" spans="30:30" x14ac:dyDescent="0.25">
      <c r="AD20348"/>
    </row>
    <row r="20349" spans="30:30" x14ac:dyDescent="0.25">
      <c r="AD20349"/>
    </row>
    <row r="20350" spans="30:30" x14ac:dyDescent="0.25">
      <c r="AD20350"/>
    </row>
    <row r="20351" spans="30:30" x14ac:dyDescent="0.25">
      <c r="AD20351"/>
    </row>
    <row r="20352" spans="30:30" x14ac:dyDescent="0.25">
      <c r="AD20352"/>
    </row>
    <row r="20353" spans="30:30" x14ac:dyDescent="0.25">
      <c r="AD20353"/>
    </row>
    <row r="20354" spans="30:30" x14ac:dyDescent="0.25">
      <c r="AD20354"/>
    </row>
    <row r="20355" spans="30:30" x14ac:dyDescent="0.25">
      <c r="AD20355"/>
    </row>
    <row r="20356" spans="30:30" x14ac:dyDescent="0.25">
      <c r="AD20356"/>
    </row>
    <row r="20357" spans="30:30" x14ac:dyDescent="0.25">
      <c r="AD20357"/>
    </row>
    <row r="20358" spans="30:30" x14ac:dyDescent="0.25">
      <c r="AD20358"/>
    </row>
    <row r="20359" spans="30:30" x14ac:dyDescent="0.25">
      <c r="AD20359"/>
    </row>
    <row r="20360" spans="30:30" x14ac:dyDescent="0.25">
      <c r="AD20360"/>
    </row>
    <row r="20361" spans="30:30" x14ac:dyDescent="0.25">
      <c r="AD20361"/>
    </row>
    <row r="20362" spans="30:30" x14ac:dyDescent="0.25">
      <c r="AD20362"/>
    </row>
    <row r="20363" spans="30:30" x14ac:dyDescent="0.25">
      <c r="AD20363"/>
    </row>
    <row r="20364" spans="30:30" x14ac:dyDescent="0.25">
      <c r="AD20364"/>
    </row>
    <row r="20365" spans="30:30" x14ac:dyDescent="0.25">
      <c r="AD20365"/>
    </row>
    <row r="20366" spans="30:30" x14ac:dyDescent="0.25">
      <c r="AD20366"/>
    </row>
    <row r="20367" spans="30:30" x14ac:dyDescent="0.25">
      <c r="AD20367"/>
    </row>
    <row r="20368" spans="30:30" x14ac:dyDescent="0.25">
      <c r="AD20368"/>
    </row>
    <row r="20369" spans="30:30" x14ac:dyDescent="0.25">
      <c r="AD20369"/>
    </row>
    <row r="20370" spans="30:30" x14ac:dyDescent="0.25">
      <c r="AD20370"/>
    </row>
    <row r="20371" spans="30:30" x14ac:dyDescent="0.25">
      <c r="AD20371"/>
    </row>
    <row r="20372" spans="30:30" x14ac:dyDescent="0.25">
      <c r="AD20372"/>
    </row>
    <row r="20373" spans="30:30" x14ac:dyDescent="0.25">
      <c r="AD20373"/>
    </row>
    <row r="20374" spans="30:30" x14ac:dyDescent="0.25">
      <c r="AD20374"/>
    </row>
    <row r="20375" spans="30:30" x14ac:dyDescent="0.25">
      <c r="AD20375"/>
    </row>
    <row r="20376" spans="30:30" x14ac:dyDescent="0.25">
      <c r="AD20376"/>
    </row>
    <row r="20377" spans="30:30" x14ac:dyDescent="0.25">
      <c r="AD20377"/>
    </row>
    <row r="20378" spans="30:30" x14ac:dyDescent="0.25">
      <c r="AD20378"/>
    </row>
    <row r="20379" spans="30:30" x14ac:dyDescent="0.25">
      <c r="AD20379"/>
    </row>
    <row r="20380" spans="30:30" x14ac:dyDescent="0.25">
      <c r="AD20380"/>
    </row>
    <row r="20381" spans="30:30" x14ac:dyDescent="0.25">
      <c r="AD20381"/>
    </row>
    <row r="20382" spans="30:30" x14ac:dyDescent="0.25">
      <c r="AD20382"/>
    </row>
    <row r="20383" spans="30:30" x14ac:dyDescent="0.25">
      <c r="AD20383"/>
    </row>
    <row r="20384" spans="30:30" x14ac:dyDescent="0.25">
      <c r="AD20384"/>
    </row>
    <row r="20385" spans="30:30" x14ac:dyDescent="0.25">
      <c r="AD20385"/>
    </row>
    <row r="20386" spans="30:30" x14ac:dyDescent="0.25">
      <c r="AD20386"/>
    </row>
    <row r="20387" spans="30:30" x14ac:dyDescent="0.25">
      <c r="AD20387"/>
    </row>
    <row r="20388" spans="30:30" x14ac:dyDescent="0.25">
      <c r="AD20388"/>
    </row>
    <row r="20389" spans="30:30" x14ac:dyDescent="0.25">
      <c r="AD20389"/>
    </row>
    <row r="20390" spans="30:30" x14ac:dyDescent="0.25">
      <c r="AD20390"/>
    </row>
    <row r="20391" spans="30:30" x14ac:dyDescent="0.25">
      <c r="AD20391"/>
    </row>
    <row r="20392" spans="30:30" x14ac:dyDescent="0.25">
      <c r="AD20392"/>
    </row>
    <row r="20393" spans="30:30" x14ac:dyDescent="0.25">
      <c r="AD20393"/>
    </row>
    <row r="20394" spans="30:30" x14ac:dyDescent="0.25">
      <c r="AD20394"/>
    </row>
    <row r="20395" spans="30:30" x14ac:dyDescent="0.25">
      <c r="AD20395"/>
    </row>
    <row r="20396" spans="30:30" x14ac:dyDescent="0.25">
      <c r="AD20396"/>
    </row>
    <row r="20397" spans="30:30" x14ac:dyDescent="0.25">
      <c r="AD20397"/>
    </row>
    <row r="20398" spans="30:30" x14ac:dyDescent="0.25">
      <c r="AD20398"/>
    </row>
    <row r="20399" spans="30:30" x14ac:dyDescent="0.25">
      <c r="AD20399"/>
    </row>
    <row r="20400" spans="30:30" x14ac:dyDescent="0.25">
      <c r="AD20400"/>
    </row>
    <row r="20401" spans="30:30" x14ac:dyDescent="0.25">
      <c r="AD20401"/>
    </row>
    <row r="20402" spans="30:30" x14ac:dyDescent="0.25">
      <c r="AD20402"/>
    </row>
    <row r="20403" spans="30:30" x14ac:dyDescent="0.25">
      <c r="AD20403"/>
    </row>
    <row r="20404" spans="30:30" x14ac:dyDescent="0.25">
      <c r="AD20404"/>
    </row>
    <row r="20405" spans="30:30" x14ac:dyDescent="0.25">
      <c r="AD20405"/>
    </row>
    <row r="20406" spans="30:30" x14ac:dyDescent="0.25">
      <c r="AD20406"/>
    </row>
    <row r="20407" spans="30:30" x14ac:dyDescent="0.25">
      <c r="AD20407"/>
    </row>
    <row r="20408" spans="30:30" x14ac:dyDescent="0.25">
      <c r="AD20408"/>
    </row>
    <row r="20409" spans="30:30" x14ac:dyDescent="0.25">
      <c r="AD20409"/>
    </row>
    <row r="20410" spans="30:30" x14ac:dyDescent="0.25">
      <c r="AD20410"/>
    </row>
    <row r="20411" spans="30:30" x14ac:dyDescent="0.25">
      <c r="AD20411"/>
    </row>
    <row r="20412" spans="30:30" x14ac:dyDescent="0.25">
      <c r="AD20412"/>
    </row>
    <row r="20413" spans="30:30" x14ac:dyDescent="0.25">
      <c r="AD20413"/>
    </row>
    <row r="20414" spans="30:30" x14ac:dyDescent="0.25">
      <c r="AD20414"/>
    </row>
    <row r="20415" spans="30:30" x14ac:dyDescent="0.25">
      <c r="AD20415"/>
    </row>
    <row r="20416" spans="30:30" x14ac:dyDescent="0.25">
      <c r="AD20416"/>
    </row>
    <row r="20417" spans="30:30" x14ac:dyDescent="0.25">
      <c r="AD20417"/>
    </row>
    <row r="20418" spans="30:30" x14ac:dyDescent="0.25">
      <c r="AD20418"/>
    </row>
    <row r="20419" spans="30:30" x14ac:dyDescent="0.25">
      <c r="AD20419"/>
    </row>
    <row r="20420" spans="30:30" x14ac:dyDescent="0.25">
      <c r="AD20420"/>
    </row>
    <row r="20421" spans="30:30" x14ac:dyDescent="0.25">
      <c r="AD20421"/>
    </row>
    <row r="20422" spans="30:30" x14ac:dyDescent="0.25">
      <c r="AD20422"/>
    </row>
    <row r="20423" spans="30:30" x14ac:dyDescent="0.25">
      <c r="AD20423"/>
    </row>
    <row r="20424" spans="30:30" x14ac:dyDescent="0.25">
      <c r="AD20424"/>
    </row>
    <row r="20425" spans="30:30" x14ac:dyDescent="0.25">
      <c r="AD20425"/>
    </row>
    <row r="20426" spans="30:30" x14ac:dyDescent="0.25">
      <c r="AD20426"/>
    </row>
    <row r="20427" spans="30:30" x14ac:dyDescent="0.25">
      <c r="AD20427"/>
    </row>
    <row r="20428" spans="30:30" x14ac:dyDescent="0.25">
      <c r="AD20428"/>
    </row>
    <row r="20429" spans="30:30" x14ac:dyDescent="0.25">
      <c r="AD20429"/>
    </row>
    <row r="20430" spans="30:30" x14ac:dyDescent="0.25">
      <c r="AD20430"/>
    </row>
    <row r="20431" spans="30:30" x14ac:dyDescent="0.25">
      <c r="AD20431"/>
    </row>
    <row r="20432" spans="30:30" x14ac:dyDescent="0.25">
      <c r="AD20432"/>
    </row>
    <row r="20433" spans="30:30" x14ac:dyDescent="0.25">
      <c r="AD20433"/>
    </row>
    <row r="20434" spans="30:30" x14ac:dyDescent="0.25">
      <c r="AD20434"/>
    </row>
    <row r="20435" spans="30:30" x14ac:dyDescent="0.25">
      <c r="AD20435"/>
    </row>
    <row r="20436" spans="30:30" x14ac:dyDescent="0.25">
      <c r="AD20436"/>
    </row>
    <row r="20437" spans="30:30" x14ac:dyDescent="0.25">
      <c r="AD20437"/>
    </row>
    <row r="20438" spans="30:30" x14ac:dyDescent="0.25">
      <c r="AD20438"/>
    </row>
    <row r="20439" spans="30:30" x14ac:dyDescent="0.25">
      <c r="AD20439"/>
    </row>
    <row r="20440" spans="30:30" x14ac:dyDescent="0.25">
      <c r="AD20440"/>
    </row>
    <row r="20441" spans="30:30" x14ac:dyDescent="0.25">
      <c r="AD20441"/>
    </row>
    <row r="20442" spans="30:30" x14ac:dyDescent="0.25">
      <c r="AD20442"/>
    </row>
    <row r="20443" spans="30:30" x14ac:dyDescent="0.25">
      <c r="AD20443"/>
    </row>
    <row r="20444" spans="30:30" x14ac:dyDescent="0.25">
      <c r="AD20444"/>
    </row>
    <row r="20445" spans="30:30" x14ac:dyDescent="0.25">
      <c r="AD20445"/>
    </row>
    <row r="20446" spans="30:30" x14ac:dyDescent="0.25">
      <c r="AD20446"/>
    </row>
    <row r="20447" spans="30:30" x14ac:dyDescent="0.25">
      <c r="AD20447"/>
    </row>
    <row r="20448" spans="30:30" x14ac:dyDescent="0.25">
      <c r="AD20448"/>
    </row>
    <row r="20449" spans="30:30" x14ac:dyDescent="0.25">
      <c r="AD20449"/>
    </row>
    <row r="20450" spans="30:30" x14ac:dyDescent="0.25">
      <c r="AD20450"/>
    </row>
    <row r="20451" spans="30:30" x14ac:dyDescent="0.25">
      <c r="AD20451"/>
    </row>
    <row r="20452" spans="30:30" x14ac:dyDescent="0.25">
      <c r="AD20452"/>
    </row>
    <row r="20453" spans="30:30" x14ac:dyDescent="0.25">
      <c r="AD20453"/>
    </row>
    <row r="20454" spans="30:30" x14ac:dyDescent="0.25">
      <c r="AD20454"/>
    </row>
    <row r="20455" spans="30:30" x14ac:dyDescent="0.25">
      <c r="AD20455"/>
    </row>
    <row r="20456" spans="30:30" x14ac:dyDescent="0.25">
      <c r="AD20456"/>
    </row>
    <row r="20457" spans="30:30" x14ac:dyDescent="0.25">
      <c r="AD20457"/>
    </row>
    <row r="20458" spans="30:30" x14ac:dyDescent="0.25">
      <c r="AD20458"/>
    </row>
    <row r="20459" spans="30:30" x14ac:dyDescent="0.25">
      <c r="AD20459"/>
    </row>
    <row r="20460" spans="30:30" x14ac:dyDescent="0.25">
      <c r="AD20460"/>
    </row>
    <row r="20461" spans="30:30" x14ac:dyDescent="0.25">
      <c r="AD20461"/>
    </row>
    <row r="20462" spans="30:30" x14ac:dyDescent="0.25">
      <c r="AD20462"/>
    </row>
    <row r="20463" spans="30:30" x14ac:dyDescent="0.25">
      <c r="AD20463"/>
    </row>
    <row r="20464" spans="30:30" x14ac:dyDescent="0.25">
      <c r="AD20464"/>
    </row>
    <row r="20465" spans="30:30" x14ac:dyDescent="0.25">
      <c r="AD20465"/>
    </row>
    <row r="20466" spans="30:30" x14ac:dyDescent="0.25">
      <c r="AD20466"/>
    </row>
    <row r="20467" spans="30:30" x14ac:dyDescent="0.25">
      <c r="AD20467"/>
    </row>
    <row r="20468" spans="30:30" x14ac:dyDescent="0.25">
      <c r="AD20468"/>
    </row>
    <row r="20469" spans="30:30" x14ac:dyDescent="0.25">
      <c r="AD20469"/>
    </row>
    <row r="20470" spans="30:30" x14ac:dyDescent="0.25">
      <c r="AD20470"/>
    </row>
    <row r="20471" spans="30:30" x14ac:dyDescent="0.25">
      <c r="AD20471"/>
    </row>
    <row r="20472" spans="30:30" x14ac:dyDescent="0.25">
      <c r="AD20472"/>
    </row>
    <row r="20473" spans="30:30" x14ac:dyDescent="0.25">
      <c r="AD20473"/>
    </row>
    <row r="20474" spans="30:30" x14ac:dyDescent="0.25">
      <c r="AD20474"/>
    </row>
    <row r="20475" spans="30:30" x14ac:dyDescent="0.25">
      <c r="AD20475"/>
    </row>
    <row r="20476" spans="30:30" x14ac:dyDescent="0.25">
      <c r="AD20476"/>
    </row>
    <row r="20477" spans="30:30" x14ac:dyDescent="0.25">
      <c r="AD20477"/>
    </row>
    <row r="20478" spans="30:30" x14ac:dyDescent="0.25">
      <c r="AD20478"/>
    </row>
    <row r="20479" spans="30:30" x14ac:dyDescent="0.25">
      <c r="AD20479"/>
    </row>
    <row r="20480" spans="30:30" x14ac:dyDescent="0.25">
      <c r="AD20480"/>
    </row>
    <row r="20481" spans="30:30" x14ac:dyDescent="0.25">
      <c r="AD20481"/>
    </row>
    <row r="20482" spans="30:30" x14ac:dyDescent="0.25">
      <c r="AD20482"/>
    </row>
    <row r="20483" spans="30:30" x14ac:dyDescent="0.25">
      <c r="AD20483"/>
    </row>
    <row r="20484" spans="30:30" x14ac:dyDescent="0.25">
      <c r="AD20484"/>
    </row>
    <row r="20485" spans="30:30" x14ac:dyDescent="0.25">
      <c r="AD20485"/>
    </row>
    <row r="20486" spans="30:30" x14ac:dyDescent="0.25">
      <c r="AD20486"/>
    </row>
    <row r="20487" spans="30:30" x14ac:dyDescent="0.25">
      <c r="AD20487"/>
    </row>
    <row r="20488" spans="30:30" x14ac:dyDescent="0.25">
      <c r="AD20488"/>
    </row>
    <row r="20489" spans="30:30" x14ac:dyDescent="0.25">
      <c r="AD20489"/>
    </row>
    <row r="20490" spans="30:30" x14ac:dyDescent="0.25">
      <c r="AD20490"/>
    </row>
    <row r="20491" spans="30:30" x14ac:dyDescent="0.25">
      <c r="AD20491"/>
    </row>
    <row r="20492" spans="30:30" x14ac:dyDescent="0.25">
      <c r="AD20492"/>
    </row>
    <row r="20493" spans="30:30" x14ac:dyDescent="0.25">
      <c r="AD20493"/>
    </row>
    <row r="20494" spans="30:30" x14ac:dyDescent="0.25">
      <c r="AD20494"/>
    </row>
    <row r="20495" spans="30:30" x14ac:dyDescent="0.25">
      <c r="AD20495"/>
    </row>
    <row r="20496" spans="30:30" x14ac:dyDescent="0.25">
      <c r="AD20496"/>
    </row>
    <row r="20497" spans="30:30" x14ac:dyDescent="0.25">
      <c r="AD20497"/>
    </row>
    <row r="20498" spans="30:30" x14ac:dyDescent="0.25">
      <c r="AD20498"/>
    </row>
    <row r="20499" spans="30:30" x14ac:dyDescent="0.25">
      <c r="AD20499"/>
    </row>
    <row r="20500" spans="30:30" x14ac:dyDescent="0.25">
      <c r="AD20500"/>
    </row>
    <row r="20501" spans="30:30" x14ac:dyDescent="0.25">
      <c r="AD20501"/>
    </row>
    <row r="20502" spans="30:30" x14ac:dyDescent="0.25">
      <c r="AD20502"/>
    </row>
    <row r="20503" spans="30:30" x14ac:dyDescent="0.25">
      <c r="AD20503"/>
    </row>
    <row r="20504" spans="30:30" x14ac:dyDescent="0.25">
      <c r="AD20504"/>
    </row>
    <row r="20505" spans="30:30" x14ac:dyDescent="0.25">
      <c r="AD20505"/>
    </row>
    <row r="20506" spans="30:30" x14ac:dyDescent="0.25">
      <c r="AD20506"/>
    </row>
    <row r="20507" spans="30:30" x14ac:dyDescent="0.25">
      <c r="AD20507"/>
    </row>
    <row r="20508" spans="30:30" x14ac:dyDescent="0.25">
      <c r="AD20508"/>
    </row>
    <row r="20509" spans="30:30" x14ac:dyDescent="0.25">
      <c r="AD20509"/>
    </row>
    <row r="20510" spans="30:30" x14ac:dyDescent="0.25">
      <c r="AD20510"/>
    </row>
    <row r="20511" spans="30:30" x14ac:dyDescent="0.25">
      <c r="AD20511"/>
    </row>
    <row r="20512" spans="30:30" x14ac:dyDescent="0.25">
      <c r="AD20512"/>
    </row>
    <row r="20513" spans="30:30" x14ac:dyDescent="0.25">
      <c r="AD20513"/>
    </row>
    <row r="20514" spans="30:30" x14ac:dyDescent="0.25">
      <c r="AD20514"/>
    </row>
    <row r="20515" spans="30:30" x14ac:dyDescent="0.25">
      <c r="AD20515"/>
    </row>
    <row r="20516" spans="30:30" x14ac:dyDescent="0.25">
      <c r="AD20516"/>
    </row>
    <row r="20517" spans="30:30" x14ac:dyDescent="0.25">
      <c r="AD20517"/>
    </row>
    <row r="20518" spans="30:30" x14ac:dyDescent="0.25">
      <c r="AD20518"/>
    </row>
    <row r="20519" spans="30:30" x14ac:dyDescent="0.25">
      <c r="AD20519"/>
    </row>
    <row r="20520" spans="30:30" x14ac:dyDescent="0.25">
      <c r="AD20520"/>
    </row>
    <row r="20521" spans="30:30" x14ac:dyDescent="0.25">
      <c r="AD20521"/>
    </row>
    <row r="20522" spans="30:30" x14ac:dyDescent="0.25">
      <c r="AD20522"/>
    </row>
    <row r="20523" spans="30:30" x14ac:dyDescent="0.25">
      <c r="AD20523"/>
    </row>
    <row r="20524" spans="30:30" x14ac:dyDescent="0.25">
      <c r="AD20524"/>
    </row>
    <row r="20525" spans="30:30" x14ac:dyDescent="0.25">
      <c r="AD20525"/>
    </row>
    <row r="20526" spans="30:30" x14ac:dyDescent="0.25">
      <c r="AD20526"/>
    </row>
    <row r="20527" spans="30:30" x14ac:dyDescent="0.25">
      <c r="AD20527"/>
    </row>
    <row r="20528" spans="30:30" x14ac:dyDescent="0.25">
      <c r="AD20528"/>
    </row>
    <row r="20529" spans="30:30" x14ac:dyDescent="0.25">
      <c r="AD20529"/>
    </row>
    <row r="20530" spans="30:30" x14ac:dyDescent="0.25">
      <c r="AD20530"/>
    </row>
    <row r="20531" spans="30:30" x14ac:dyDescent="0.25">
      <c r="AD20531"/>
    </row>
    <row r="20532" spans="30:30" x14ac:dyDescent="0.25">
      <c r="AD20532"/>
    </row>
    <row r="20533" spans="30:30" x14ac:dyDescent="0.25">
      <c r="AD20533"/>
    </row>
    <row r="20534" spans="30:30" x14ac:dyDescent="0.25">
      <c r="AD20534"/>
    </row>
    <row r="20535" spans="30:30" x14ac:dyDescent="0.25">
      <c r="AD20535"/>
    </row>
    <row r="20536" spans="30:30" x14ac:dyDescent="0.25">
      <c r="AD20536"/>
    </row>
    <row r="20537" spans="30:30" x14ac:dyDescent="0.25">
      <c r="AD20537"/>
    </row>
    <row r="20538" spans="30:30" x14ac:dyDescent="0.25">
      <c r="AD20538"/>
    </row>
    <row r="20539" spans="30:30" x14ac:dyDescent="0.25">
      <c r="AD20539"/>
    </row>
    <row r="20540" spans="30:30" x14ac:dyDescent="0.25">
      <c r="AD20540"/>
    </row>
    <row r="20541" spans="30:30" x14ac:dyDescent="0.25">
      <c r="AD20541"/>
    </row>
    <row r="20542" spans="30:30" x14ac:dyDescent="0.25">
      <c r="AD20542"/>
    </row>
    <row r="20543" spans="30:30" x14ac:dyDescent="0.25">
      <c r="AD20543"/>
    </row>
    <row r="20544" spans="30:30" x14ac:dyDescent="0.25">
      <c r="AD20544"/>
    </row>
    <row r="20545" spans="30:30" x14ac:dyDescent="0.25">
      <c r="AD20545"/>
    </row>
    <row r="20546" spans="30:30" x14ac:dyDescent="0.25">
      <c r="AD20546"/>
    </row>
    <row r="20547" spans="30:30" x14ac:dyDescent="0.25">
      <c r="AD20547"/>
    </row>
    <row r="20548" spans="30:30" x14ac:dyDescent="0.25">
      <c r="AD20548"/>
    </row>
    <row r="20549" spans="30:30" x14ac:dyDescent="0.25">
      <c r="AD20549"/>
    </row>
    <row r="20550" spans="30:30" x14ac:dyDescent="0.25">
      <c r="AD20550"/>
    </row>
    <row r="20551" spans="30:30" x14ac:dyDescent="0.25">
      <c r="AD20551"/>
    </row>
    <row r="20552" spans="30:30" x14ac:dyDescent="0.25">
      <c r="AD20552"/>
    </row>
    <row r="20553" spans="30:30" x14ac:dyDescent="0.25">
      <c r="AD20553"/>
    </row>
    <row r="20554" spans="30:30" x14ac:dyDescent="0.25">
      <c r="AD20554"/>
    </row>
    <row r="20555" spans="30:30" x14ac:dyDescent="0.25">
      <c r="AD20555"/>
    </row>
    <row r="20556" spans="30:30" x14ac:dyDescent="0.25">
      <c r="AD20556"/>
    </row>
    <row r="20557" spans="30:30" x14ac:dyDescent="0.25">
      <c r="AD20557"/>
    </row>
    <row r="20558" spans="30:30" x14ac:dyDescent="0.25">
      <c r="AD20558"/>
    </row>
    <row r="20559" spans="30:30" x14ac:dyDescent="0.25">
      <c r="AD20559"/>
    </row>
    <row r="20560" spans="30:30" x14ac:dyDescent="0.25">
      <c r="AD20560"/>
    </row>
    <row r="20561" spans="30:30" x14ac:dyDescent="0.25">
      <c r="AD20561"/>
    </row>
    <row r="20562" spans="30:30" x14ac:dyDescent="0.25">
      <c r="AD20562"/>
    </row>
    <row r="20563" spans="30:30" x14ac:dyDescent="0.25">
      <c r="AD20563"/>
    </row>
    <row r="20564" spans="30:30" x14ac:dyDescent="0.25">
      <c r="AD20564"/>
    </row>
    <row r="20565" spans="30:30" x14ac:dyDescent="0.25">
      <c r="AD20565"/>
    </row>
    <row r="20566" spans="30:30" x14ac:dyDescent="0.25">
      <c r="AD20566"/>
    </row>
    <row r="20567" spans="30:30" x14ac:dyDescent="0.25">
      <c r="AD20567"/>
    </row>
    <row r="20568" spans="30:30" x14ac:dyDescent="0.25">
      <c r="AD20568"/>
    </row>
    <row r="20569" spans="30:30" x14ac:dyDescent="0.25">
      <c r="AD20569"/>
    </row>
    <row r="20570" spans="30:30" x14ac:dyDescent="0.25">
      <c r="AD20570"/>
    </row>
    <row r="20571" spans="30:30" x14ac:dyDescent="0.25">
      <c r="AD20571"/>
    </row>
    <row r="20572" spans="30:30" x14ac:dyDescent="0.25">
      <c r="AD20572"/>
    </row>
    <row r="20573" spans="30:30" x14ac:dyDescent="0.25">
      <c r="AD20573"/>
    </row>
    <row r="20574" spans="30:30" x14ac:dyDescent="0.25">
      <c r="AD20574"/>
    </row>
    <row r="20575" spans="30:30" x14ac:dyDescent="0.25">
      <c r="AD20575"/>
    </row>
    <row r="20576" spans="30:30" x14ac:dyDescent="0.25">
      <c r="AD20576"/>
    </row>
    <row r="20577" spans="30:30" x14ac:dyDescent="0.25">
      <c r="AD20577"/>
    </row>
    <row r="20578" spans="30:30" x14ac:dyDescent="0.25">
      <c r="AD20578"/>
    </row>
    <row r="20579" spans="30:30" x14ac:dyDescent="0.25">
      <c r="AD20579"/>
    </row>
    <row r="20580" spans="30:30" x14ac:dyDescent="0.25">
      <c r="AD20580"/>
    </row>
    <row r="20581" spans="30:30" x14ac:dyDescent="0.25">
      <c r="AD20581"/>
    </row>
    <row r="20582" spans="30:30" x14ac:dyDescent="0.25">
      <c r="AD20582"/>
    </row>
    <row r="20583" spans="30:30" x14ac:dyDescent="0.25">
      <c r="AD20583"/>
    </row>
    <row r="20584" spans="30:30" x14ac:dyDescent="0.25">
      <c r="AD20584"/>
    </row>
    <row r="20585" spans="30:30" x14ac:dyDescent="0.25">
      <c r="AD20585"/>
    </row>
    <row r="20586" spans="30:30" x14ac:dyDescent="0.25">
      <c r="AD20586"/>
    </row>
    <row r="20587" spans="30:30" x14ac:dyDescent="0.25">
      <c r="AD20587"/>
    </row>
    <row r="20588" spans="30:30" x14ac:dyDescent="0.25">
      <c r="AD20588"/>
    </row>
    <row r="20589" spans="30:30" x14ac:dyDescent="0.25">
      <c r="AD20589"/>
    </row>
    <row r="20590" spans="30:30" x14ac:dyDescent="0.25">
      <c r="AD20590"/>
    </row>
    <row r="20591" spans="30:30" x14ac:dyDescent="0.25">
      <c r="AD20591"/>
    </row>
    <row r="20592" spans="30:30" x14ac:dyDescent="0.25">
      <c r="AD20592"/>
    </row>
    <row r="20593" spans="30:30" x14ac:dyDescent="0.25">
      <c r="AD20593"/>
    </row>
    <row r="20594" spans="30:30" x14ac:dyDescent="0.25">
      <c r="AD20594"/>
    </row>
    <row r="20595" spans="30:30" x14ac:dyDescent="0.25">
      <c r="AD20595"/>
    </row>
    <row r="20596" spans="30:30" x14ac:dyDescent="0.25">
      <c r="AD20596"/>
    </row>
    <row r="20597" spans="30:30" x14ac:dyDescent="0.25">
      <c r="AD20597"/>
    </row>
    <row r="20598" spans="30:30" x14ac:dyDescent="0.25">
      <c r="AD20598"/>
    </row>
    <row r="20599" spans="30:30" x14ac:dyDescent="0.25">
      <c r="AD20599"/>
    </row>
    <row r="20600" spans="30:30" x14ac:dyDescent="0.25">
      <c r="AD20600"/>
    </row>
    <row r="20601" spans="30:30" x14ac:dyDescent="0.25">
      <c r="AD20601"/>
    </row>
    <row r="20602" spans="30:30" x14ac:dyDescent="0.25">
      <c r="AD20602"/>
    </row>
    <row r="20603" spans="30:30" x14ac:dyDescent="0.25">
      <c r="AD20603"/>
    </row>
    <row r="20604" spans="30:30" x14ac:dyDescent="0.25">
      <c r="AD20604"/>
    </row>
    <row r="20605" spans="30:30" x14ac:dyDescent="0.25">
      <c r="AD20605"/>
    </row>
    <row r="20606" spans="30:30" x14ac:dyDescent="0.25">
      <c r="AD20606"/>
    </row>
    <row r="20607" spans="30:30" x14ac:dyDescent="0.25">
      <c r="AD20607"/>
    </row>
    <row r="20608" spans="30:30" x14ac:dyDescent="0.25">
      <c r="AD20608"/>
    </row>
    <row r="20609" spans="30:30" x14ac:dyDescent="0.25">
      <c r="AD20609"/>
    </row>
    <row r="20610" spans="30:30" x14ac:dyDescent="0.25">
      <c r="AD20610"/>
    </row>
    <row r="20611" spans="30:30" x14ac:dyDescent="0.25">
      <c r="AD20611"/>
    </row>
    <row r="20612" spans="30:30" x14ac:dyDescent="0.25">
      <c r="AD20612"/>
    </row>
    <row r="20613" spans="30:30" x14ac:dyDescent="0.25">
      <c r="AD20613"/>
    </row>
    <row r="20614" spans="30:30" x14ac:dyDescent="0.25">
      <c r="AD20614"/>
    </row>
    <row r="20615" spans="30:30" x14ac:dyDescent="0.25">
      <c r="AD20615"/>
    </row>
    <row r="20616" spans="30:30" x14ac:dyDescent="0.25">
      <c r="AD20616"/>
    </row>
    <row r="20617" spans="30:30" x14ac:dyDescent="0.25">
      <c r="AD20617"/>
    </row>
    <row r="20618" spans="30:30" x14ac:dyDescent="0.25">
      <c r="AD20618"/>
    </row>
    <row r="20619" spans="30:30" x14ac:dyDescent="0.25">
      <c r="AD20619"/>
    </row>
    <row r="20620" spans="30:30" x14ac:dyDescent="0.25">
      <c r="AD20620"/>
    </row>
    <row r="20621" spans="30:30" x14ac:dyDescent="0.25">
      <c r="AD20621"/>
    </row>
    <row r="20622" spans="30:30" x14ac:dyDescent="0.25">
      <c r="AD20622"/>
    </row>
    <row r="20623" spans="30:30" x14ac:dyDescent="0.25">
      <c r="AD20623"/>
    </row>
    <row r="20624" spans="30:30" x14ac:dyDescent="0.25">
      <c r="AD20624"/>
    </row>
    <row r="20625" spans="30:30" x14ac:dyDescent="0.25">
      <c r="AD20625"/>
    </row>
    <row r="20626" spans="30:30" x14ac:dyDescent="0.25">
      <c r="AD20626"/>
    </row>
    <row r="20627" spans="30:30" x14ac:dyDescent="0.25">
      <c r="AD20627"/>
    </row>
    <row r="20628" spans="30:30" x14ac:dyDescent="0.25">
      <c r="AD20628"/>
    </row>
    <row r="20629" spans="30:30" x14ac:dyDescent="0.25">
      <c r="AD20629"/>
    </row>
    <row r="20630" spans="30:30" x14ac:dyDescent="0.25">
      <c r="AD20630"/>
    </row>
    <row r="20631" spans="30:30" x14ac:dyDescent="0.25">
      <c r="AD20631"/>
    </row>
    <row r="20632" spans="30:30" x14ac:dyDescent="0.25">
      <c r="AD20632"/>
    </row>
    <row r="20633" spans="30:30" x14ac:dyDescent="0.25">
      <c r="AD20633"/>
    </row>
    <row r="20634" spans="30:30" x14ac:dyDescent="0.25">
      <c r="AD20634"/>
    </row>
    <row r="20635" spans="30:30" x14ac:dyDescent="0.25">
      <c r="AD20635"/>
    </row>
    <row r="20636" spans="30:30" x14ac:dyDescent="0.25">
      <c r="AD20636"/>
    </row>
    <row r="20637" spans="30:30" x14ac:dyDescent="0.25">
      <c r="AD20637"/>
    </row>
    <row r="20638" spans="30:30" x14ac:dyDescent="0.25">
      <c r="AD20638"/>
    </row>
    <row r="20639" spans="30:30" x14ac:dyDescent="0.25">
      <c r="AD20639"/>
    </row>
    <row r="20640" spans="30:30" x14ac:dyDescent="0.25">
      <c r="AD20640"/>
    </row>
    <row r="20641" spans="30:30" x14ac:dyDescent="0.25">
      <c r="AD20641"/>
    </row>
    <row r="20642" spans="30:30" x14ac:dyDescent="0.25">
      <c r="AD20642"/>
    </row>
    <row r="20643" spans="30:30" x14ac:dyDescent="0.25">
      <c r="AD20643"/>
    </row>
    <row r="20644" spans="30:30" x14ac:dyDescent="0.25">
      <c r="AD20644"/>
    </row>
    <row r="20645" spans="30:30" x14ac:dyDescent="0.25">
      <c r="AD20645"/>
    </row>
    <row r="20646" spans="30:30" x14ac:dyDescent="0.25">
      <c r="AD20646"/>
    </row>
    <row r="20647" spans="30:30" x14ac:dyDescent="0.25">
      <c r="AD20647"/>
    </row>
    <row r="20648" spans="30:30" x14ac:dyDescent="0.25">
      <c r="AD20648"/>
    </row>
    <row r="20649" spans="30:30" x14ac:dyDescent="0.25">
      <c r="AD20649"/>
    </row>
    <row r="20650" spans="30:30" x14ac:dyDescent="0.25">
      <c r="AD20650"/>
    </row>
    <row r="20651" spans="30:30" x14ac:dyDescent="0.25">
      <c r="AD20651"/>
    </row>
    <row r="20652" spans="30:30" x14ac:dyDescent="0.25">
      <c r="AD20652"/>
    </row>
    <row r="20653" spans="30:30" x14ac:dyDescent="0.25">
      <c r="AD20653"/>
    </row>
    <row r="20654" spans="30:30" x14ac:dyDescent="0.25">
      <c r="AD20654"/>
    </row>
    <row r="20655" spans="30:30" x14ac:dyDescent="0.25">
      <c r="AD20655"/>
    </row>
    <row r="20656" spans="30:30" x14ac:dyDescent="0.25">
      <c r="AD20656"/>
    </row>
    <row r="20657" spans="30:30" x14ac:dyDescent="0.25">
      <c r="AD20657"/>
    </row>
    <row r="20658" spans="30:30" x14ac:dyDescent="0.25">
      <c r="AD20658"/>
    </row>
    <row r="20659" spans="30:30" x14ac:dyDescent="0.25">
      <c r="AD20659"/>
    </row>
    <row r="20660" spans="30:30" x14ac:dyDescent="0.25">
      <c r="AD20660"/>
    </row>
    <row r="20661" spans="30:30" x14ac:dyDescent="0.25">
      <c r="AD20661"/>
    </row>
    <row r="20662" spans="30:30" x14ac:dyDescent="0.25">
      <c r="AD20662"/>
    </row>
    <row r="20663" spans="30:30" x14ac:dyDescent="0.25">
      <c r="AD20663"/>
    </row>
    <row r="20664" spans="30:30" x14ac:dyDescent="0.25">
      <c r="AD20664"/>
    </row>
    <row r="20665" spans="30:30" x14ac:dyDescent="0.25">
      <c r="AD20665"/>
    </row>
    <row r="20666" spans="30:30" x14ac:dyDescent="0.25">
      <c r="AD20666"/>
    </row>
    <row r="20667" spans="30:30" x14ac:dyDescent="0.25">
      <c r="AD20667"/>
    </row>
    <row r="20668" spans="30:30" x14ac:dyDescent="0.25">
      <c r="AD20668"/>
    </row>
    <row r="20669" spans="30:30" x14ac:dyDescent="0.25">
      <c r="AD20669"/>
    </row>
    <row r="20670" spans="30:30" x14ac:dyDescent="0.25">
      <c r="AD20670"/>
    </row>
    <row r="20671" spans="30:30" x14ac:dyDescent="0.25">
      <c r="AD20671"/>
    </row>
    <row r="20672" spans="30:30" x14ac:dyDescent="0.25">
      <c r="AD20672"/>
    </row>
    <row r="20673" spans="30:30" x14ac:dyDescent="0.25">
      <c r="AD20673"/>
    </row>
    <row r="20674" spans="30:30" x14ac:dyDescent="0.25">
      <c r="AD20674"/>
    </row>
    <row r="20675" spans="30:30" x14ac:dyDescent="0.25">
      <c r="AD20675"/>
    </row>
    <row r="20676" spans="30:30" x14ac:dyDescent="0.25">
      <c r="AD20676"/>
    </row>
    <row r="20677" spans="30:30" x14ac:dyDescent="0.25">
      <c r="AD20677"/>
    </row>
    <row r="20678" spans="30:30" x14ac:dyDescent="0.25">
      <c r="AD20678"/>
    </row>
    <row r="20679" spans="30:30" x14ac:dyDescent="0.25">
      <c r="AD20679"/>
    </row>
    <row r="20680" spans="30:30" x14ac:dyDescent="0.25">
      <c r="AD20680"/>
    </row>
    <row r="20681" spans="30:30" x14ac:dyDescent="0.25">
      <c r="AD20681"/>
    </row>
    <row r="20682" spans="30:30" x14ac:dyDescent="0.25">
      <c r="AD20682"/>
    </row>
    <row r="20683" spans="30:30" x14ac:dyDescent="0.25">
      <c r="AD20683"/>
    </row>
    <row r="20684" spans="30:30" x14ac:dyDescent="0.25">
      <c r="AD20684"/>
    </row>
    <row r="20685" spans="30:30" x14ac:dyDescent="0.25">
      <c r="AD20685"/>
    </row>
    <row r="20686" spans="30:30" x14ac:dyDescent="0.25">
      <c r="AD20686"/>
    </row>
    <row r="20687" spans="30:30" x14ac:dyDescent="0.25">
      <c r="AD20687"/>
    </row>
    <row r="20688" spans="30:30" x14ac:dyDescent="0.25">
      <c r="AD20688"/>
    </row>
    <row r="20689" spans="30:30" x14ac:dyDescent="0.25">
      <c r="AD20689"/>
    </row>
    <row r="20690" spans="30:30" x14ac:dyDescent="0.25">
      <c r="AD20690"/>
    </row>
    <row r="20691" spans="30:30" x14ac:dyDescent="0.25">
      <c r="AD20691"/>
    </row>
    <row r="20692" spans="30:30" x14ac:dyDescent="0.25">
      <c r="AD20692"/>
    </row>
    <row r="20693" spans="30:30" x14ac:dyDescent="0.25">
      <c r="AD20693"/>
    </row>
    <row r="20694" spans="30:30" x14ac:dyDescent="0.25">
      <c r="AD20694"/>
    </row>
    <row r="20695" spans="30:30" x14ac:dyDescent="0.25">
      <c r="AD20695"/>
    </row>
    <row r="20696" spans="30:30" x14ac:dyDescent="0.25">
      <c r="AD20696"/>
    </row>
    <row r="20697" spans="30:30" x14ac:dyDescent="0.25">
      <c r="AD20697"/>
    </row>
    <row r="20698" spans="30:30" x14ac:dyDescent="0.25">
      <c r="AD20698"/>
    </row>
    <row r="20699" spans="30:30" x14ac:dyDescent="0.25">
      <c r="AD20699"/>
    </row>
    <row r="20700" spans="30:30" x14ac:dyDescent="0.25">
      <c r="AD20700"/>
    </row>
    <row r="20701" spans="30:30" x14ac:dyDescent="0.25">
      <c r="AD20701"/>
    </row>
    <row r="20702" spans="30:30" x14ac:dyDescent="0.25">
      <c r="AD20702"/>
    </row>
    <row r="20703" spans="30:30" x14ac:dyDescent="0.25">
      <c r="AD20703"/>
    </row>
    <row r="20704" spans="30:30" x14ac:dyDescent="0.25">
      <c r="AD20704"/>
    </row>
    <row r="20705" spans="30:30" x14ac:dyDescent="0.25">
      <c r="AD20705"/>
    </row>
    <row r="20706" spans="30:30" x14ac:dyDescent="0.25">
      <c r="AD20706"/>
    </row>
    <row r="20707" spans="30:30" x14ac:dyDescent="0.25">
      <c r="AD20707"/>
    </row>
    <row r="20708" spans="30:30" x14ac:dyDescent="0.25">
      <c r="AD20708"/>
    </row>
    <row r="20709" spans="30:30" x14ac:dyDescent="0.25">
      <c r="AD20709"/>
    </row>
    <row r="20710" spans="30:30" x14ac:dyDescent="0.25">
      <c r="AD20710"/>
    </row>
    <row r="20711" spans="30:30" x14ac:dyDescent="0.25">
      <c r="AD20711"/>
    </row>
    <row r="20712" spans="30:30" x14ac:dyDescent="0.25">
      <c r="AD20712"/>
    </row>
    <row r="20713" spans="30:30" x14ac:dyDescent="0.25">
      <c r="AD20713"/>
    </row>
    <row r="20714" spans="30:30" x14ac:dyDescent="0.25">
      <c r="AD20714"/>
    </row>
    <row r="20715" spans="30:30" x14ac:dyDescent="0.25">
      <c r="AD20715"/>
    </row>
    <row r="20716" spans="30:30" x14ac:dyDescent="0.25">
      <c r="AD20716"/>
    </row>
    <row r="20717" spans="30:30" x14ac:dyDescent="0.25">
      <c r="AD20717"/>
    </row>
    <row r="20718" spans="30:30" x14ac:dyDescent="0.25">
      <c r="AD20718"/>
    </row>
    <row r="20719" spans="30:30" x14ac:dyDescent="0.25">
      <c r="AD20719"/>
    </row>
    <row r="20720" spans="30:30" x14ac:dyDescent="0.25">
      <c r="AD20720"/>
    </row>
    <row r="20721" spans="30:30" x14ac:dyDescent="0.25">
      <c r="AD20721"/>
    </row>
    <row r="20722" spans="30:30" x14ac:dyDescent="0.25">
      <c r="AD20722"/>
    </row>
    <row r="20723" spans="30:30" x14ac:dyDescent="0.25">
      <c r="AD20723"/>
    </row>
    <row r="20724" spans="30:30" x14ac:dyDescent="0.25">
      <c r="AD20724"/>
    </row>
    <row r="20725" spans="30:30" x14ac:dyDescent="0.25">
      <c r="AD20725"/>
    </row>
    <row r="20726" spans="30:30" x14ac:dyDescent="0.25">
      <c r="AD20726"/>
    </row>
    <row r="20727" spans="30:30" x14ac:dyDescent="0.25">
      <c r="AD20727"/>
    </row>
    <row r="20728" spans="30:30" x14ac:dyDescent="0.25">
      <c r="AD20728"/>
    </row>
    <row r="20729" spans="30:30" x14ac:dyDescent="0.25">
      <c r="AD20729"/>
    </row>
    <row r="20730" spans="30:30" x14ac:dyDescent="0.25">
      <c r="AD20730"/>
    </row>
    <row r="20731" spans="30:30" x14ac:dyDescent="0.25">
      <c r="AD20731"/>
    </row>
    <row r="20732" spans="30:30" x14ac:dyDescent="0.25">
      <c r="AD20732"/>
    </row>
    <row r="20733" spans="30:30" x14ac:dyDescent="0.25">
      <c r="AD20733"/>
    </row>
    <row r="20734" spans="30:30" x14ac:dyDescent="0.25">
      <c r="AD20734"/>
    </row>
    <row r="20735" spans="30:30" x14ac:dyDescent="0.25">
      <c r="AD20735"/>
    </row>
    <row r="20736" spans="30:30" x14ac:dyDescent="0.25">
      <c r="AD20736"/>
    </row>
    <row r="20737" spans="30:30" x14ac:dyDescent="0.25">
      <c r="AD20737"/>
    </row>
    <row r="20738" spans="30:30" x14ac:dyDescent="0.25">
      <c r="AD20738"/>
    </row>
    <row r="20739" spans="30:30" x14ac:dyDescent="0.25">
      <c r="AD20739"/>
    </row>
    <row r="20740" spans="30:30" x14ac:dyDescent="0.25">
      <c r="AD20740"/>
    </row>
    <row r="20741" spans="30:30" x14ac:dyDescent="0.25">
      <c r="AD20741"/>
    </row>
    <row r="20742" spans="30:30" x14ac:dyDescent="0.25">
      <c r="AD20742"/>
    </row>
    <row r="20743" spans="30:30" x14ac:dyDescent="0.25">
      <c r="AD20743"/>
    </row>
    <row r="20744" spans="30:30" x14ac:dyDescent="0.25">
      <c r="AD20744"/>
    </row>
    <row r="20745" spans="30:30" x14ac:dyDescent="0.25">
      <c r="AD20745"/>
    </row>
    <row r="20746" spans="30:30" x14ac:dyDescent="0.25">
      <c r="AD20746"/>
    </row>
    <row r="20747" spans="30:30" x14ac:dyDescent="0.25">
      <c r="AD20747"/>
    </row>
    <row r="20748" spans="30:30" x14ac:dyDescent="0.25">
      <c r="AD20748"/>
    </row>
    <row r="20749" spans="30:30" x14ac:dyDescent="0.25">
      <c r="AD20749"/>
    </row>
    <row r="20750" spans="30:30" x14ac:dyDescent="0.25">
      <c r="AD20750"/>
    </row>
    <row r="20751" spans="30:30" x14ac:dyDescent="0.25">
      <c r="AD20751"/>
    </row>
    <row r="20752" spans="30:30" x14ac:dyDescent="0.25">
      <c r="AD20752"/>
    </row>
    <row r="20753" spans="30:30" x14ac:dyDescent="0.25">
      <c r="AD20753"/>
    </row>
    <row r="20754" spans="30:30" x14ac:dyDescent="0.25">
      <c r="AD20754"/>
    </row>
    <row r="20755" spans="30:30" x14ac:dyDescent="0.25">
      <c r="AD20755"/>
    </row>
    <row r="20756" spans="30:30" x14ac:dyDescent="0.25">
      <c r="AD20756"/>
    </row>
    <row r="20757" spans="30:30" x14ac:dyDescent="0.25">
      <c r="AD20757"/>
    </row>
    <row r="20758" spans="30:30" x14ac:dyDescent="0.25">
      <c r="AD20758"/>
    </row>
    <row r="20759" spans="30:30" x14ac:dyDescent="0.25">
      <c r="AD20759"/>
    </row>
    <row r="20760" spans="30:30" x14ac:dyDescent="0.25">
      <c r="AD20760"/>
    </row>
    <row r="20761" spans="30:30" x14ac:dyDescent="0.25">
      <c r="AD20761"/>
    </row>
    <row r="20762" spans="30:30" x14ac:dyDescent="0.25">
      <c r="AD20762"/>
    </row>
    <row r="20763" spans="30:30" x14ac:dyDescent="0.25">
      <c r="AD20763"/>
    </row>
    <row r="20764" spans="30:30" x14ac:dyDescent="0.25">
      <c r="AD20764"/>
    </row>
    <row r="20765" spans="30:30" x14ac:dyDescent="0.25">
      <c r="AD20765"/>
    </row>
    <row r="20766" spans="30:30" x14ac:dyDescent="0.25">
      <c r="AD20766"/>
    </row>
    <row r="20767" spans="30:30" x14ac:dyDescent="0.25">
      <c r="AD20767"/>
    </row>
    <row r="20768" spans="30:30" x14ac:dyDescent="0.25">
      <c r="AD20768"/>
    </row>
    <row r="20769" spans="30:30" x14ac:dyDescent="0.25">
      <c r="AD20769"/>
    </row>
    <row r="20770" spans="30:30" x14ac:dyDescent="0.25">
      <c r="AD20770"/>
    </row>
    <row r="20771" spans="30:30" x14ac:dyDescent="0.25">
      <c r="AD20771"/>
    </row>
    <row r="20772" spans="30:30" x14ac:dyDescent="0.25">
      <c r="AD20772"/>
    </row>
    <row r="20773" spans="30:30" x14ac:dyDescent="0.25">
      <c r="AD20773"/>
    </row>
    <row r="20774" spans="30:30" x14ac:dyDescent="0.25">
      <c r="AD20774"/>
    </row>
    <row r="20775" spans="30:30" x14ac:dyDescent="0.25">
      <c r="AD20775"/>
    </row>
    <row r="20776" spans="30:30" x14ac:dyDescent="0.25">
      <c r="AD20776"/>
    </row>
    <row r="20777" spans="30:30" x14ac:dyDescent="0.25">
      <c r="AD20777"/>
    </row>
    <row r="20778" spans="30:30" x14ac:dyDescent="0.25">
      <c r="AD20778"/>
    </row>
    <row r="20779" spans="30:30" x14ac:dyDescent="0.25">
      <c r="AD20779"/>
    </row>
    <row r="20780" spans="30:30" x14ac:dyDescent="0.25">
      <c r="AD20780"/>
    </row>
    <row r="20781" spans="30:30" x14ac:dyDescent="0.25">
      <c r="AD20781"/>
    </row>
    <row r="20782" spans="30:30" x14ac:dyDescent="0.25">
      <c r="AD20782"/>
    </row>
    <row r="20783" spans="30:30" x14ac:dyDescent="0.25">
      <c r="AD20783"/>
    </row>
    <row r="20784" spans="30:30" x14ac:dyDescent="0.25">
      <c r="AD20784"/>
    </row>
    <row r="20785" spans="30:30" x14ac:dyDescent="0.25">
      <c r="AD20785"/>
    </row>
    <row r="20786" spans="30:30" x14ac:dyDescent="0.25">
      <c r="AD20786"/>
    </row>
    <row r="20787" spans="30:30" x14ac:dyDescent="0.25">
      <c r="AD20787"/>
    </row>
    <row r="20788" spans="30:30" x14ac:dyDescent="0.25">
      <c r="AD20788"/>
    </row>
    <row r="20789" spans="30:30" x14ac:dyDescent="0.25">
      <c r="AD20789"/>
    </row>
    <row r="20790" spans="30:30" x14ac:dyDescent="0.25">
      <c r="AD20790"/>
    </row>
    <row r="20791" spans="30:30" x14ac:dyDescent="0.25">
      <c r="AD20791"/>
    </row>
    <row r="20792" spans="30:30" x14ac:dyDescent="0.25">
      <c r="AD20792"/>
    </row>
    <row r="20793" spans="30:30" x14ac:dyDescent="0.25">
      <c r="AD20793"/>
    </row>
    <row r="20794" spans="30:30" x14ac:dyDescent="0.25">
      <c r="AD20794"/>
    </row>
    <row r="20795" spans="30:30" x14ac:dyDescent="0.25">
      <c r="AD20795"/>
    </row>
    <row r="20796" spans="30:30" x14ac:dyDescent="0.25">
      <c r="AD20796"/>
    </row>
    <row r="20797" spans="30:30" x14ac:dyDescent="0.25">
      <c r="AD20797"/>
    </row>
    <row r="20798" spans="30:30" x14ac:dyDescent="0.25">
      <c r="AD20798"/>
    </row>
    <row r="20799" spans="30:30" x14ac:dyDescent="0.25">
      <c r="AD20799"/>
    </row>
    <row r="20800" spans="30:30" x14ac:dyDescent="0.25">
      <c r="AD20800"/>
    </row>
    <row r="20801" spans="30:30" x14ac:dyDescent="0.25">
      <c r="AD20801"/>
    </row>
    <row r="20802" spans="30:30" x14ac:dyDescent="0.25">
      <c r="AD20802"/>
    </row>
    <row r="20803" spans="30:30" x14ac:dyDescent="0.25">
      <c r="AD20803"/>
    </row>
    <row r="20804" spans="30:30" x14ac:dyDescent="0.25">
      <c r="AD20804"/>
    </row>
    <row r="20805" spans="30:30" x14ac:dyDescent="0.25">
      <c r="AD20805"/>
    </row>
    <row r="20806" spans="30:30" x14ac:dyDescent="0.25">
      <c r="AD20806"/>
    </row>
    <row r="20807" spans="30:30" x14ac:dyDescent="0.25">
      <c r="AD20807"/>
    </row>
    <row r="20808" spans="30:30" x14ac:dyDescent="0.25">
      <c r="AD20808"/>
    </row>
    <row r="20809" spans="30:30" x14ac:dyDescent="0.25">
      <c r="AD20809"/>
    </row>
    <row r="20810" spans="30:30" x14ac:dyDescent="0.25">
      <c r="AD20810"/>
    </row>
    <row r="20811" spans="30:30" x14ac:dyDescent="0.25">
      <c r="AD20811"/>
    </row>
    <row r="20812" spans="30:30" x14ac:dyDescent="0.25">
      <c r="AD20812"/>
    </row>
    <row r="20813" spans="30:30" x14ac:dyDescent="0.25">
      <c r="AD20813"/>
    </row>
    <row r="20814" spans="30:30" x14ac:dyDescent="0.25">
      <c r="AD20814"/>
    </row>
    <row r="20815" spans="30:30" x14ac:dyDescent="0.25">
      <c r="AD20815"/>
    </row>
    <row r="20816" spans="30:30" x14ac:dyDescent="0.25">
      <c r="AD20816"/>
    </row>
    <row r="20817" spans="30:30" x14ac:dyDescent="0.25">
      <c r="AD20817"/>
    </row>
    <row r="20818" spans="30:30" x14ac:dyDescent="0.25">
      <c r="AD20818"/>
    </row>
    <row r="20819" spans="30:30" x14ac:dyDescent="0.25">
      <c r="AD20819"/>
    </row>
    <row r="20820" spans="30:30" x14ac:dyDescent="0.25">
      <c r="AD20820"/>
    </row>
    <row r="20821" spans="30:30" x14ac:dyDescent="0.25">
      <c r="AD20821"/>
    </row>
    <row r="20822" spans="30:30" x14ac:dyDescent="0.25">
      <c r="AD20822"/>
    </row>
    <row r="20823" spans="30:30" x14ac:dyDescent="0.25">
      <c r="AD20823"/>
    </row>
    <row r="20824" spans="30:30" x14ac:dyDescent="0.25">
      <c r="AD20824"/>
    </row>
    <row r="20825" spans="30:30" x14ac:dyDescent="0.25">
      <c r="AD20825"/>
    </row>
    <row r="20826" spans="30:30" x14ac:dyDescent="0.25">
      <c r="AD20826"/>
    </row>
    <row r="20827" spans="30:30" x14ac:dyDescent="0.25">
      <c r="AD20827"/>
    </row>
    <row r="20828" spans="30:30" x14ac:dyDescent="0.25">
      <c r="AD20828"/>
    </row>
    <row r="20829" spans="30:30" x14ac:dyDescent="0.25">
      <c r="AD20829"/>
    </row>
    <row r="20830" spans="30:30" x14ac:dyDescent="0.25">
      <c r="AD20830"/>
    </row>
    <row r="20831" spans="30:30" x14ac:dyDescent="0.25">
      <c r="AD20831"/>
    </row>
    <row r="20832" spans="30:30" x14ac:dyDescent="0.25">
      <c r="AD20832"/>
    </row>
    <row r="20833" spans="30:30" x14ac:dyDescent="0.25">
      <c r="AD20833"/>
    </row>
    <row r="20834" spans="30:30" x14ac:dyDescent="0.25">
      <c r="AD20834"/>
    </row>
    <row r="20835" spans="30:30" x14ac:dyDescent="0.25">
      <c r="AD20835"/>
    </row>
    <row r="20836" spans="30:30" x14ac:dyDescent="0.25">
      <c r="AD20836"/>
    </row>
    <row r="20837" spans="30:30" x14ac:dyDescent="0.25">
      <c r="AD20837"/>
    </row>
    <row r="20838" spans="30:30" x14ac:dyDescent="0.25">
      <c r="AD20838"/>
    </row>
    <row r="20839" spans="30:30" x14ac:dyDescent="0.25">
      <c r="AD20839"/>
    </row>
    <row r="20840" spans="30:30" x14ac:dyDescent="0.25">
      <c r="AD20840"/>
    </row>
    <row r="20841" spans="30:30" x14ac:dyDescent="0.25">
      <c r="AD20841"/>
    </row>
    <row r="20842" spans="30:30" x14ac:dyDescent="0.25">
      <c r="AD20842"/>
    </row>
    <row r="20843" spans="30:30" x14ac:dyDescent="0.25">
      <c r="AD20843"/>
    </row>
    <row r="20844" spans="30:30" x14ac:dyDescent="0.25">
      <c r="AD20844"/>
    </row>
    <row r="20845" spans="30:30" x14ac:dyDescent="0.25">
      <c r="AD20845"/>
    </row>
    <row r="20846" spans="30:30" x14ac:dyDescent="0.25">
      <c r="AD20846"/>
    </row>
    <row r="20847" spans="30:30" x14ac:dyDescent="0.25">
      <c r="AD20847"/>
    </row>
    <row r="20848" spans="30:30" x14ac:dyDescent="0.25">
      <c r="AD20848"/>
    </row>
    <row r="20849" spans="30:30" x14ac:dyDescent="0.25">
      <c r="AD20849"/>
    </row>
    <row r="20850" spans="30:30" x14ac:dyDescent="0.25">
      <c r="AD20850"/>
    </row>
    <row r="20851" spans="30:30" x14ac:dyDescent="0.25">
      <c r="AD20851"/>
    </row>
    <row r="20852" spans="30:30" x14ac:dyDescent="0.25">
      <c r="AD20852"/>
    </row>
    <row r="20853" spans="30:30" x14ac:dyDescent="0.25">
      <c r="AD20853"/>
    </row>
    <row r="20854" spans="30:30" x14ac:dyDescent="0.25">
      <c r="AD20854"/>
    </row>
    <row r="20855" spans="30:30" x14ac:dyDescent="0.25">
      <c r="AD20855"/>
    </row>
    <row r="20856" spans="30:30" x14ac:dyDescent="0.25">
      <c r="AD20856"/>
    </row>
    <row r="20857" spans="30:30" x14ac:dyDescent="0.25">
      <c r="AD20857"/>
    </row>
    <row r="20858" spans="30:30" x14ac:dyDescent="0.25">
      <c r="AD20858"/>
    </row>
    <row r="20859" spans="30:30" x14ac:dyDescent="0.25">
      <c r="AD20859"/>
    </row>
    <row r="20860" spans="30:30" x14ac:dyDescent="0.25">
      <c r="AD20860"/>
    </row>
    <row r="20861" spans="30:30" x14ac:dyDescent="0.25">
      <c r="AD20861"/>
    </row>
    <row r="20862" spans="30:30" x14ac:dyDescent="0.25">
      <c r="AD20862"/>
    </row>
    <row r="20863" spans="30:30" x14ac:dyDescent="0.25">
      <c r="AD20863"/>
    </row>
    <row r="20864" spans="30:30" x14ac:dyDescent="0.25">
      <c r="AD20864"/>
    </row>
    <row r="20865" spans="30:30" x14ac:dyDescent="0.25">
      <c r="AD20865"/>
    </row>
    <row r="20866" spans="30:30" x14ac:dyDescent="0.25">
      <c r="AD20866"/>
    </row>
    <row r="20867" spans="30:30" x14ac:dyDescent="0.25">
      <c r="AD20867"/>
    </row>
    <row r="20868" spans="30:30" x14ac:dyDescent="0.25">
      <c r="AD20868"/>
    </row>
    <row r="20869" spans="30:30" x14ac:dyDescent="0.25">
      <c r="AD20869"/>
    </row>
    <row r="20870" spans="30:30" x14ac:dyDescent="0.25">
      <c r="AD20870"/>
    </row>
    <row r="20871" spans="30:30" x14ac:dyDescent="0.25">
      <c r="AD20871"/>
    </row>
    <row r="20872" spans="30:30" x14ac:dyDescent="0.25">
      <c r="AD20872"/>
    </row>
    <row r="20873" spans="30:30" x14ac:dyDescent="0.25">
      <c r="AD20873"/>
    </row>
    <row r="20874" spans="30:30" x14ac:dyDescent="0.25">
      <c r="AD20874"/>
    </row>
    <row r="20875" spans="30:30" x14ac:dyDescent="0.25">
      <c r="AD20875"/>
    </row>
    <row r="20876" spans="30:30" x14ac:dyDescent="0.25">
      <c r="AD20876"/>
    </row>
    <row r="20877" spans="30:30" x14ac:dyDescent="0.25">
      <c r="AD20877"/>
    </row>
    <row r="20878" spans="30:30" x14ac:dyDescent="0.25">
      <c r="AD20878"/>
    </row>
    <row r="20879" spans="30:30" x14ac:dyDescent="0.25">
      <c r="AD20879"/>
    </row>
    <row r="20880" spans="30:30" x14ac:dyDescent="0.25">
      <c r="AD20880"/>
    </row>
    <row r="20881" spans="30:30" x14ac:dyDescent="0.25">
      <c r="AD20881"/>
    </row>
    <row r="20882" spans="30:30" x14ac:dyDescent="0.25">
      <c r="AD20882"/>
    </row>
    <row r="20883" spans="30:30" x14ac:dyDescent="0.25">
      <c r="AD20883"/>
    </row>
    <row r="20884" spans="30:30" x14ac:dyDescent="0.25">
      <c r="AD20884"/>
    </row>
    <row r="20885" spans="30:30" x14ac:dyDescent="0.25">
      <c r="AD20885"/>
    </row>
    <row r="20886" spans="30:30" x14ac:dyDescent="0.25">
      <c r="AD20886"/>
    </row>
    <row r="20887" spans="30:30" x14ac:dyDescent="0.25">
      <c r="AD20887"/>
    </row>
    <row r="20888" spans="30:30" x14ac:dyDescent="0.25">
      <c r="AD20888"/>
    </row>
    <row r="20889" spans="30:30" x14ac:dyDescent="0.25">
      <c r="AD20889"/>
    </row>
    <row r="20890" spans="30:30" x14ac:dyDescent="0.25">
      <c r="AD20890"/>
    </row>
    <row r="20891" spans="30:30" x14ac:dyDescent="0.25">
      <c r="AD20891"/>
    </row>
    <row r="20892" spans="30:30" x14ac:dyDescent="0.25">
      <c r="AD20892"/>
    </row>
    <row r="20893" spans="30:30" x14ac:dyDescent="0.25">
      <c r="AD20893"/>
    </row>
    <row r="20894" spans="30:30" x14ac:dyDescent="0.25">
      <c r="AD20894"/>
    </row>
    <row r="20895" spans="30:30" x14ac:dyDescent="0.25">
      <c r="AD20895"/>
    </row>
    <row r="20896" spans="30:30" x14ac:dyDescent="0.25">
      <c r="AD20896"/>
    </row>
    <row r="20897" spans="30:30" x14ac:dyDescent="0.25">
      <c r="AD20897"/>
    </row>
    <row r="20898" spans="30:30" x14ac:dyDescent="0.25">
      <c r="AD20898"/>
    </row>
    <row r="20899" spans="30:30" x14ac:dyDescent="0.25">
      <c r="AD20899"/>
    </row>
    <row r="20900" spans="30:30" x14ac:dyDescent="0.25">
      <c r="AD20900"/>
    </row>
    <row r="20901" spans="30:30" x14ac:dyDescent="0.25">
      <c r="AD20901"/>
    </row>
    <row r="20902" spans="30:30" x14ac:dyDescent="0.25">
      <c r="AD20902"/>
    </row>
    <row r="20903" spans="30:30" x14ac:dyDescent="0.25">
      <c r="AD20903"/>
    </row>
    <row r="20904" spans="30:30" x14ac:dyDescent="0.25">
      <c r="AD20904"/>
    </row>
    <row r="20905" spans="30:30" x14ac:dyDescent="0.25">
      <c r="AD20905"/>
    </row>
    <row r="20906" spans="30:30" x14ac:dyDescent="0.25">
      <c r="AD20906"/>
    </row>
    <row r="20907" spans="30:30" x14ac:dyDescent="0.25">
      <c r="AD20907"/>
    </row>
    <row r="20908" spans="30:30" x14ac:dyDescent="0.25">
      <c r="AD20908"/>
    </row>
    <row r="20909" spans="30:30" x14ac:dyDescent="0.25">
      <c r="AD20909"/>
    </row>
    <row r="20910" spans="30:30" x14ac:dyDescent="0.25">
      <c r="AD20910"/>
    </row>
    <row r="20911" spans="30:30" x14ac:dyDescent="0.25">
      <c r="AD20911"/>
    </row>
    <row r="20912" spans="30:30" x14ac:dyDescent="0.25">
      <c r="AD20912"/>
    </row>
    <row r="20913" spans="30:30" x14ac:dyDescent="0.25">
      <c r="AD20913"/>
    </row>
    <row r="20914" spans="30:30" x14ac:dyDescent="0.25">
      <c r="AD20914"/>
    </row>
    <row r="20915" spans="30:30" x14ac:dyDescent="0.25">
      <c r="AD20915"/>
    </row>
    <row r="20916" spans="30:30" x14ac:dyDescent="0.25">
      <c r="AD20916"/>
    </row>
    <row r="20917" spans="30:30" x14ac:dyDescent="0.25">
      <c r="AD20917"/>
    </row>
    <row r="20918" spans="30:30" x14ac:dyDescent="0.25">
      <c r="AD20918"/>
    </row>
    <row r="20919" spans="30:30" x14ac:dyDescent="0.25">
      <c r="AD20919"/>
    </row>
    <row r="20920" spans="30:30" x14ac:dyDescent="0.25">
      <c r="AD20920"/>
    </row>
    <row r="20921" spans="30:30" x14ac:dyDescent="0.25">
      <c r="AD20921"/>
    </row>
    <row r="20922" spans="30:30" x14ac:dyDescent="0.25">
      <c r="AD20922"/>
    </row>
    <row r="20923" spans="30:30" x14ac:dyDescent="0.25">
      <c r="AD20923"/>
    </row>
    <row r="20924" spans="30:30" x14ac:dyDescent="0.25">
      <c r="AD20924"/>
    </row>
    <row r="20925" spans="30:30" x14ac:dyDescent="0.25">
      <c r="AD20925"/>
    </row>
    <row r="20926" spans="30:30" x14ac:dyDescent="0.25">
      <c r="AD20926"/>
    </row>
    <row r="20927" spans="30:30" x14ac:dyDescent="0.25">
      <c r="AD20927"/>
    </row>
    <row r="20928" spans="30:30" x14ac:dyDescent="0.25">
      <c r="AD20928"/>
    </row>
    <row r="20929" spans="30:30" x14ac:dyDescent="0.25">
      <c r="AD20929"/>
    </row>
    <row r="20930" spans="30:30" x14ac:dyDescent="0.25">
      <c r="AD20930"/>
    </row>
    <row r="20931" spans="30:30" x14ac:dyDescent="0.25">
      <c r="AD20931"/>
    </row>
    <row r="20932" spans="30:30" x14ac:dyDescent="0.25">
      <c r="AD20932"/>
    </row>
    <row r="20933" spans="30:30" x14ac:dyDescent="0.25">
      <c r="AD20933"/>
    </row>
    <row r="20934" spans="30:30" x14ac:dyDescent="0.25">
      <c r="AD20934"/>
    </row>
    <row r="20935" spans="30:30" x14ac:dyDescent="0.25">
      <c r="AD20935"/>
    </row>
    <row r="20936" spans="30:30" x14ac:dyDescent="0.25">
      <c r="AD20936"/>
    </row>
    <row r="20937" spans="30:30" x14ac:dyDescent="0.25">
      <c r="AD20937"/>
    </row>
    <row r="20938" spans="30:30" x14ac:dyDescent="0.25">
      <c r="AD20938"/>
    </row>
    <row r="20939" spans="30:30" x14ac:dyDescent="0.25">
      <c r="AD20939"/>
    </row>
    <row r="20940" spans="30:30" x14ac:dyDescent="0.25">
      <c r="AD20940"/>
    </row>
    <row r="20941" spans="30:30" x14ac:dyDescent="0.25">
      <c r="AD20941"/>
    </row>
    <row r="20942" spans="30:30" x14ac:dyDescent="0.25">
      <c r="AD20942"/>
    </row>
    <row r="20943" spans="30:30" x14ac:dyDescent="0.25">
      <c r="AD20943"/>
    </row>
    <row r="20944" spans="30:30" x14ac:dyDescent="0.25">
      <c r="AD20944"/>
    </row>
    <row r="20945" spans="30:30" x14ac:dyDescent="0.25">
      <c r="AD20945"/>
    </row>
    <row r="20946" spans="30:30" x14ac:dyDescent="0.25">
      <c r="AD20946"/>
    </row>
    <row r="20947" spans="30:30" x14ac:dyDescent="0.25">
      <c r="AD20947"/>
    </row>
    <row r="20948" spans="30:30" x14ac:dyDescent="0.25">
      <c r="AD20948"/>
    </row>
    <row r="20949" spans="30:30" x14ac:dyDescent="0.25">
      <c r="AD20949"/>
    </row>
    <row r="20950" spans="30:30" x14ac:dyDescent="0.25">
      <c r="AD20950"/>
    </row>
    <row r="20951" spans="30:30" x14ac:dyDescent="0.25">
      <c r="AD20951"/>
    </row>
    <row r="20952" spans="30:30" x14ac:dyDescent="0.25">
      <c r="AD20952"/>
    </row>
    <row r="20953" spans="30:30" x14ac:dyDescent="0.25">
      <c r="AD20953"/>
    </row>
    <row r="20954" spans="30:30" x14ac:dyDescent="0.25">
      <c r="AD20954"/>
    </row>
    <row r="20955" spans="30:30" x14ac:dyDescent="0.25">
      <c r="AD20955"/>
    </row>
    <row r="20956" spans="30:30" x14ac:dyDescent="0.25">
      <c r="AD20956"/>
    </row>
    <row r="20957" spans="30:30" x14ac:dyDescent="0.25">
      <c r="AD20957"/>
    </row>
    <row r="20958" spans="30:30" x14ac:dyDescent="0.25">
      <c r="AD20958"/>
    </row>
    <row r="20959" spans="30:30" x14ac:dyDescent="0.25">
      <c r="AD20959"/>
    </row>
    <row r="20960" spans="30:30" x14ac:dyDescent="0.25">
      <c r="AD20960"/>
    </row>
    <row r="20961" spans="30:30" x14ac:dyDescent="0.25">
      <c r="AD20961"/>
    </row>
    <row r="20962" spans="30:30" x14ac:dyDescent="0.25">
      <c r="AD20962"/>
    </row>
    <row r="20963" spans="30:30" x14ac:dyDescent="0.25">
      <c r="AD20963"/>
    </row>
    <row r="20964" spans="30:30" x14ac:dyDescent="0.25">
      <c r="AD20964"/>
    </row>
    <row r="20965" spans="30:30" x14ac:dyDescent="0.25">
      <c r="AD20965"/>
    </row>
    <row r="20966" spans="30:30" x14ac:dyDescent="0.25">
      <c r="AD20966"/>
    </row>
    <row r="20967" spans="30:30" x14ac:dyDescent="0.25">
      <c r="AD20967"/>
    </row>
    <row r="20968" spans="30:30" x14ac:dyDescent="0.25">
      <c r="AD20968"/>
    </row>
    <row r="20969" spans="30:30" x14ac:dyDescent="0.25">
      <c r="AD20969"/>
    </row>
    <row r="20970" spans="30:30" x14ac:dyDescent="0.25">
      <c r="AD20970"/>
    </row>
    <row r="20971" spans="30:30" x14ac:dyDescent="0.25">
      <c r="AD20971"/>
    </row>
    <row r="20972" spans="30:30" x14ac:dyDescent="0.25">
      <c r="AD20972"/>
    </row>
    <row r="20973" spans="30:30" x14ac:dyDescent="0.25">
      <c r="AD20973"/>
    </row>
    <row r="20974" spans="30:30" x14ac:dyDescent="0.25">
      <c r="AD20974"/>
    </row>
    <row r="20975" spans="30:30" x14ac:dyDescent="0.25">
      <c r="AD20975"/>
    </row>
    <row r="20976" spans="30:30" x14ac:dyDescent="0.25">
      <c r="AD20976"/>
    </row>
    <row r="20977" spans="30:30" x14ac:dyDescent="0.25">
      <c r="AD20977"/>
    </row>
    <row r="20978" spans="30:30" x14ac:dyDescent="0.25">
      <c r="AD20978"/>
    </row>
    <row r="20979" spans="30:30" x14ac:dyDescent="0.25">
      <c r="AD20979"/>
    </row>
    <row r="20980" spans="30:30" x14ac:dyDescent="0.25">
      <c r="AD20980"/>
    </row>
    <row r="20981" spans="30:30" x14ac:dyDescent="0.25">
      <c r="AD20981"/>
    </row>
    <row r="20982" spans="30:30" x14ac:dyDescent="0.25">
      <c r="AD20982"/>
    </row>
    <row r="20983" spans="30:30" x14ac:dyDescent="0.25">
      <c r="AD20983"/>
    </row>
    <row r="20984" spans="30:30" x14ac:dyDescent="0.25">
      <c r="AD20984"/>
    </row>
    <row r="20985" spans="30:30" x14ac:dyDescent="0.25">
      <c r="AD20985"/>
    </row>
    <row r="20986" spans="30:30" x14ac:dyDescent="0.25">
      <c r="AD20986"/>
    </row>
    <row r="20987" spans="30:30" x14ac:dyDescent="0.25">
      <c r="AD20987"/>
    </row>
    <row r="20988" spans="30:30" x14ac:dyDescent="0.25">
      <c r="AD20988"/>
    </row>
    <row r="20989" spans="30:30" x14ac:dyDescent="0.25">
      <c r="AD20989"/>
    </row>
    <row r="20990" spans="30:30" x14ac:dyDescent="0.25">
      <c r="AD20990"/>
    </row>
    <row r="20991" spans="30:30" x14ac:dyDescent="0.25">
      <c r="AD20991"/>
    </row>
    <row r="20992" spans="30:30" x14ac:dyDescent="0.25">
      <c r="AD20992"/>
    </row>
    <row r="20993" spans="30:30" x14ac:dyDescent="0.25">
      <c r="AD20993"/>
    </row>
    <row r="20994" spans="30:30" x14ac:dyDescent="0.25">
      <c r="AD20994"/>
    </row>
    <row r="20995" spans="30:30" x14ac:dyDescent="0.25">
      <c r="AD20995"/>
    </row>
    <row r="20996" spans="30:30" x14ac:dyDescent="0.25">
      <c r="AD20996"/>
    </row>
    <row r="20997" spans="30:30" x14ac:dyDescent="0.25">
      <c r="AD20997"/>
    </row>
    <row r="20998" spans="30:30" x14ac:dyDescent="0.25">
      <c r="AD20998"/>
    </row>
    <row r="20999" spans="30:30" x14ac:dyDescent="0.25">
      <c r="AD20999"/>
    </row>
    <row r="21000" spans="30:30" x14ac:dyDescent="0.25">
      <c r="AD21000"/>
    </row>
    <row r="21001" spans="30:30" x14ac:dyDescent="0.25">
      <c r="AD21001"/>
    </row>
    <row r="21002" spans="30:30" x14ac:dyDescent="0.25">
      <c r="AD21002"/>
    </row>
    <row r="21003" spans="30:30" x14ac:dyDescent="0.25">
      <c r="AD21003"/>
    </row>
    <row r="21004" spans="30:30" x14ac:dyDescent="0.25">
      <c r="AD21004"/>
    </row>
    <row r="21005" spans="30:30" x14ac:dyDescent="0.25">
      <c r="AD21005"/>
    </row>
    <row r="21006" spans="30:30" x14ac:dyDescent="0.25">
      <c r="AD21006"/>
    </row>
    <row r="21007" spans="30:30" x14ac:dyDescent="0.25">
      <c r="AD21007"/>
    </row>
    <row r="21008" spans="30:30" x14ac:dyDescent="0.25">
      <c r="AD21008"/>
    </row>
    <row r="21009" spans="30:30" x14ac:dyDescent="0.25">
      <c r="AD21009"/>
    </row>
    <row r="21010" spans="30:30" x14ac:dyDescent="0.25">
      <c r="AD21010"/>
    </row>
    <row r="21011" spans="30:30" x14ac:dyDescent="0.25">
      <c r="AD21011"/>
    </row>
    <row r="21012" spans="30:30" x14ac:dyDescent="0.25">
      <c r="AD21012"/>
    </row>
    <row r="21013" spans="30:30" x14ac:dyDescent="0.25">
      <c r="AD21013"/>
    </row>
    <row r="21014" spans="30:30" x14ac:dyDescent="0.25">
      <c r="AD21014"/>
    </row>
    <row r="21015" spans="30:30" x14ac:dyDescent="0.25">
      <c r="AD21015"/>
    </row>
    <row r="21016" spans="30:30" x14ac:dyDescent="0.25">
      <c r="AD21016"/>
    </row>
    <row r="21017" spans="30:30" x14ac:dyDescent="0.25">
      <c r="AD21017"/>
    </row>
    <row r="21018" spans="30:30" x14ac:dyDescent="0.25">
      <c r="AD21018"/>
    </row>
    <row r="21019" spans="30:30" x14ac:dyDescent="0.25">
      <c r="AD21019"/>
    </row>
    <row r="21020" spans="30:30" x14ac:dyDescent="0.25">
      <c r="AD21020"/>
    </row>
    <row r="21021" spans="30:30" x14ac:dyDescent="0.25">
      <c r="AD21021"/>
    </row>
    <row r="21022" spans="30:30" x14ac:dyDescent="0.25">
      <c r="AD21022"/>
    </row>
    <row r="21023" spans="30:30" x14ac:dyDescent="0.25">
      <c r="AD21023"/>
    </row>
    <row r="21024" spans="30:30" x14ac:dyDescent="0.25">
      <c r="AD21024"/>
    </row>
    <row r="21025" spans="30:30" x14ac:dyDescent="0.25">
      <c r="AD21025"/>
    </row>
    <row r="21026" spans="30:30" x14ac:dyDescent="0.25">
      <c r="AD21026"/>
    </row>
    <row r="21027" spans="30:30" x14ac:dyDescent="0.25">
      <c r="AD21027"/>
    </row>
    <row r="21028" spans="30:30" x14ac:dyDescent="0.25">
      <c r="AD21028"/>
    </row>
    <row r="21029" spans="30:30" x14ac:dyDescent="0.25">
      <c r="AD21029"/>
    </row>
    <row r="21030" spans="30:30" x14ac:dyDescent="0.25">
      <c r="AD21030"/>
    </row>
    <row r="21031" spans="30:30" x14ac:dyDescent="0.25">
      <c r="AD21031"/>
    </row>
    <row r="21032" spans="30:30" x14ac:dyDescent="0.25">
      <c r="AD21032"/>
    </row>
    <row r="21033" spans="30:30" x14ac:dyDescent="0.25">
      <c r="AD21033"/>
    </row>
    <row r="21034" spans="30:30" x14ac:dyDescent="0.25">
      <c r="AD21034"/>
    </row>
    <row r="21035" spans="30:30" x14ac:dyDescent="0.25">
      <c r="AD21035"/>
    </row>
    <row r="21036" spans="30:30" x14ac:dyDescent="0.25">
      <c r="AD21036"/>
    </row>
    <row r="21037" spans="30:30" x14ac:dyDescent="0.25">
      <c r="AD21037"/>
    </row>
    <row r="21038" spans="30:30" x14ac:dyDescent="0.25">
      <c r="AD21038"/>
    </row>
    <row r="21039" spans="30:30" x14ac:dyDescent="0.25">
      <c r="AD21039"/>
    </row>
    <row r="21040" spans="30:30" x14ac:dyDescent="0.25">
      <c r="AD21040"/>
    </row>
    <row r="21041" spans="30:30" x14ac:dyDescent="0.25">
      <c r="AD21041"/>
    </row>
    <row r="21042" spans="30:30" x14ac:dyDescent="0.25">
      <c r="AD21042"/>
    </row>
    <row r="21043" spans="30:30" x14ac:dyDescent="0.25">
      <c r="AD21043"/>
    </row>
    <row r="21044" spans="30:30" x14ac:dyDescent="0.25">
      <c r="AD21044"/>
    </row>
    <row r="21045" spans="30:30" x14ac:dyDescent="0.25">
      <c r="AD21045"/>
    </row>
    <row r="21046" spans="30:30" x14ac:dyDescent="0.25">
      <c r="AD21046"/>
    </row>
    <row r="21047" spans="30:30" x14ac:dyDescent="0.25">
      <c r="AD21047"/>
    </row>
    <row r="21048" spans="30:30" x14ac:dyDescent="0.25">
      <c r="AD21048"/>
    </row>
    <row r="21049" spans="30:30" x14ac:dyDescent="0.25">
      <c r="AD21049"/>
    </row>
    <row r="21050" spans="30:30" x14ac:dyDescent="0.25">
      <c r="AD21050"/>
    </row>
    <row r="21051" spans="30:30" x14ac:dyDescent="0.25">
      <c r="AD21051"/>
    </row>
    <row r="21052" spans="30:30" x14ac:dyDescent="0.25">
      <c r="AD21052"/>
    </row>
    <row r="21053" spans="30:30" x14ac:dyDescent="0.25">
      <c r="AD21053"/>
    </row>
    <row r="21054" spans="30:30" x14ac:dyDescent="0.25">
      <c r="AD21054"/>
    </row>
    <row r="21055" spans="30:30" x14ac:dyDescent="0.25">
      <c r="AD21055"/>
    </row>
    <row r="21056" spans="30:30" x14ac:dyDescent="0.25">
      <c r="AD21056"/>
    </row>
    <row r="21057" spans="30:30" x14ac:dyDescent="0.25">
      <c r="AD21057"/>
    </row>
    <row r="21058" spans="30:30" x14ac:dyDescent="0.25">
      <c r="AD21058"/>
    </row>
    <row r="21059" spans="30:30" x14ac:dyDescent="0.25">
      <c r="AD21059"/>
    </row>
    <row r="21060" spans="30:30" x14ac:dyDescent="0.25">
      <c r="AD21060"/>
    </row>
    <row r="21061" spans="30:30" x14ac:dyDescent="0.25">
      <c r="AD21061"/>
    </row>
    <row r="21062" spans="30:30" x14ac:dyDescent="0.25">
      <c r="AD21062"/>
    </row>
    <row r="21063" spans="30:30" x14ac:dyDescent="0.25">
      <c r="AD21063"/>
    </row>
    <row r="21064" spans="30:30" x14ac:dyDescent="0.25">
      <c r="AD21064"/>
    </row>
    <row r="21065" spans="30:30" x14ac:dyDescent="0.25">
      <c r="AD21065"/>
    </row>
    <row r="21066" spans="30:30" x14ac:dyDescent="0.25">
      <c r="AD21066"/>
    </row>
    <row r="21067" spans="30:30" x14ac:dyDescent="0.25">
      <c r="AD21067"/>
    </row>
    <row r="21068" spans="30:30" x14ac:dyDescent="0.25">
      <c r="AD21068"/>
    </row>
    <row r="21069" spans="30:30" x14ac:dyDescent="0.25">
      <c r="AD21069"/>
    </row>
    <row r="21070" spans="30:30" x14ac:dyDescent="0.25">
      <c r="AD21070"/>
    </row>
    <row r="21071" spans="30:30" x14ac:dyDescent="0.25">
      <c r="AD21071"/>
    </row>
    <row r="21072" spans="30:30" x14ac:dyDescent="0.25">
      <c r="AD21072"/>
    </row>
    <row r="21073" spans="30:30" x14ac:dyDescent="0.25">
      <c r="AD21073"/>
    </row>
    <row r="21074" spans="30:30" x14ac:dyDescent="0.25">
      <c r="AD21074"/>
    </row>
    <row r="21075" spans="30:30" x14ac:dyDescent="0.25">
      <c r="AD21075"/>
    </row>
    <row r="21076" spans="30:30" x14ac:dyDescent="0.25">
      <c r="AD21076"/>
    </row>
    <row r="21077" spans="30:30" x14ac:dyDescent="0.25">
      <c r="AD21077"/>
    </row>
    <row r="21078" spans="30:30" x14ac:dyDescent="0.25">
      <c r="AD21078"/>
    </row>
    <row r="21079" spans="30:30" x14ac:dyDescent="0.25">
      <c r="AD21079"/>
    </row>
    <row r="21080" spans="30:30" x14ac:dyDescent="0.25">
      <c r="AD21080"/>
    </row>
    <row r="21081" spans="30:30" x14ac:dyDescent="0.25">
      <c r="AD21081"/>
    </row>
    <row r="21082" spans="30:30" x14ac:dyDescent="0.25">
      <c r="AD21082"/>
    </row>
    <row r="21083" spans="30:30" x14ac:dyDescent="0.25">
      <c r="AD21083"/>
    </row>
    <row r="21084" spans="30:30" x14ac:dyDescent="0.25">
      <c r="AD21084"/>
    </row>
    <row r="21085" spans="30:30" x14ac:dyDescent="0.25">
      <c r="AD21085"/>
    </row>
    <row r="21086" spans="30:30" x14ac:dyDescent="0.25">
      <c r="AD21086"/>
    </row>
    <row r="21087" spans="30:30" x14ac:dyDescent="0.25">
      <c r="AD21087"/>
    </row>
    <row r="21088" spans="30:30" x14ac:dyDescent="0.25">
      <c r="AD21088"/>
    </row>
    <row r="21089" spans="30:30" x14ac:dyDescent="0.25">
      <c r="AD21089"/>
    </row>
    <row r="21090" spans="30:30" x14ac:dyDescent="0.25">
      <c r="AD21090"/>
    </row>
    <row r="21091" spans="30:30" x14ac:dyDescent="0.25">
      <c r="AD21091"/>
    </row>
    <row r="21092" spans="30:30" x14ac:dyDescent="0.25">
      <c r="AD21092"/>
    </row>
    <row r="21093" spans="30:30" x14ac:dyDescent="0.25">
      <c r="AD21093"/>
    </row>
    <row r="21094" spans="30:30" x14ac:dyDescent="0.25">
      <c r="AD21094"/>
    </row>
    <row r="21095" spans="30:30" x14ac:dyDescent="0.25">
      <c r="AD21095"/>
    </row>
    <row r="21096" spans="30:30" x14ac:dyDescent="0.25">
      <c r="AD21096"/>
    </row>
    <row r="21097" spans="30:30" x14ac:dyDescent="0.25">
      <c r="AD21097"/>
    </row>
    <row r="21098" spans="30:30" x14ac:dyDescent="0.25">
      <c r="AD21098"/>
    </row>
    <row r="21099" spans="30:30" x14ac:dyDescent="0.25">
      <c r="AD21099"/>
    </row>
    <row r="21100" spans="30:30" x14ac:dyDescent="0.25">
      <c r="AD21100"/>
    </row>
    <row r="21101" spans="30:30" x14ac:dyDescent="0.25">
      <c r="AD21101"/>
    </row>
    <row r="21102" spans="30:30" x14ac:dyDescent="0.25">
      <c r="AD21102"/>
    </row>
    <row r="21103" spans="30:30" x14ac:dyDescent="0.25">
      <c r="AD21103"/>
    </row>
    <row r="21104" spans="30:30" x14ac:dyDescent="0.25">
      <c r="AD21104"/>
    </row>
    <row r="21105" spans="30:30" x14ac:dyDescent="0.25">
      <c r="AD21105"/>
    </row>
    <row r="21106" spans="30:30" x14ac:dyDescent="0.25">
      <c r="AD21106"/>
    </row>
    <row r="21107" spans="30:30" x14ac:dyDescent="0.25">
      <c r="AD21107"/>
    </row>
    <row r="21108" spans="30:30" x14ac:dyDescent="0.25">
      <c r="AD21108"/>
    </row>
    <row r="21109" spans="30:30" x14ac:dyDescent="0.25">
      <c r="AD21109"/>
    </row>
    <row r="21110" spans="30:30" x14ac:dyDescent="0.25">
      <c r="AD21110"/>
    </row>
    <row r="21111" spans="30:30" x14ac:dyDescent="0.25">
      <c r="AD21111"/>
    </row>
    <row r="21112" spans="30:30" x14ac:dyDescent="0.25">
      <c r="AD21112"/>
    </row>
    <row r="21113" spans="30:30" x14ac:dyDescent="0.25">
      <c r="AD21113"/>
    </row>
    <row r="21114" spans="30:30" x14ac:dyDescent="0.25">
      <c r="AD21114"/>
    </row>
    <row r="21115" spans="30:30" x14ac:dyDescent="0.25">
      <c r="AD21115"/>
    </row>
    <row r="21116" spans="30:30" x14ac:dyDescent="0.25">
      <c r="AD21116"/>
    </row>
    <row r="21117" spans="30:30" x14ac:dyDescent="0.25">
      <c r="AD21117"/>
    </row>
    <row r="21118" spans="30:30" x14ac:dyDescent="0.25">
      <c r="AD21118"/>
    </row>
    <row r="21119" spans="30:30" x14ac:dyDescent="0.25">
      <c r="AD21119"/>
    </row>
    <row r="21120" spans="30:30" x14ac:dyDescent="0.25">
      <c r="AD21120"/>
    </row>
    <row r="21121" spans="30:30" x14ac:dyDescent="0.25">
      <c r="AD21121"/>
    </row>
    <row r="21122" spans="30:30" x14ac:dyDescent="0.25">
      <c r="AD21122"/>
    </row>
    <row r="21123" spans="30:30" x14ac:dyDescent="0.25">
      <c r="AD21123"/>
    </row>
    <row r="21124" spans="30:30" x14ac:dyDescent="0.25">
      <c r="AD21124"/>
    </row>
    <row r="21125" spans="30:30" x14ac:dyDescent="0.25">
      <c r="AD21125"/>
    </row>
    <row r="21126" spans="30:30" x14ac:dyDescent="0.25">
      <c r="AD21126"/>
    </row>
    <row r="21127" spans="30:30" x14ac:dyDescent="0.25">
      <c r="AD21127"/>
    </row>
    <row r="21128" spans="30:30" x14ac:dyDescent="0.25">
      <c r="AD21128"/>
    </row>
    <row r="21129" spans="30:30" x14ac:dyDescent="0.25">
      <c r="AD21129"/>
    </row>
    <row r="21130" spans="30:30" x14ac:dyDescent="0.25">
      <c r="AD21130"/>
    </row>
    <row r="21131" spans="30:30" x14ac:dyDescent="0.25">
      <c r="AD21131"/>
    </row>
    <row r="21132" spans="30:30" x14ac:dyDescent="0.25">
      <c r="AD21132"/>
    </row>
    <row r="21133" spans="30:30" x14ac:dyDescent="0.25">
      <c r="AD21133"/>
    </row>
    <row r="21134" spans="30:30" x14ac:dyDescent="0.25">
      <c r="AD21134"/>
    </row>
    <row r="21135" spans="30:30" x14ac:dyDescent="0.25">
      <c r="AD21135"/>
    </row>
    <row r="21136" spans="30:30" x14ac:dyDescent="0.25">
      <c r="AD21136"/>
    </row>
    <row r="21137" spans="30:30" x14ac:dyDescent="0.25">
      <c r="AD21137"/>
    </row>
    <row r="21138" spans="30:30" x14ac:dyDescent="0.25">
      <c r="AD21138"/>
    </row>
    <row r="21139" spans="30:30" x14ac:dyDescent="0.25">
      <c r="AD21139"/>
    </row>
    <row r="21140" spans="30:30" x14ac:dyDescent="0.25">
      <c r="AD21140"/>
    </row>
    <row r="21141" spans="30:30" x14ac:dyDescent="0.25">
      <c r="AD21141"/>
    </row>
    <row r="21142" spans="30:30" x14ac:dyDescent="0.25">
      <c r="AD21142"/>
    </row>
    <row r="21143" spans="30:30" x14ac:dyDescent="0.25">
      <c r="AD21143"/>
    </row>
    <row r="21144" spans="30:30" x14ac:dyDescent="0.25">
      <c r="AD21144"/>
    </row>
    <row r="21145" spans="30:30" x14ac:dyDescent="0.25">
      <c r="AD21145"/>
    </row>
    <row r="21146" spans="30:30" x14ac:dyDescent="0.25">
      <c r="AD21146"/>
    </row>
    <row r="21147" spans="30:30" x14ac:dyDescent="0.25">
      <c r="AD21147"/>
    </row>
    <row r="21148" spans="30:30" x14ac:dyDescent="0.25">
      <c r="AD21148"/>
    </row>
    <row r="21149" spans="30:30" x14ac:dyDescent="0.25">
      <c r="AD21149"/>
    </row>
    <row r="21150" spans="30:30" x14ac:dyDescent="0.25">
      <c r="AD21150"/>
    </row>
    <row r="21151" spans="30:30" x14ac:dyDescent="0.25">
      <c r="AD21151"/>
    </row>
    <row r="21152" spans="30:30" x14ac:dyDescent="0.25">
      <c r="AD21152"/>
    </row>
    <row r="21153" spans="30:30" x14ac:dyDescent="0.25">
      <c r="AD21153"/>
    </row>
    <row r="21154" spans="30:30" x14ac:dyDescent="0.25">
      <c r="AD21154"/>
    </row>
    <row r="21155" spans="30:30" x14ac:dyDescent="0.25">
      <c r="AD21155"/>
    </row>
    <row r="21156" spans="30:30" x14ac:dyDescent="0.25">
      <c r="AD21156"/>
    </row>
    <row r="21157" spans="30:30" x14ac:dyDescent="0.25">
      <c r="AD21157"/>
    </row>
    <row r="21158" spans="30:30" x14ac:dyDescent="0.25">
      <c r="AD21158"/>
    </row>
    <row r="21159" spans="30:30" x14ac:dyDescent="0.25">
      <c r="AD21159"/>
    </row>
    <row r="21160" spans="30:30" x14ac:dyDescent="0.25">
      <c r="AD21160"/>
    </row>
    <row r="21161" spans="30:30" x14ac:dyDescent="0.25">
      <c r="AD21161"/>
    </row>
    <row r="21162" spans="30:30" x14ac:dyDescent="0.25">
      <c r="AD21162"/>
    </row>
    <row r="21163" spans="30:30" x14ac:dyDescent="0.25">
      <c r="AD21163"/>
    </row>
    <row r="21164" spans="30:30" x14ac:dyDescent="0.25">
      <c r="AD21164"/>
    </row>
    <row r="21165" spans="30:30" x14ac:dyDescent="0.25">
      <c r="AD21165"/>
    </row>
    <row r="21166" spans="30:30" x14ac:dyDescent="0.25">
      <c r="AD21166"/>
    </row>
    <row r="21167" spans="30:30" x14ac:dyDescent="0.25">
      <c r="AD21167"/>
    </row>
    <row r="21168" spans="30:30" x14ac:dyDescent="0.25">
      <c r="AD21168"/>
    </row>
    <row r="21169" spans="30:30" x14ac:dyDescent="0.25">
      <c r="AD21169"/>
    </row>
    <row r="21170" spans="30:30" x14ac:dyDescent="0.25">
      <c r="AD21170"/>
    </row>
    <row r="21171" spans="30:30" x14ac:dyDescent="0.25">
      <c r="AD21171"/>
    </row>
    <row r="21172" spans="30:30" x14ac:dyDescent="0.25">
      <c r="AD21172"/>
    </row>
    <row r="21173" spans="30:30" x14ac:dyDescent="0.25">
      <c r="AD21173"/>
    </row>
    <row r="21174" spans="30:30" x14ac:dyDescent="0.25">
      <c r="AD21174"/>
    </row>
    <row r="21175" spans="30:30" x14ac:dyDescent="0.25">
      <c r="AD21175"/>
    </row>
    <row r="21176" spans="30:30" x14ac:dyDescent="0.25">
      <c r="AD21176"/>
    </row>
    <row r="21177" spans="30:30" x14ac:dyDescent="0.25">
      <c r="AD21177"/>
    </row>
    <row r="21178" spans="30:30" x14ac:dyDescent="0.25">
      <c r="AD21178"/>
    </row>
    <row r="21179" spans="30:30" x14ac:dyDescent="0.25">
      <c r="AD21179"/>
    </row>
    <row r="21180" spans="30:30" x14ac:dyDescent="0.25">
      <c r="AD21180"/>
    </row>
    <row r="21181" spans="30:30" x14ac:dyDescent="0.25">
      <c r="AD21181"/>
    </row>
    <row r="21182" spans="30:30" x14ac:dyDescent="0.25">
      <c r="AD21182"/>
    </row>
    <row r="21183" spans="30:30" x14ac:dyDescent="0.25">
      <c r="AD21183"/>
    </row>
    <row r="21184" spans="30:30" x14ac:dyDescent="0.25">
      <c r="AD21184"/>
    </row>
    <row r="21185" spans="30:30" x14ac:dyDescent="0.25">
      <c r="AD21185"/>
    </row>
    <row r="21186" spans="30:30" x14ac:dyDescent="0.25">
      <c r="AD21186"/>
    </row>
    <row r="21187" spans="30:30" x14ac:dyDescent="0.25">
      <c r="AD21187"/>
    </row>
    <row r="21188" spans="30:30" x14ac:dyDescent="0.25">
      <c r="AD21188"/>
    </row>
    <row r="21189" spans="30:30" x14ac:dyDescent="0.25">
      <c r="AD21189"/>
    </row>
    <row r="21190" spans="30:30" x14ac:dyDescent="0.25">
      <c r="AD21190"/>
    </row>
    <row r="21191" spans="30:30" x14ac:dyDescent="0.25">
      <c r="AD21191"/>
    </row>
    <row r="21192" spans="30:30" x14ac:dyDescent="0.25">
      <c r="AD21192"/>
    </row>
    <row r="21193" spans="30:30" x14ac:dyDescent="0.25">
      <c r="AD21193"/>
    </row>
    <row r="21194" spans="30:30" x14ac:dyDescent="0.25">
      <c r="AD21194"/>
    </row>
    <row r="21195" spans="30:30" x14ac:dyDescent="0.25">
      <c r="AD21195"/>
    </row>
    <row r="21196" spans="30:30" x14ac:dyDescent="0.25">
      <c r="AD21196"/>
    </row>
    <row r="21197" spans="30:30" x14ac:dyDescent="0.25">
      <c r="AD21197"/>
    </row>
    <row r="21198" spans="30:30" x14ac:dyDescent="0.25">
      <c r="AD21198"/>
    </row>
    <row r="21199" spans="30:30" x14ac:dyDescent="0.25">
      <c r="AD21199"/>
    </row>
    <row r="21200" spans="30:30" x14ac:dyDescent="0.25">
      <c r="AD21200"/>
    </row>
    <row r="21201" spans="30:30" x14ac:dyDescent="0.25">
      <c r="AD21201"/>
    </row>
    <row r="21202" spans="30:30" x14ac:dyDescent="0.25">
      <c r="AD21202"/>
    </row>
    <row r="21203" spans="30:30" x14ac:dyDescent="0.25">
      <c r="AD21203"/>
    </row>
    <row r="21204" spans="30:30" x14ac:dyDescent="0.25">
      <c r="AD21204"/>
    </row>
    <row r="21205" spans="30:30" x14ac:dyDescent="0.25">
      <c r="AD21205"/>
    </row>
    <row r="21206" spans="30:30" x14ac:dyDescent="0.25">
      <c r="AD21206"/>
    </row>
    <row r="21207" spans="30:30" x14ac:dyDescent="0.25">
      <c r="AD21207"/>
    </row>
    <row r="21208" spans="30:30" x14ac:dyDescent="0.25">
      <c r="AD21208"/>
    </row>
    <row r="21209" spans="30:30" x14ac:dyDescent="0.25">
      <c r="AD21209"/>
    </row>
    <row r="21210" spans="30:30" x14ac:dyDescent="0.25">
      <c r="AD21210"/>
    </row>
    <row r="21211" spans="30:30" x14ac:dyDescent="0.25">
      <c r="AD21211"/>
    </row>
    <row r="21212" spans="30:30" x14ac:dyDescent="0.25">
      <c r="AD21212"/>
    </row>
    <row r="21213" spans="30:30" x14ac:dyDescent="0.25">
      <c r="AD21213"/>
    </row>
    <row r="21214" spans="30:30" x14ac:dyDescent="0.25">
      <c r="AD21214"/>
    </row>
    <row r="21215" spans="30:30" x14ac:dyDescent="0.25">
      <c r="AD21215"/>
    </row>
    <row r="21216" spans="30:30" x14ac:dyDescent="0.25">
      <c r="AD21216"/>
    </row>
    <row r="21217" spans="30:30" x14ac:dyDescent="0.25">
      <c r="AD21217"/>
    </row>
    <row r="21218" spans="30:30" x14ac:dyDescent="0.25">
      <c r="AD21218"/>
    </row>
    <row r="21219" spans="30:30" x14ac:dyDescent="0.25">
      <c r="AD21219"/>
    </row>
    <row r="21220" spans="30:30" x14ac:dyDescent="0.25">
      <c r="AD21220"/>
    </row>
    <row r="21221" spans="30:30" x14ac:dyDescent="0.25">
      <c r="AD21221"/>
    </row>
    <row r="21222" spans="30:30" x14ac:dyDescent="0.25">
      <c r="AD21222"/>
    </row>
    <row r="21223" spans="30:30" x14ac:dyDescent="0.25">
      <c r="AD21223"/>
    </row>
    <row r="21224" spans="30:30" x14ac:dyDescent="0.25">
      <c r="AD21224"/>
    </row>
    <row r="21225" spans="30:30" x14ac:dyDescent="0.25">
      <c r="AD21225"/>
    </row>
    <row r="21226" spans="30:30" x14ac:dyDescent="0.25">
      <c r="AD21226"/>
    </row>
    <row r="21227" spans="30:30" x14ac:dyDescent="0.25">
      <c r="AD21227"/>
    </row>
    <row r="21228" spans="30:30" x14ac:dyDescent="0.25">
      <c r="AD21228"/>
    </row>
    <row r="21229" spans="30:30" x14ac:dyDescent="0.25">
      <c r="AD21229"/>
    </row>
    <row r="21230" spans="30:30" x14ac:dyDescent="0.25">
      <c r="AD21230"/>
    </row>
    <row r="21231" spans="30:30" x14ac:dyDescent="0.25">
      <c r="AD21231"/>
    </row>
    <row r="21232" spans="30:30" x14ac:dyDescent="0.25">
      <c r="AD21232"/>
    </row>
    <row r="21233" spans="30:30" x14ac:dyDescent="0.25">
      <c r="AD21233"/>
    </row>
    <row r="21234" spans="30:30" x14ac:dyDescent="0.25">
      <c r="AD21234"/>
    </row>
    <row r="21235" spans="30:30" x14ac:dyDescent="0.25">
      <c r="AD21235"/>
    </row>
    <row r="21236" spans="30:30" x14ac:dyDescent="0.25">
      <c r="AD21236"/>
    </row>
    <row r="21237" spans="30:30" x14ac:dyDescent="0.25">
      <c r="AD21237"/>
    </row>
    <row r="21238" spans="30:30" x14ac:dyDescent="0.25">
      <c r="AD21238"/>
    </row>
    <row r="21239" spans="30:30" x14ac:dyDescent="0.25">
      <c r="AD21239"/>
    </row>
    <row r="21240" spans="30:30" x14ac:dyDescent="0.25">
      <c r="AD21240"/>
    </row>
    <row r="21241" spans="30:30" x14ac:dyDescent="0.25">
      <c r="AD21241"/>
    </row>
    <row r="21242" spans="30:30" x14ac:dyDescent="0.25">
      <c r="AD21242"/>
    </row>
    <row r="21243" spans="30:30" x14ac:dyDescent="0.25">
      <c r="AD21243"/>
    </row>
    <row r="21244" spans="30:30" x14ac:dyDescent="0.25">
      <c r="AD21244"/>
    </row>
    <row r="21245" spans="30:30" x14ac:dyDescent="0.25">
      <c r="AD21245"/>
    </row>
    <row r="21246" spans="30:30" x14ac:dyDescent="0.25">
      <c r="AD21246"/>
    </row>
    <row r="21247" spans="30:30" x14ac:dyDescent="0.25">
      <c r="AD21247"/>
    </row>
    <row r="21248" spans="30:30" x14ac:dyDescent="0.25">
      <c r="AD21248"/>
    </row>
    <row r="21249" spans="30:30" x14ac:dyDescent="0.25">
      <c r="AD21249"/>
    </row>
    <row r="21250" spans="30:30" x14ac:dyDescent="0.25">
      <c r="AD21250"/>
    </row>
    <row r="21251" spans="30:30" x14ac:dyDescent="0.25">
      <c r="AD21251"/>
    </row>
    <row r="21252" spans="30:30" x14ac:dyDescent="0.25">
      <c r="AD21252"/>
    </row>
    <row r="21253" spans="30:30" x14ac:dyDescent="0.25">
      <c r="AD21253"/>
    </row>
    <row r="21254" spans="30:30" x14ac:dyDescent="0.25">
      <c r="AD21254"/>
    </row>
    <row r="21255" spans="30:30" x14ac:dyDescent="0.25">
      <c r="AD21255"/>
    </row>
    <row r="21256" spans="30:30" x14ac:dyDescent="0.25">
      <c r="AD21256"/>
    </row>
    <row r="21257" spans="30:30" x14ac:dyDescent="0.25">
      <c r="AD21257"/>
    </row>
    <row r="21258" spans="30:30" x14ac:dyDescent="0.25">
      <c r="AD21258"/>
    </row>
    <row r="21259" spans="30:30" x14ac:dyDescent="0.25">
      <c r="AD21259"/>
    </row>
    <row r="21260" spans="30:30" x14ac:dyDescent="0.25">
      <c r="AD21260"/>
    </row>
    <row r="21261" spans="30:30" x14ac:dyDescent="0.25">
      <c r="AD21261"/>
    </row>
    <row r="21262" spans="30:30" x14ac:dyDescent="0.25">
      <c r="AD21262"/>
    </row>
    <row r="21263" spans="30:30" x14ac:dyDescent="0.25">
      <c r="AD21263"/>
    </row>
    <row r="21264" spans="30:30" x14ac:dyDescent="0.25">
      <c r="AD21264"/>
    </row>
    <row r="21265" spans="30:30" x14ac:dyDescent="0.25">
      <c r="AD21265"/>
    </row>
    <row r="21266" spans="30:30" x14ac:dyDescent="0.25">
      <c r="AD21266"/>
    </row>
    <row r="21267" spans="30:30" x14ac:dyDescent="0.25">
      <c r="AD21267"/>
    </row>
    <row r="21268" spans="30:30" x14ac:dyDescent="0.25">
      <c r="AD21268"/>
    </row>
    <row r="21269" spans="30:30" x14ac:dyDescent="0.25">
      <c r="AD21269"/>
    </row>
    <row r="21270" spans="30:30" x14ac:dyDescent="0.25">
      <c r="AD21270"/>
    </row>
    <row r="21271" spans="30:30" x14ac:dyDescent="0.25">
      <c r="AD21271"/>
    </row>
    <row r="21272" spans="30:30" x14ac:dyDescent="0.25">
      <c r="AD21272"/>
    </row>
    <row r="21273" spans="30:30" x14ac:dyDescent="0.25">
      <c r="AD21273"/>
    </row>
    <row r="21274" spans="30:30" x14ac:dyDescent="0.25">
      <c r="AD21274"/>
    </row>
    <row r="21275" spans="30:30" x14ac:dyDescent="0.25">
      <c r="AD21275"/>
    </row>
    <row r="21276" spans="30:30" x14ac:dyDescent="0.25">
      <c r="AD21276"/>
    </row>
    <row r="21277" spans="30:30" x14ac:dyDescent="0.25">
      <c r="AD21277"/>
    </row>
    <row r="21278" spans="30:30" x14ac:dyDescent="0.25">
      <c r="AD21278"/>
    </row>
    <row r="21279" spans="30:30" x14ac:dyDescent="0.25">
      <c r="AD21279"/>
    </row>
    <row r="21280" spans="30:30" x14ac:dyDescent="0.25">
      <c r="AD21280"/>
    </row>
    <row r="21281" spans="30:30" x14ac:dyDescent="0.25">
      <c r="AD21281"/>
    </row>
    <row r="21282" spans="30:30" x14ac:dyDescent="0.25">
      <c r="AD21282"/>
    </row>
    <row r="21283" spans="30:30" x14ac:dyDescent="0.25">
      <c r="AD21283"/>
    </row>
    <row r="21284" spans="30:30" x14ac:dyDescent="0.25">
      <c r="AD21284"/>
    </row>
    <row r="21285" spans="30:30" x14ac:dyDescent="0.25">
      <c r="AD21285"/>
    </row>
    <row r="21286" spans="30:30" x14ac:dyDescent="0.25">
      <c r="AD21286"/>
    </row>
    <row r="21287" spans="30:30" x14ac:dyDescent="0.25">
      <c r="AD21287"/>
    </row>
    <row r="21288" spans="30:30" x14ac:dyDescent="0.25">
      <c r="AD21288"/>
    </row>
    <row r="21289" spans="30:30" x14ac:dyDescent="0.25">
      <c r="AD21289"/>
    </row>
    <row r="21290" spans="30:30" x14ac:dyDescent="0.25">
      <c r="AD21290"/>
    </row>
    <row r="21291" spans="30:30" x14ac:dyDescent="0.25">
      <c r="AD21291"/>
    </row>
    <row r="21292" spans="30:30" x14ac:dyDescent="0.25">
      <c r="AD21292"/>
    </row>
    <row r="21293" spans="30:30" x14ac:dyDescent="0.25">
      <c r="AD21293"/>
    </row>
    <row r="21294" spans="30:30" x14ac:dyDescent="0.25">
      <c r="AD21294"/>
    </row>
    <row r="21295" spans="30:30" x14ac:dyDescent="0.25">
      <c r="AD21295"/>
    </row>
    <row r="21296" spans="30:30" x14ac:dyDescent="0.25">
      <c r="AD21296"/>
    </row>
    <row r="21297" spans="30:30" x14ac:dyDescent="0.25">
      <c r="AD21297"/>
    </row>
    <row r="21298" spans="30:30" x14ac:dyDescent="0.25">
      <c r="AD21298"/>
    </row>
    <row r="21299" spans="30:30" x14ac:dyDescent="0.25">
      <c r="AD21299"/>
    </row>
    <row r="21300" spans="30:30" x14ac:dyDescent="0.25">
      <c r="AD21300"/>
    </row>
    <row r="21301" spans="30:30" x14ac:dyDescent="0.25">
      <c r="AD21301"/>
    </row>
    <row r="21302" spans="30:30" x14ac:dyDescent="0.25">
      <c r="AD21302"/>
    </row>
    <row r="21303" spans="30:30" x14ac:dyDescent="0.25">
      <c r="AD21303"/>
    </row>
    <row r="21304" spans="30:30" x14ac:dyDescent="0.25">
      <c r="AD21304"/>
    </row>
    <row r="21305" spans="30:30" x14ac:dyDescent="0.25">
      <c r="AD21305"/>
    </row>
    <row r="21306" spans="30:30" x14ac:dyDescent="0.25">
      <c r="AD21306"/>
    </row>
    <row r="21307" spans="30:30" x14ac:dyDescent="0.25">
      <c r="AD21307"/>
    </row>
    <row r="21308" spans="30:30" x14ac:dyDescent="0.25">
      <c r="AD21308"/>
    </row>
    <row r="21309" spans="30:30" x14ac:dyDescent="0.25">
      <c r="AD21309"/>
    </row>
    <row r="21310" spans="30:30" x14ac:dyDescent="0.25">
      <c r="AD21310"/>
    </row>
    <row r="21311" spans="30:30" x14ac:dyDescent="0.25">
      <c r="AD21311"/>
    </row>
    <row r="21312" spans="30:30" x14ac:dyDescent="0.25">
      <c r="AD21312"/>
    </row>
    <row r="21313" spans="30:30" x14ac:dyDescent="0.25">
      <c r="AD21313"/>
    </row>
    <row r="21314" spans="30:30" x14ac:dyDescent="0.25">
      <c r="AD21314"/>
    </row>
    <row r="21315" spans="30:30" x14ac:dyDescent="0.25">
      <c r="AD21315"/>
    </row>
    <row r="21316" spans="30:30" x14ac:dyDescent="0.25">
      <c r="AD21316"/>
    </row>
    <row r="21317" spans="30:30" x14ac:dyDescent="0.25">
      <c r="AD21317"/>
    </row>
    <row r="21318" spans="30:30" x14ac:dyDescent="0.25">
      <c r="AD21318"/>
    </row>
    <row r="21319" spans="30:30" x14ac:dyDescent="0.25">
      <c r="AD21319"/>
    </row>
    <row r="21320" spans="30:30" x14ac:dyDescent="0.25">
      <c r="AD21320"/>
    </row>
    <row r="21321" spans="30:30" x14ac:dyDescent="0.25">
      <c r="AD21321"/>
    </row>
    <row r="21322" spans="30:30" x14ac:dyDescent="0.25">
      <c r="AD21322"/>
    </row>
    <row r="21323" spans="30:30" x14ac:dyDescent="0.25">
      <c r="AD21323"/>
    </row>
    <row r="21324" spans="30:30" x14ac:dyDescent="0.25">
      <c r="AD21324"/>
    </row>
    <row r="21325" spans="30:30" x14ac:dyDescent="0.25">
      <c r="AD21325"/>
    </row>
    <row r="21326" spans="30:30" x14ac:dyDescent="0.25">
      <c r="AD21326"/>
    </row>
    <row r="21327" spans="30:30" x14ac:dyDescent="0.25">
      <c r="AD21327"/>
    </row>
    <row r="21328" spans="30:30" x14ac:dyDescent="0.25">
      <c r="AD21328"/>
    </row>
    <row r="21329" spans="30:30" x14ac:dyDescent="0.25">
      <c r="AD21329"/>
    </row>
    <row r="21330" spans="30:30" x14ac:dyDescent="0.25">
      <c r="AD21330"/>
    </row>
    <row r="21331" spans="30:30" x14ac:dyDescent="0.25">
      <c r="AD21331"/>
    </row>
    <row r="21332" spans="30:30" x14ac:dyDescent="0.25">
      <c r="AD21332"/>
    </row>
    <row r="21333" spans="30:30" x14ac:dyDescent="0.25">
      <c r="AD21333"/>
    </row>
    <row r="21334" spans="30:30" x14ac:dyDescent="0.25">
      <c r="AD21334"/>
    </row>
    <row r="21335" spans="30:30" x14ac:dyDescent="0.25">
      <c r="AD21335"/>
    </row>
    <row r="21336" spans="30:30" x14ac:dyDescent="0.25">
      <c r="AD21336"/>
    </row>
    <row r="21337" spans="30:30" x14ac:dyDescent="0.25">
      <c r="AD21337"/>
    </row>
    <row r="21338" spans="30:30" x14ac:dyDescent="0.25">
      <c r="AD21338"/>
    </row>
    <row r="21339" spans="30:30" x14ac:dyDescent="0.25">
      <c r="AD21339"/>
    </row>
    <row r="21340" spans="30:30" x14ac:dyDescent="0.25">
      <c r="AD21340"/>
    </row>
    <row r="21341" spans="30:30" x14ac:dyDescent="0.25">
      <c r="AD21341"/>
    </row>
    <row r="21342" spans="30:30" x14ac:dyDescent="0.25">
      <c r="AD21342"/>
    </row>
    <row r="21343" spans="30:30" x14ac:dyDescent="0.25">
      <c r="AD21343"/>
    </row>
    <row r="21344" spans="30:30" x14ac:dyDescent="0.25">
      <c r="AD21344"/>
    </row>
    <row r="21345" spans="30:30" x14ac:dyDescent="0.25">
      <c r="AD21345"/>
    </row>
    <row r="21346" spans="30:30" x14ac:dyDescent="0.25">
      <c r="AD21346"/>
    </row>
    <row r="21347" spans="30:30" x14ac:dyDescent="0.25">
      <c r="AD21347"/>
    </row>
    <row r="21348" spans="30:30" x14ac:dyDescent="0.25">
      <c r="AD21348"/>
    </row>
    <row r="21349" spans="30:30" x14ac:dyDescent="0.25">
      <c r="AD21349"/>
    </row>
    <row r="21350" spans="30:30" x14ac:dyDescent="0.25">
      <c r="AD21350"/>
    </row>
    <row r="21351" spans="30:30" x14ac:dyDescent="0.25">
      <c r="AD21351"/>
    </row>
    <row r="21352" spans="30:30" x14ac:dyDescent="0.25">
      <c r="AD21352"/>
    </row>
    <row r="21353" spans="30:30" x14ac:dyDescent="0.25">
      <c r="AD21353"/>
    </row>
    <row r="21354" spans="30:30" x14ac:dyDescent="0.25">
      <c r="AD21354"/>
    </row>
    <row r="21355" spans="30:30" x14ac:dyDescent="0.25">
      <c r="AD21355"/>
    </row>
    <row r="21356" spans="30:30" x14ac:dyDescent="0.25">
      <c r="AD21356"/>
    </row>
    <row r="21357" spans="30:30" x14ac:dyDescent="0.25">
      <c r="AD21357"/>
    </row>
    <row r="21358" spans="30:30" x14ac:dyDescent="0.25">
      <c r="AD21358"/>
    </row>
    <row r="21359" spans="30:30" x14ac:dyDescent="0.25">
      <c r="AD21359"/>
    </row>
    <row r="21360" spans="30:30" x14ac:dyDescent="0.25">
      <c r="AD21360"/>
    </row>
    <row r="21361" spans="30:30" x14ac:dyDescent="0.25">
      <c r="AD21361"/>
    </row>
    <row r="21362" spans="30:30" x14ac:dyDescent="0.25">
      <c r="AD21362"/>
    </row>
    <row r="21363" spans="30:30" x14ac:dyDescent="0.25">
      <c r="AD21363"/>
    </row>
    <row r="21364" spans="30:30" x14ac:dyDescent="0.25">
      <c r="AD21364"/>
    </row>
    <row r="21365" spans="30:30" x14ac:dyDescent="0.25">
      <c r="AD21365"/>
    </row>
    <row r="21366" spans="30:30" x14ac:dyDescent="0.25">
      <c r="AD21366"/>
    </row>
    <row r="21367" spans="30:30" x14ac:dyDescent="0.25">
      <c r="AD21367"/>
    </row>
    <row r="21368" spans="30:30" x14ac:dyDescent="0.25">
      <c r="AD21368"/>
    </row>
    <row r="21369" spans="30:30" x14ac:dyDescent="0.25">
      <c r="AD21369"/>
    </row>
    <row r="21370" spans="30:30" x14ac:dyDescent="0.25">
      <c r="AD21370"/>
    </row>
    <row r="21371" spans="30:30" x14ac:dyDescent="0.25">
      <c r="AD21371"/>
    </row>
    <row r="21372" spans="30:30" x14ac:dyDescent="0.25">
      <c r="AD21372"/>
    </row>
    <row r="21373" spans="30:30" x14ac:dyDescent="0.25">
      <c r="AD21373"/>
    </row>
    <row r="21374" spans="30:30" x14ac:dyDescent="0.25">
      <c r="AD21374"/>
    </row>
    <row r="21375" spans="30:30" x14ac:dyDescent="0.25">
      <c r="AD21375"/>
    </row>
    <row r="21376" spans="30:30" x14ac:dyDescent="0.25">
      <c r="AD21376"/>
    </row>
    <row r="21377" spans="30:30" x14ac:dyDescent="0.25">
      <c r="AD21377"/>
    </row>
    <row r="21378" spans="30:30" x14ac:dyDescent="0.25">
      <c r="AD21378"/>
    </row>
    <row r="21379" spans="30:30" x14ac:dyDescent="0.25">
      <c r="AD21379"/>
    </row>
    <row r="21380" spans="30:30" x14ac:dyDescent="0.25">
      <c r="AD21380"/>
    </row>
    <row r="21381" spans="30:30" x14ac:dyDescent="0.25">
      <c r="AD21381"/>
    </row>
    <row r="21382" spans="30:30" x14ac:dyDescent="0.25">
      <c r="AD21382"/>
    </row>
    <row r="21383" spans="30:30" x14ac:dyDescent="0.25">
      <c r="AD21383"/>
    </row>
    <row r="21384" spans="30:30" x14ac:dyDescent="0.25">
      <c r="AD21384"/>
    </row>
    <row r="21385" spans="30:30" x14ac:dyDescent="0.25">
      <c r="AD21385"/>
    </row>
    <row r="21386" spans="30:30" x14ac:dyDescent="0.25">
      <c r="AD21386"/>
    </row>
    <row r="21387" spans="30:30" x14ac:dyDescent="0.25">
      <c r="AD21387"/>
    </row>
    <row r="21388" spans="30:30" x14ac:dyDescent="0.25">
      <c r="AD21388"/>
    </row>
    <row r="21389" spans="30:30" x14ac:dyDescent="0.25">
      <c r="AD21389"/>
    </row>
    <row r="21390" spans="30:30" x14ac:dyDescent="0.25">
      <c r="AD21390"/>
    </row>
    <row r="21391" spans="30:30" x14ac:dyDescent="0.25">
      <c r="AD21391"/>
    </row>
    <row r="21392" spans="30:30" x14ac:dyDescent="0.25">
      <c r="AD21392"/>
    </row>
    <row r="21393" spans="30:30" x14ac:dyDescent="0.25">
      <c r="AD21393"/>
    </row>
    <row r="21394" spans="30:30" x14ac:dyDescent="0.25">
      <c r="AD21394"/>
    </row>
    <row r="21395" spans="30:30" x14ac:dyDescent="0.25">
      <c r="AD21395"/>
    </row>
    <row r="21396" spans="30:30" x14ac:dyDescent="0.25">
      <c r="AD21396"/>
    </row>
    <row r="21397" spans="30:30" x14ac:dyDescent="0.25">
      <c r="AD21397"/>
    </row>
    <row r="21398" spans="30:30" x14ac:dyDescent="0.25">
      <c r="AD21398"/>
    </row>
    <row r="21399" spans="30:30" x14ac:dyDescent="0.25">
      <c r="AD21399"/>
    </row>
    <row r="21400" spans="30:30" x14ac:dyDescent="0.25">
      <c r="AD21400"/>
    </row>
    <row r="21401" spans="30:30" x14ac:dyDescent="0.25">
      <c r="AD21401"/>
    </row>
    <row r="21402" spans="30:30" x14ac:dyDescent="0.25">
      <c r="AD21402"/>
    </row>
    <row r="21403" spans="30:30" x14ac:dyDescent="0.25">
      <c r="AD21403"/>
    </row>
    <row r="21404" spans="30:30" x14ac:dyDescent="0.25">
      <c r="AD21404"/>
    </row>
    <row r="21405" spans="30:30" x14ac:dyDescent="0.25">
      <c r="AD21405"/>
    </row>
    <row r="21406" spans="30:30" x14ac:dyDescent="0.25">
      <c r="AD21406"/>
    </row>
    <row r="21407" spans="30:30" x14ac:dyDescent="0.25">
      <c r="AD21407"/>
    </row>
    <row r="21408" spans="30:30" x14ac:dyDescent="0.25">
      <c r="AD21408"/>
    </row>
    <row r="21409" spans="30:30" x14ac:dyDescent="0.25">
      <c r="AD21409"/>
    </row>
    <row r="21410" spans="30:30" x14ac:dyDescent="0.25">
      <c r="AD21410"/>
    </row>
    <row r="21411" spans="30:30" x14ac:dyDescent="0.25">
      <c r="AD21411"/>
    </row>
    <row r="21412" spans="30:30" x14ac:dyDescent="0.25">
      <c r="AD21412"/>
    </row>
    <row r="21413" spans="30:30" x14ac:dyDescent="0.25">
      <c r="AD21413"/>
    </row>
    <row r="21414" spans="30:30" x14ac:dyDescent="0.25">
      <c r="AD21414"/>
    </row>
    <row r="21415" spans="30:30" x14ac:dyDescent="0.25">
      <c r="AD21415"/>
    </row>
    <row r="21416" spans="30:30" x14ac:dyDescent="0.25">
      <c r="AD21416"/>
    </row>
    <row r="21417" spans="30:30" x14ac:dyDescent="0.25">
      <c r="AD21417"/>
    </row>
    <row r="21418" spans="30:30" x14ac:dyDescent="0.25">
      <c r="AD21418"/>
    </row>
    <row r="21419" spans="30:30" x14ac:dyDescent="0.25">
      <c r="AD21419"/>
    </row>
    <row r="21420" spans="30:30" x14ac:dyDescent="0.25">
      <c r="AD21420"/>
    </row>
    <row r="21421" spans="30:30" x14ac:dyDescent="0.25">
      <c r="AD21421"/>
    </row>
    <row r="21422" spans="30:30" x14ac:dyDescent="0.25">
      <c r="AD21422"/>
    </row>
    <row r="21423" spans="30:30" x14ac:dyDescent="0.25">
      <c r="AD21423"/>
    </row>
    <row r="21424" spans="30:30" x14ac:dyDescent="0.25">
      <c r="AD21424"/>
    </row>
    <row r="21425" spans="30:30" x14ac:dyDescent="0.25">
      <c r="AD21425"/>
    </row>
    <row r="21426" spans="30:30" x14ac:dyDescent="0.25">
      <c r="AD21426"/>
    </row>
    <row r="21427" spans="30:30" x14ac:dyDescent="0.25">
      <c r="AD21427"/>
    </row>
    <row r="21428" spans="30:30" x14ac:dyDescent="0.25">
      <c r="AD21428"/>
    </row>
    <row r="21429" spans="30:30" x14ac:dyDescent="0.25">
      <c r="AD21429"/>
    </row>
    <row r="21430" spans="30:30" x14ac:dyDescent="0.25">
      <c r="AD21430"/>
    </row>
    <row r="21431" spans="30:30" x14ac:dyDescent="0.25">
      <c r="AD21431"/>
    </row>
    <row r="21432" spans="30:30" x14ac:dyDescent="0.25">
      <c r="AD21432"/>
    </row>
    <row r="21433" spans="30:30" x14ac:dyDescent="0.25">
      <c r="AD21433"/>
    </row>
    <row r="21434" spans="30:30" x14ac:dyDescent="0.25">
      <c r="AD21434"/>
    </row>
    <row r="21435" spans="30:30" x14ac:dyDescent="0.25">
      <c r="AD21435"/>
    </row>
    <row r="21436" spans="30:30" x14ac:dyDescent="0.25">
      <c r="AD21436"/>
    </row>
    <row r="21437" spans="30:30" x14ac:dyDescent="0.25">
      <c r="AD21437"/>
    </row>
    <row r="21438" spans="30:30" x14ac:dyDescent="0.25">
      <c r="AD21438"/>
    </row>
    <row r="21439" spans="30:30" x14ac:dyDescent="0.25">
      <c r="AD21439"/>
    </row>
    <row r="21440" spans="30:30" x14ac:dyDescent="0.25">
      <c r="AD21440"/>
    </row>
    <row r="21441" spans="30:30" x14ac:dyDescent="0.25">
      <c r="AD21441"/>
    </row>
    <row r="21442" spans="30:30" x14ac:dyDescent="0.25">
      <c r="AD21442"/>
    </row>
    <row r="21443" spans="30:30" x14ac:dyDescent="0.25">
      <c r="AD21443"/>
    </row>
    <row r="21444" spans="30:30" x14ac:dyDescent="0.25">
      <c r="AD21444"/>
    </row>
    <row r="21445" spans="30:30" x14ac:dyDescent="0.25">
      <c r="AD21445"/>
    </row>
    <row r="21446" spans="30:30" x14ac:dyDescent="0.25">
      <c r="AD21446"/>
    </row>
    <row r="21447" spans="30:30" x14ac:dyDescent="0.25">
      <c r="AD21447"/>
    </row>
    <row r="21448" spans="30:30" x14ac:dyDescent="0.25">
      <c r="AD21448"/>
    </row>
    <row r="21449" spans="30:30" x14ac:dyDescent="0.25">
      <c r="AD21449"/>
    </row>
    <row r="21450" spans="30:30" x14ac:dyDescent="0.25">
      <c r="AD21450"/>
    </row>
    <row r="21451" spans="30:30" x14ac:dyDescent="0.25">
      <c r="AD21451"/>
    </row>
    <row r="21452" spans="30:30" x14ac:dyDescent="0.25">
      <c r="AD21452"/>
    </row>
    <row r="21453" spans="30:30" x14ac:dyDescent="0.25">
      <c r="AD21453"/>
    </row>
    <row r="21454" spans="30:30" x14ac:dyDescent="0.25">
      <c r="AD21454"/>
    </row>
    <row r="21455" spans="30:30" x14ac:dyDescent="0.25">
      <c r="AD21455"/>
    </row>
    <row r="21456" spans="30:30" x14ac:dyDescent="0.25">
      <c r="AD21456"/>
    </row>
    <row r="21457" spans="30:30" x14ac:dyDescent="0.25">
      <c r="AD21457"/>
    </row>
    <row r="21458" spans="30:30" x14ac:dyDescent="0.25">
      <c r="AD21458"/>
    </row>
    <row r="21459" spans="30:30" x14ac:dyDescent="0.25">
      <c r="AD21459"/>
    </row>
    <row r="21460" spans="30:30" x14ac:dyDescent="0.25">
      <c r="AD21460"/>
    </row>
    <row r="21461" spans="30:30" x14ac:dyDescent="0.25">
      <c r="AD21461"/>
    </row>
    <row r="21462" spans="30:30" x14ac:dyDescent="0.25">
      <c r="AD21462"/>
    </row>
    <row r="21463" spans="30:30" x14ac:dyDescent="0.25">
      <c r="AD21463"/>
    </row>
    <row r="21464" spans="30:30" x14ac:dyDescent="0.25">
      <c r="AD21464"/>
    </row>
    <row r="21465" spans="30:30" x14ac:dyDescent="0.25">
      <c r="AD21465"/>
    </row>
    <row r="21466" spans="30:30" x14ac:dyDescent="0.25">
      <c r="AD21466"/>
    </row>
    <row r="21467" spans="30:30" x14ac:dyDescent="0.25">
      <c r="AD21467"/>
    </row>
    <row r="21468" spans="30:30" x14ac:dyDescent="0.25">
      <c r="AD21468"/>
    </row>
    <row r="21469" spans="30:30" x14ac:dyDescent="0.25">
      <c r="AD21469"/>
    </row>
    <row r="21470" spans="30:30" x14ac:dyDescent="0.25">
      <c r="AD21470"/>
    </row>
    <row r="21471" spans="30:30" x14ac:dyDescent="0.25">
      <c r="AD21471"/>
    </row>
    <row r="21472" spans="30:30" x14ac:dyDescent="0.25">
      <c r="AD21472"/>
    </row>
    <row r="21473" spans="30:30" x14ac:dyDescent="0.25">
      <c r="AD21473"/>
    </row>
    <row r="21474" spans="30:30" x14ac:dyDescent="0.25">
      <c r="AD21474"/>
    </row>
    <row r="21475" spans="30:30" x14ac:dyDescent="0.25">
      <c r="AD21475"/>
    </row>
    <row r="21476" spans="30:30" x14ac:dyDescent="0.25">
      <c r="AD21476"/>
    </row>
    <row r="21477" spans="30:30" x14ac:dyDescent="0.25">
      <c r="AD21477"/>
    </row>
    <row r="21478" spans="30:30" x14ac:dyDescent="0.25">
      <c r="AD21478"/>
    </row>
    <row r="21479" spans="30:30" x14ac:dyDescent="0.25">
      <c r="AD21479"/>
    </row>
    <row r="21480" spans="30:30" x14ac:dyDescent="0.25">
      <c r="AD21480"/>
    </row>
    <row r="21481" spans="30:30" x14ac:dyDescent="0.25">
      <c r="AD21481"/>
    </row>
    <row r="21482" spans="30:30" x14ac:dyDescent="0.25">
      <c r="AD21482"/>
    </row>
    <row r="21483" spans="30:30" x14ac:dyDescent="0.25">
      <c r="AD21483"/>
    </row>
    <row r="21484" spans="30:30" x14ac:dyDescent="0.25">
      <c r="AD21484"/>
    </row>
    <row r="21485" spans="30:30" x14ac:dyDescent="0.25">
      <c r="AD21485"/>
    </row>
    <row r="21486" spans="30:30" x14ac:dyDescent="0.25">
      <c r="AD21486"/>
    </row>
    <row r="21487" spans="30:30" x14ac:dyDescent="0.25">
      <c r="AD21487"/>
    </row>
    <row r="21488" spans="30:30" x14ac:dyDescent="0.25">
      <c r="AD21488"/>
    </row>
    <row r="21489" spans="30:30" x14ac:dyDescent="0.25">
      <c r="AD21489"/>
    </row>
    <row r="21490" spans="30:30" x14ac:dyDescent="0.25">
      <c r="AD21490"/>
    </row>
    <row r="21491" spans="30:30" x14ac:dyDescent="0.25">
      <c r="AD21491"/>
    </row>
    <row r="21492" spans="30:30" x14ac:dyDescent="0.25">
      <c r="AD21492"/>
    </row>
    <row r="21493" spans="30:30" x14ac:dyDescent="0.25">
      <c r="AD21493"/>
    </row>
    <row r="21494" spans="30:30" x14ac:dyDescent="0.25">
      <c r="AD21494"/>
    </row>
    <row r="21495" spans="30:30" x14ac:dyDescent="0.25">
      <c r="AD21495"/>
    </row>
    <row r="21496" spans="30:30" x14ac:dyDescent="0.25">
      <c r="AD21496"/>
    </row>
    <row r="21497" spans="30:30" x14ac:dyDescent="0.25">
      <c r="AD21497"/>
    </row>
    <row r="21498" spans="30:30" x14ac:dyDescent="0.25">
      <c r="AD21498"/>
    </row>
    <row r="21499" spans="30:30" x14ac:dyDescent="0.25">
      <c r="AD21499"/>
    </row>
    <row r="21500" spans="30:30" x14ac:dyDescent="0.25">
      <c r="AD21500"/>
    </row>
    <row r="21501" spans="30:30" x14ac:dyDescent="0.25">
      <c r="AD21501"/>
    </row>
    <row r="21502" spans="30:30" x14ac:dyDescent="0.25">
      <c r="AD21502"/>
    </row>
    <row r="21503" spans="30:30" x14ac:dyDescent="0.25">
      <c r="AD21503"/>
    </row>
    <row r="21504" spans="30:30" x14ac:dyDescent="0.25">
      <c r="AD21504"/>
    </row>
    <row r="21505" spans="30:30" x14ac:dyDescent="0.25">
      <c r="AD21505"/>
    </row>
    <row r="21506" spans="30:30" x14ac:dyDescent="0.25">
      <c r="AD21506"/>
    </row>
    <row r="21507" spans="30:30" x14ac:dyDescent="0.25">
      <c r="AD21507"/>
    </row>
    <row r="21508" spans="30:30" x14ac:dyDescent="0.25">
      <c r="AD21508"/>
    </row>
    <row r="21509" spans="30:30" x14ac:dyDescent="0.25">
      <c r="AD21509"/>
    </row>
    <row r="21510" spans="30:30" x14ac:dyDescent="0.25">
      <c r="AD21510"/>
    </row>
    <row r="21511" spans="30:30" x14ac:dyDescent="0.25">
      <c r="AD21511"/>
    </row>
    <row r="21512" spans="30:30" x14ac:dyDescent="0.25">
      <c r="AD21512"/>
    </row>
    <row r="21513" spans="30:30" x14ac:dyDescent="0.25">
      <c r="AD21513"/>
    </row>
    <row r="21514" spans="30:30" x14ac:dyDescent="0.25">
      <c r="AD21514"/>
    </row>
    <row r="21515" spans="30:30" x14ac:dyDescent="0.25">
      <c r="AD21515"/>
    </row>
    <row r="21516" spans="30:30" x14ac:dyDescent="0.25">
      <c r="AD21516"/>
    </row>
    <row r="21517" spans="30:30" x14ac:dyDescent="0.25">
      <c r="AD21517"/>
    </row>
    <row r="21518" spans="30:30" x14ac:dyDescent="0.25">
      <c r="AD21518"/>
    </row>
    <row r="21519" spans="30:30" x14ac:dyDescent="0.25">
      <c r="AD21519"/>
    </row>
    <row r="21520" spans="30:30" x14ac:dyDescent="0.25">
      <c r="AD21520"/>
    </row>
    <row r="21521" spans="30:30" x14ac:dyDescent="0.25">
      <c r="AD21521"/>
    </row>
    <row r="21522" spans="30:30" x14ac:dyDescent="0.25">
      <c r="AD21522"/>
    </row>
    <row r="21523" spans="30:30" x14ac:dyDescent="0.25">
      <c r="AD21523"/>
    </row>
    <row r="21524" spans="30:30" x14ac:dyDescent="0.25">
      <c r="AD21524"/>
    </row>
    <row r="21525" spans="30:30" x14ac:dyDescent="0.25">
      <c r="AD21525"/>
    </row>
    <row r="21526" spans="30:30" x14ac:dyDescent="0.25">
      <c r="AD21526"/>
    </row>
    <row r="21527" spans="30:30" x14ac:dyDescent="0.25">
      <c r="AD21527"/>
    </row>
    <row r="21528" spans="30:30" x14ac:dyDescent="0.25">
      <c r="AD21528"/>
    </row>
    <row r="21529" spans="30:30" x14ac:dyDescent="0.25">
      <c r="AD21529"/>
    </row>
    <row r="21530" spans="30:30" x14ac:dyDescent="0.25">
      <c r="AD21530"/>
    </row>
    <row r="21531" spans="30:30" x14ac:dyDescent="0.25">
      <c r="AD21531"/>
    </row>
    <row r="21532" spans="30:30" x14ac:dyDescent="0.25">
      <c r="AD21532"/>
    </row>
    <row r="21533" spans="30:30" x14ac:dyDescent="0.25">
      <c r="AD21533"/>
    </row>
    <row r="21534" spans="30:30" x14ac:dyDescent="0.25">
      <c r="AD21534"/>
    </row>
    <row r="21535" spans="30:30" x14ac:dyDescent="0.25">
      <c r="AD21535"/>
    </row>
    <row r="21536" spans="30:30" x14ac:dyDescent="0.25">
      <c r="AD21536"/>
    </row>
    <row r="21537" spans="30:30" x14ac:dyDescent="0.25">
      <c r="AD21537"/>
    </row>
    <row r="21538" spans="30:30" x14ac:dyDescent="0.25">
      <c r="AD21538"/>
    </row>
    <row r="21539" spans="30:30" x14ac:dyDescent="0.25">
      <c r="AD21539"/>
    </row>
    <row r="21540" spans="30:30" x14ac:dyDescent="0.25">
      <c r="AD21540"/>
    </row>
    <row r="21541" spans="30:30" x14ac:dyDescent="0.25">
      <c r="AD21541"/>
    </row>
    <row r="21542" spans="30:30" x14ac:dyDescent="0.25">
      <c r="AD21542"/>
    </row>
    <row r="21543" spans="30:30" x14ac:dyDescent="0.25">
      <c r="AD21543"/>
    </row>
    <row r="21544" spans="30:30" x14ac:dyDescent="0.25">
      <c r="AD21544"/>
    </row>
    <row r="21545" spans="30:30" x14ac:dyDescent="0.25">
      <c r="AD21545"/>
    </row>
    <row r="21546" spans="30:30" x14ac:dyDescent="0.25">
      <c r="AD21546"/>
    </row>
    <row r="21547" spans="30:30" x14ac:dyDescent="0.25">
      <c r="AD21547"/>
    </row>
    <row r="21548" spans="30:30" x14ac:dyDescent="0.25">
      <c r="AD21548"/>
    </row>
    <row r="21549" spans="30:30" x14ac:dyDescent="0.25">
      <c r="AD21549"/>
    </row>
    <row r="21550" spans="30:30" x14ac:dyDescent="0.25">
      <c r="AD21550"/>
    </row>
    <row r="21551" spans="30:30" x14ac:dyDescent="0.25">
      <c r="AD21551"/>
    </row>
    <row r="21552" spans="30:30" x14ac:dyDescent="0.25">
      <c r="AD21552"/>
    </row>
    <row r="21553" spans="30:30" x14ac:dyDescent="0.25">
      <c r="AD21553"/>
    </row>
    <row r="21554" spans="30:30" x14ac:dyDescent="0.25">
      <c r="AD21554"/>
    </row>
    <row r="21555" spans="30:30" x14ac:dyDescent="0.25">
      <c r="AD21555"/>
    </row>
    <row r="21556" spans="30:30" x14ac:dyDescent="0.25">
      <c r="AD21556"/>
    </row>
    <row r="21557" spans="30:30" x14ac:dyDescent="0.25">
      <c r="AD21557"/>
    </row>
    <row r="21558" spans="30:30" x14ac:dyDescent="0.25">
      <c r="AD21558"/>
    </row>
    <row r="21559" spans="30:30" x14ac:dyDescent="0.25">
      <c r="AD21559"/>
    </row>
    <row r="21560" spans="30:30" x14ac:dyDescent="0.25">
      <c r="AD21560"/>
    </row>
    <row r="21561" spans="30:30" x14ac:dyDescent="0.25">
      <c r="AD21561"/>
    </row>
    <row r="21562" spans="30:30" x14ac:dyDescent="0.25">
      <c r="AD21562"/>
    </row>
    <row r="21563" spans="30:30" x14ac:dyDescent="0.25">
      <c r="AD21563"/>
    </row>
    <row r="21564" spans="30:30" x14ac:dyDescent="0.25">
      <c r="AD21564"/>
    </row>
    <row r="21565" spans="30:30" x14ac:dyDescent="0.25">
      <c r="AD21565"/>
    </row>
    <row r="21566" spans="30:30" x14ac:dyDescent="0.25">
      <c r="AD21566"/>
    </row>
    <row r="21567" spans="30:30" x14ac:dyDescent="0.25">
      <c r="AD21567"/>
    </row>
    <row r="21568" spans="30:30" x14ac:dyDescent="0.25">
      <c r="AD21568"/>
    </row>
    <row r="21569" spans="30:30" x14ac:dyDescent="0.25">
      <c r="AD21569"/>
    </row>
    <row r="21570" spans="30:30" x14ac:dyDescent="0.25">
      <c r="AD21570"/>
    </row>
    <row r="21571" spans="30:30" x14ac:dyDescent="0.25">
      <c r="AD21571"/>
    </row>
    <row r="21572" spans="30:30" x14ac:dyDescent="0.25">
      <c r="AD21572"/>
    </row>
    <row r="21573" spans="30:30" x14ac:dyDescent="0.25">
      <c r="AD21573"/>
    </row>
    <row r="21574" spans="30:30" x14ac:dyDescent="0.25">
      <c r="AD21574"/>
    </row>
    <row r="21575" spans="30:30" x14ac:dyDescent="0.25">
      <c r="AD21575"/>
    </row>
    <row r="21576" spans="30:30" x14ac:dyDescent="0.25">
      <c r="AD21576"/>
    </row>
    <row r="21577" spans="30:30" x14ac:dyDescent="0.25">
      <c r="AD21577"/>
    </row>
    <row r="21578" spans="30:30" x14ac:dyDescent="0.25">
      <c r="AD21578"/>
    </row>
    <row r="21579" spans="30:30" x14ac:dyDescent="0.25">
      <c r="AD21579"/>
    </row>
    <row r="21580" spans="30:30" x14ac:dyDescent="0.25">
      <c r="AD21580"/>
    </row>
    <row r="21581" spans="30:30" x14ac:dyDescent="0.25">
      <c r="AD21581"/>
    </row>
    <row r="21582" spans="30:30" x14ac:dyDescent="0.25">
      <c r="AD21582"/>
    </row>
    <row r="21583" spans="30:30" x14ac:dyDescent="0.25">
      <c r="AD21583"/>
    </row>
    <row r="21584" spans="30:30" x14ac:dyDescent="0.25">
      <c r="AD21584"/>
    </row>
    <row r="21585" spans="30:30" x14ac:dyDescent="0.25">
      <c r="AD21585"/>
    </row>
    <row r="21586" spans="30:30" x14ac:dyDescent="0.25">
      <c r="AD21586"/>
    </row>
    <row r="21587" spans="30:30" x14ac:dyDescent="0.25">
      <c r="AD21587"/>
    </row>
    <row r="21588" spans="30:30" x14ac:dyDescent="0.25">
      <c r="AD21588"/>
    </row>
    <row r="21589" spans="30:30" x14ac:dyDescent="0.25">
      <c r="AD21589"/>
    </row>
    <row r="21590" spans="30:30" x14ac:dyDescent="0.25">
      <c r="AD21590"/>
    </row>
    <row r="21591" spans="30:30" x14ac:dyDescent="0.25">
      <c r="AD21591"/>
    </row>
    <row r="21592" spans="30:30" x14ac:dyDescent="0.25">
      <c r="AD21592"/>
    </row>
    <row r="21593" spans="30:30" x14ac:dyDescent="0.25">
      <c r="AD21593"/>
    </row>
    <row r="21594" spans="30:30" x14ac:dyDescent="0.25">
      <c r="AD21594"/>
    </row>
    <row r="21595" spans="30:30" x14ac:dyDescent="0.25">
      <c r="AD21595"/>
    </row>
    <row r="21596" spans="30:30" x14ac:dyDescent="0.25">
      <c r="AD21596"/>
    </row>
    <row r="21597" spans="30:30" x14ac:dyDescent="0.25">
      <c r="AD21597"/>
    </row>
    <row r="21598" spans="30:30" x14ac:dyDescent="0.25">
      <c r="AD21598"/>
    </row>
    <row r="21599" spans="30:30" x14ac:dyDescent="0.25">
      <c r="AD21599"/>
    </row>
    <row r="21600" spans="30:30" x14ac:dyDescent="0.25">
      <c r="AD21600"/>
    </row>
    <row r="21601" spans="30:30" x14ac:dyDescent="0.25">
      <c r="AD21601"/>
    </row>
    <row r="21602" spans="30:30" x14ac:dyDescent="0.25">
      <c r="AD21602"/>
    </row>
    <row r="21603" spans="30:30" x14ac:dyDescent="0.25">
      <c r="AD21603"/>
    </row>
    <row r="21604" spans="30:30" x14ac:dyDescent="0.25">
      <c r="AD21604"/>
    </row>
    <row r="21605" spans="30:30" x14ac:dyDescent="0.25">
      <c r="AD21605"/>
    </row>
    <row r="21606" spans="30:30" x14ac:dyDescent="0.25">
      <c r="AD21606"/>
    </row>
    <row r="21607" spans="30:30" x14ac:dyDescent="0.25">
      <c r="AD21607"/>
    </row>
    <row r="21608" spans="30:30" x14ac:dyDescent="0.25">
      <c r="AD21608"/>
    </row>
    <row r="21609" spans="30:30" x14ac:dyDescent="0.25">
      <c r="AD21609"/>
    </row>
    <row r="21610" spans="30:30" x14ac:dyDescent="0.25">
      <c r="AD21610"/>
    </row>
    <row r="21611" spans="30:30" x14ac:dyDescent="0.25">
      <c r="AD21611"/>
    </row>
    <row r="21612" spans="30:30" x14ac:dyDescent="0.25">
      <c r="AD21612"/>
    </row>
    <row r="21613" spans="30:30" x14ac:dyDescent="0.25">
      <c r="AD21613"/>
    </row>
    <row r="21614" spans="30:30" x14ac:dyDescent="0.25">
      <c r="AD21614"/>
    </row>
    <row r="21615" spans="30:30" x14ac:dyDescent="0.25">
      <c r="AD21615"/>
    </row>
    <row r="21616" spans="30:30" x14ac:dyDescent="0.25">
      <c r="AD21616"/>
    </row>
    <row r="21617" spans="30:30" x14ac:dyDescent="0.25">
      <c r="AD21617"/>
    </row>
    <row r="21618" spans="30:30" x14ac:dyDescent="0.25">
      <c r="AD21618"/>
    </row>
    <row r="21619" spans="30:30" x14ac:dyDescent="0.25">
      <c r="AD21619"/>
    </row>
    <row r="21620" spans="30:30" x14ac:dyDescent="0.25">
      <c r="AD21620"/>
    </row>
    <row r="21621" spans="30:30" x14ac:dyDescent="0.25">
      <c r="AD21621"/>
    </row>
    <row r="21622" spans="30:30" x14ac:dyDescent="0.25">
      <c r="AD21622"/>
    </row>
    <row r="21623" spans="30:30" x14ac:dyDescent="0.25">
      <c r="AD21623"/>
    </row>
    <row r="21624" spans="30:30" x14ac:dyDescent="0.25">
      <c r="AD21624"/>
    </row>
    <row r="21625" spans="30:30" x14ac:dyDescent="0.25">
      <c r="AD21625"/>
    </row>
    <row r="21626" spans="30:30" x14ac:dyDescent="0.25">
      <c r="AD21626"/>
    </row>
    <row r="21627" spans="30:30" x14ac:dyDescent="0.25">
      <c r="AD21627"/>
    </row>
    <row r="21628" spans="30:30" x14ac:dyDescent="0.25">
      <c r="AD21628"/>
    </row>
    <row r="21629" spans="30:30" x14ac:dyDescent="0.25">
      <c r="AD21629"/>
    </row>
    <row r="21630" spans="30:30" x14ac:dyDescent="0.25">
      <c r="AD21630"/>
    </row>
    <row r="21631" spans="30:30" x14ac:dyDescent="0.25">
      <c r="AD21631"/>
    </row>
    <row r="21632" spans="30:30" x14ac:dyDescent="0.25">
      <c r="AD21632"/>
    </row>
    <row r="21633" spans="30:30" x14ac:dyDescent="0.25">
      <c r="AD21633"/>
    </row>
    <row r="21634" spans="30:30" x14ac:dyDescent="0.25">
      <c r="AD21634"/>
    </row>
    <row r="21635" spans="30:30" x14ac:dyDescent="0.25">
      <c r="AD21635"/>
    </row>
    <row r="21636" spans="30:30" x14ac:dyDescent="0.25">
      <c r="AD21636"/>
    </row>
    <row r="21637" spans="30:30" x14ac:dyDescent="0.25">
      <c r="AD21637"/>
    </row>
    <row r="21638" spans="30:30" x14ac:dyDescent="0.25">
      <c r="AD21638"/>
    </row>
    <row r="21639" spans="30:30" x14ac:dyDescent="0.25">
      <c r="AD21639"/>
    </row>
    <row r="21640" spans="30:30" x14ac:dyDescent="0.25">
      <c r="AD21640"/>
    </row>
    <row r="21641" spans="30:30" x14ac:dyDescent="0.25">
      <c r="AD21641"/>
    </row>
    <row r="21642" spans="30:30" x14ac:dyDescent="0.25">
      <c r="AD21642"/>
    </row>
    <row r="21643" spans="30:30" x14ac:dyDescent="0.25">
      <c r="AD21643"/>
    </row>
    <row r="21644" spans="30:30" x14ac:dyDescent="0.25">
      <c r="AD21644"/>
    </row>
    <row r="21645" spans="30:30" x14ac:dyDescent="0.25">
      <c r="AD21645"/>
    </row>
    <row r="21646" spans="30:30" x14ac:dyDescent="0.25">
      <c r="AD21646"/>
    </row>
    <row r="21647" spans="30:30" x14ac:dyDescent="0.25">
      <c r="AD21647"/>
    </row>
    <row r="21648" spans="30:30" x14ac:dyDescent="0.25">
      <c r="AD21648"/>
    </row>
    <row r="21649" spans="30:30" x14ac:dyDescent="0.25">
      <c r="AD21649"/>
    </row>
    <row r="21650" spans="30:30" x14ac:dyDescent="0.25">
      <c r="AD21650"/>
    </row>
    <row r="21651" spans="30:30" x14ac:dyDescent="0.25">
      <c r="AD21651"/>
    </row>
    <row r="21652" spans="30:30" x14ac:dyDescent="0.25">
      <c r="AD21652"/>
    </row>
    <row r="21653" spans="30:30" x14ac:dyDescent="0.25">
      <c r="AD21653"/>
    </row>
    <row r="21654" spans="30:30" x14ac:dyDescent="0.25">
      <c r="AD21654"/>
    </row>
    <row r="21655" spans="30:30" x14ac:dyDescent="0.25">
      <c r="AD21655"/>
    </row>
    <row r="21656" spans="30:30" x14ac:dyDescent="0.25">
      <c r="AD21656"/>
    </row>
    <row r="21657" spans="30:30" x14ac:dyDescent="0.25">
      <c r="AD21657"/>
    </row>
    <row r="21658" spans="30:30" x14ac:dyDescent="0.25">
      <c r="AD21658"/>
    </row>
    <row r="21659" spans="30:30" x14ac:dyDescent="0.25">
      <c r="AD21659"/>
    </row>
    <row r="21660" spans="30:30" x14ac:dyDescent="0.25">
      <c r="AD21660"/>
    </row>
    <row r="21661" spans="30:30" x14ac:dyDescent="0.25">
      <c r="AD21661"/>
    </row>
    <row r="21662" spans="30:30" x14ac:dyDescent="0.25">
      <c r="AD21662"/>
    </row>
    <row r="21663" spans="30:30" x14ac:dyDescent="0.25">
      <c r="AD21663"/>
    </row>
    <row r="21664" spans="30:30" x14ac:dyDescent="0.25">
      <c r="AD21664"/>
    </row>
    <row r="21665" spans="30:30" x14ac:dyDescent="0.25">
      <c r="AD21665"/>
    </row>
    <row r="21666" spans="30:30" x14ac:dyDescent="0.25">
      <c r="AD21666"/>
    </row>
    <row r="21667" spans="30:30" x14ac:dyDescent="0.25">
      <c r="AD21667"/>
    </row>
    <row r="21668" spans="30:30" x14ac:dyDescent="0.25">
      <c r="AD21668"/>
    </row>
    <row r="21669" spans="30:30" x14ac:dyDescent="0.25">
      <c r="AD21669"/>
    </row>
    <row r="21670" spans="30:30" x14ac:dyDescent="0.25">
      <c r="AD21670"/>
    </row>
    <row r="21671" spans="30:30" x14ac:dyDescent="0.25">
      <c r="AD21671"/>
    </row>
    <row r="21672" spans="30:30" x14ac:dyDescent="0.25">
      <c r="AD21672"/>
    </row>
    <row r="21673" spans="30:30" x14ac:dyDescent="0.25">
      <c r="AD21673"/>
    </row>
    <row r="21674" spans="30:30" x14ac:dyDescent="0.25">
      <c r="AD21674"/>
    </row>
    <row r="21675" spans="30:30" x14ac:dyDescent="0.25">
      <c r="AD21675"/>
    </row>
    <row r="21676" spans="30:30" x14ac:dyDescent="0.25">
      <c r="AD21676"/>
    </row>
    <row r="21677" spans="30:30" x14ac:dyDescent="0.25">
      <c r="AD21677"/>
    </row>
    <row r="21678" spans="30:30" x14ac:dyDescent="0.25">
      <c r="AD21678"/>
    </row>
    <row r="21679" spans="30:30" x14ac:dyDescent="0.25">
      <c r="AD21679"/>
    </row>
    <row r="21680" spans="30:30" x14ac:dyDescent="0.25">
      <c r="AD21680"/>
    </row>
    <row r="21681" spans="30:30" x14ac:dyDescent="0.25">
      <c r="AD21681"/>
    </row>
    <row r="21682" spans="30:30" x14ac:dyDescent="0.25">
      <c r="AD21682"/>
    </row>
    <row r="21683" spans="30:30" x14ac:dyDescent="0.25">
      <c r="AD21683"/>
    </row>
    <row r="21684" spans="30:30" x14ac:dyDescent="0.25">
      <c r="AD21684"/>
    </row>
    <row r="21685" spans="30:30" x14ac:dyDescent="0.25">
      <c r="AD21685"/>
    </row>
    <row r="21686" spans="30:30" x14ac:dyDescent="0.25">
      <c r="AD21686"/>
    </row>
    <row r="21687" spans="30:30" x14ac:dyDescent="0.25">
      <c r="AD21687"/>
    </row>
    <row r="21688" spans="30:30" x14ac:dyDescent="0.25">
      <c r="AD21688"/>
    </row>
    <row r="21689" spans="30:30" x14ac:dyDescent="0.25">
      <c r="AD21689"/>
    </row>
    <row r="21690" spans="30:30" x14ac:dyDescent="0.25">
      <c r="AD21690"/>
    </row>
    <row r="21691" spans="30:30" x14ac:dyDescent="0.25">
      <c r="AD21691"/>
    </row>
    <row r="21692" spans="30:30" x14ac:dyDescent="0.25">
      <c r="AD21692"/>
    </row>
    <row r="21693" spans="30:30" x14ac:dyDescent="0.25">
      <c r="AD21693"/>
    </row>
    <row r="21694" spans="30:30" x14ac:dyDescent="0.25">
      <c r="AD21694"/>
    </row>
    <row r="21695" spans="30:30" x14ac:dyDescent="0.25">
      <c r="AD21695"/>
    </row>
    <row r="21696" spans="30:30" x14ac:dyDescent="0.25">
      <c r="AD21696"/>
    </row>
    <row r="21697" spans="30:30" x14ac:dyDescent="0.25">
      <c r="AD21697"/>
    </row>
    <row r="21698" spans="30:30" x14ac:dyDescent="0.25">
      <c r="AD21698"/>
    </row>
    <row r="21699" spans="30:30" x14ac:dyDescent="0.25">
      <c r="AD21699"/>
    </row>
    <row r="21700" spans="30:30" x14ac:dyDescent="0.25">
      <c r="AD21700"/>
    </row>
    <row r="21701" spans="30:30" x14ac:dyDescent="0.25">
      <c r="AD21701"/>
    </row>
    <row r="21702" spans="30:30" x14ac:dyDescent="0.25">
      <c r="AD21702"/>
    </row>
    <row r="21703" spans="30:30" x14ac:dyDescent="0.25">
      <c r="AD21703"/>
    </row>
    <row r="21704" spans="30:30" x14ac:dyDescent="0.25">
      <c r="AD21704"/>
    </row>
    <row r="21705" spans="30:30" x14ac:dyDescent="0.25">
      <c r="AD21705"/>
    </row>
    <row r="21706" spans="30:30" x14ac:dyDescent="0.25">
      <c r="AD21706"/>
    </row>
    <row r="21707" spans="30:30" x14ac:dyDescent="0.25">
      <c r="AD21707"/>
    </row>
    <row r="21708" spans="30:30" x14ac:dyDescent="0.25">
      <c r="AD21708"/>
    </row>
    <row r="21709" spans="30:30" x14ac:dyDescent="0.25">
      <c r="AD21709"/>
    </row>
    <row r="21710" spans="30:30" x14ac:dyDescent="0.25">
      <c r="AD21710"/>
    </row>
    <row r="21711" spans="30:30" x14ac:dyDescent="0.25">
      <c r="AD21711"/>
    </row>
    <row r="21712" spans="30:30" x14ac:dyDescent="0.25">
      <c r="AD21712"/>
    </row>
    <row r="21713" spans="30:30" x14ac:dyDescent="0.25">
      <c r="AD21713"/>
    </row>
    <row r="21714" spans="30:30" x14ac:dyDescent="0.25">
      <c r="AD21714"/>
    </row>
    <row r="21715" spans="30:30" x14ac:dyDescent="0.25">
      <c r="AD21715"/>
    </row>
    <row r="21716" spans="30:30" x14ac:dyDescent="0.25">
      <c r="AD21716"/>
    </row>
    <row r="21717" spans="30:30" x14ac:dyDescent="0.25">
      <c r="AD21717"/>
    </row>
    <row r="21718" spans="30:30" x14ac:dyDescent="0.25">
      <c r="AD21718"/>
    </row>
    <row r="21719" spans="30:30" x14ac:dyDescent="0.25">
      <c r="AD21719"/>
    </row>
    <row r="21720" spans="30:30" x14ac:dyDescent="0.25">
      <c r="AD21720"/>
    </row>
    <row r="21721" spans="30:30" x14ac:dyDescent="0.25">
      <c r="AD21721"/>
    </row>
    <row r="21722" spans="30:30" x14ac:dyDescent="0.25">
      <c r="AD21722"/>
    </row>
    <row r="21723" spans="30:30" x14ac:dyDescent="0.25">
      <c r="AD21723"/>
    </row>
    <row r="21724" spans="30:30" x14ac:dyDescent="0.25">
      <c r="AD21724"/>
    </row>
    <row r="21725" spans="30:30" x14ac:dyDescent="0.25">
      <c r="AD21725"/>
    </row>
    <row r="21726" spans="30:30" x14ac:dyDescent="0.25">
      <c r="AD21726"/>
    </row>
    <row r="21727" spans="30:30" x14ac:dyDescent="0.25">
      <c r="AD21727"/>
    </row>
    <row r="21728" spans="30:30" x14ac:dyDescent="0.25">
      <c r="AD21728"/>
    </row>
    <row r="21729" spans="30:30" x14ac:dyDescent="0.25">
      <c r="AD21729"/>
    </row>
    <row r="21730" spans="30:30" x14ac:dyDescent="0.25">
      <c r="AD21730"/>
    </row>
    <row r="21731" spans="30:30" x14ac:dyDescent="0.25">
      <c r="AD21731"/>
    </row>
    <row r="21732" spans="30:30" x14ac:dyDescent="0.25">
      <c r="AD21732"/>
    </row>
    <row r="21733" spans="30:30" x14ac:dyDescent="0.25">
      <c r="AD21733"/>
    </row>
    <row r="21734" spans="30:30" x14ac:dyDescent="0.25">
      <c r="AD21734"/>
    </row>
    <row r="21735" spans="30:30" x14ac:dyDescent="0.25">
      <c r="AD21735"/>
    </row>
    <row r="21736" spans="30:30" x14ac:dyDescent="0.25">
      <c r="AD21736"/>
    </row>
    <row r="21737" spans="30:30" x14ac:dyDescent="0.25">
      <c r="AD21737"/>
    </row>
    <row r="21738" spans="30:30" x14ac:dyDescent="0.25">
      <c r="AD21738"/>
    </row>
    <row r="21739" spans="30:30" x14ac:dyDescent="0.25">
      <c r="AD21739"/>
    </row>
    <row r="21740" spans="30:30" x14ac:dyDescent="0.25">
      <c r="AD21740"/>
    </row>
    <row r="21741" spans="30:30" x14ac:dyDescent="0.25">
      <c r="AD21741"/>
    </row>
    <row r="21742" spans="30:30" x14ac:dyDescent="0.25">
      <c r="AD21742"/>
    </row>
    <row r="21743" spans="30:30" x14ac:dyDescent="0.25">
      <c r="AD21743"/>
    </row>
    <row r="21744" spans="30:30" x14ac:dyDescent="0.25">
      <c r="AD21744"/>
    </row>
    <row r="21745" spans="30:30" x14ac:dyDescent="0.25">
      <c r="AD21745"/>
    </row>
    <row r="21746" spans="30:30" x14ac:dyDescent="0.25">
      <c r="AD21746"/>
    </row>
    <row r="21747" spans="30:30" x14ac:dyDescent="0.25">
      <c r="AD21747"/>
    </row>
    <row r="21748" spans="30:30" x14ac:dyDescent="0.25">
      <c r="AD21748"/>
    </row>
    <row r="21749" spans="30:30" x14ac:dyDescent="0.25">
      <c r="AD21749"/>
    </row>
    <row r="21750" spans="30:30" x14ac:dyDescent="0.25">
      <c r="AD21750"/>
    </row>
    <row r="21751" spans="30:30" x14ac:dyDescent="0.25">
      <c r="AD21751"/>
    </row>
    <row r="21752" spans="30:30" x14ac:dyDescent="0.25">
      <c r="AD21752"/>
    </row>
    <row r="21753" spans="30:30" x14ac:dyDescent="0.25">
      <c r="AD21753"/>
    </row>
    <row r="21754" spans="30:30" x14ac:dyDescent="0.25">
      <c r="AD21754"/>
    </row>
    <row r="21755" spans="30:30" x14ac:dyDescent="0.25">
      <c r="AD21755"/>
    </row>
    <row r="21756" spans="30:30" x14ac:dyDescent="0.25">
      <c r="AD21756"/>
    </row>
    <row r="21757" spans="30:30" x14ac:dyDescent="0.25">
      <c r="AD21757"/>
    </row>
    <row r="21758" spans="30:30" x14ac:dyDescent="0.25">
      <c r="AD21758"/>
    </row>
    <row r="21759" spans="30:30" x14ac:dyDescent="0.25">
      <c r="AD21759"/>
    </row>
    <row r="21760" spans="30:30" x14ac:dyDescent="0.25">
      <c r="AD21760"/>
    </row>
    <row r="21761" spans="30:30" x14ac:dyDescent="0.25">
      <c r="AD21761"/>
    </row>
    <row r="21762" spans="30:30" x14ac:dyDescent="0.25">
      <c r="AD21762"/>
    </row>
    <row r="21763" spans="30:30" x14ac:dyDescent="0.25">
      <c r="AD21763"/>
    </row>
    <row r="21764" spans="30:30" x14ac:dyDescent="0.25">
      <c r="AD21764"/>
    </row>
    <row r="21765" spans="30:30" x14ac:dyDescent="0.25">
      <c r="AD21765"/>
    </row>
    <row r="21766" spans="30:30" x14ac:dyDescent="0.25">
      <c r="AD21766"/>
    </row>
    <row r="21767" spans="30:30" x14ac:dyDescent="0.25">
      <c r="AD21767"/>
    </row>
    <row r="21768" spans="30:30" x14ac:dyDescent="0.25">
      <c r="AD21768"/>
    </row>
    <row r="21769" spans="30:30" x14ac:dyDescent="0.25">
      <c r="AD21769"/>
    </row>
    <row r="21770" spans="30:30" x14ac:dyDescent="0.25">
      <c r="AD21770"/>
    </row>
    <row r="21771" spans="30:30" x14ac:dyDescent="0.25">
      <c r="AD21771"/>
    </row>
    <row r="21772" spans="30:30" x14ac:dyDescent="0.25">
      <c r="AD21772"/>
    </row>
    <row r="21773" spans="30:30" x14ac:dyDescent="0.25">
      <c r="AD21773"/>
    </row>
    <row r="21774" spans="30:30" x14ac:dyDescent="0.25">
      <c r="AD21774"/>
    </row>
    <row r="21775" spans="30:30" x14ac:dyDescent="0.25">
      <c r="AD21775"/>
    </row>
    <row r="21776" spans="30:30" x14ac:dyDescent="0.25">
      <c r="AD21776"/>
    </row>
    <row r="21777" spans="30:30" x14ac:dyDescent="0.25">
      <c r="AD21777"/>
    </row>
    <row r="21778" spans="30:30" x14ac:dyDescent="0.25">
      <c r="AD21778"/>
    </row>
    <row r="21779" spans="30:30" x14ac:dyDescent="0.25">
      <c r="AD21779"/>
    </row>
    <row r="21780" spans="30:30" x14ac:dyDescent="0.25">
      <c r="AD21780"/>
    </row>
    <row r="21781" spans="30:30" x14ac:dyDescent="0.25">
      <c r="AD21781"/>
    </row>
    <row r="21782" spans="30:30" x14ac:dyDescent="0.25">
      <c r="AD21782"/>
    </row>
    <row r="21783" spans="30:30" x14ac:dyDescent="0.25">
      <c r="AD21783"/>
    </row>
    <row r="21784" spans="30:30" x14ac:dyDescent="0.25">
      <c r="AD21784"/>
    </row>
    <row r="21785" spans="30:30" x14ac:dyDescent="0.25">
      <c r="AD21785"/>
    </row>
    <row r="21786" spans="30:30" x14ac:dyDescent="0.25">
      <c r="AD21786"/>
    </row>
    <row r="21787" spans="30:30" x14ac:dyDescent="0.25">
      <c r="AD21787"/>
    </row>
    <row r="21788" spans="30:30" x14ac:dyDescent="0.25">
      <c r="AD21788"/>
    </row>
    <row r="21789" spans="30:30" x14ac:dyDescent="0.25">
      <c r="AD21789"/>
    </row>
    <row r="21790" spans="30:30" x14ac:dyDescent="0.25">
      <c r="AD21790"/>
    </row>
    <row r="21791" spans="30:30" x14ac:dyDescent="0.25">
      <c r="AD21791"/>
    </row>
    <row r="21792" spans="30:30" x14ac:dyDescent="0.25">
      <c r="AD21792"/>
    </row>
    <row r="21793" spans="30:30" x14ac:dyDescent="0.25">
      <c r="AD21793"/>
    </row>
    <row r="21794" spans="30:30" x14ac:dyDescent="0.25">
      <c r="AD21794"/>
    </row>
    <row r="21795" spans="30:30" x14ac:dyDescent="0.25">
      <c r="AD21795"/>
    </row>
    <row r="21796" spans="30:30" x14ac:dyDescent="0.25">
      <c r="AD21796"/>
    </row>
    <row r="21797" spans="30:30" x14ac:dyDescent="0.25">
      <c r="AD21797"/>
    </row>
    <row r="21798" spans="30:30" x14ac:dyDescent="0.25">
      <c r="AD21798"/>
    </row>
    <row r="21799" spans="30:30" x14ac:dyDescent="0.25">
      <c r="AD21799"/>
    </row>
    <row r="21800" spans="30:30" x14ac:dyDescent="0.25">
      <c r="AD21800"/>
    </row>
    <row r="21801" spans="30:30" x14ac:dyDescent="0.25">
      <c r="AD21801"/>
    </row>
    <row r="21802" spans="30:30" x14ac:dyDescent="0.25">
      <c r="AD21802"/>
    </row>
    <row r="21803" spans="30:30" x14ac:dyDescent="0.25">
      <c r="AD21803"/>
    </row>
    <row r="21804" spans="30:30" x14ac:dyDescent="0.25">
      <c r="AD21804"/>
    </row>
    <row r="21805" spans="30:30" x14ac:dyDescent="0.25">
      <c r="AD21805"/>
    </row>
    <row r="21806" spans="30:30" x14ac:dyDescent="0.25">
      <c r="AD21806"/>
    </row>
    <row r="21807" spans="30:30" x14ac:dyDescent="0.25">
      <c r="AD21807"/>
    </row>
    <row r="21808" spans="30:30" x14ac:dyDescent="0.25">
      <c r="AD21808"/>
    </row>
    <row r="21809" spans="30:30" x14ac:dyDescent="0.25">
      <c r="AD21809"/>
    </row>
    <row r="21810" spans="30:30" x14ac:dyDescent="0.25">
      <c r="AD21810"/>
    </row>
    <row r="21811" spans="30:30" x14ac:dyDescent="0.25">
      <c r="AD21811"/>
    </row>
    <row r="21812" spans="30:30" x14ac:dyDescent="0.25">
      <c r="AD21812"/>
    </row>
    <row r="21813" spans="30:30" x14ac:dyDescent="0.25">
      <c r="AD21813"/>
    </row>
    <row r="21814" spans="30:30" x14ac:dyDescent="0.25">
      <c r="AD21814"/>
    </row>
    <row r="21815" spans="30:30" x14ac:dyDescent="0.25">
      <c r="AD21815"/>
    </row>
    <row r="21816" spans="30:30" x14ac:dyDescent="0.25">
      <c r="AD21816"/>
    </row>
    <row r="21817" spans="30:30" x14ac:dyDescent="0.25">
      <c r="AD21817"/>
    </row>
    <row r="21818" spans="30:30" x14ac:dyDescent="0.25">
      <c r="AD21818"/>
    </row>
    <row r="21819" spans="30:30" x14ac:dyDescent="0.25">
      <c r="AD21819"/>
    </row>
    <row r="21820" spans="30:30" x14ac:dyDescent="0.25">
      <c r="AD21820"/>
    </row>
    <row r="21821" spans="30:30" x14ac:dyDescent="0.25">
      <c r="AD21821"/>
    </row>
    <row r="21822" spans="30:30" x14ac:dyDescent="0.25">
      <c r="AD21822"/>
    </row>
    <row r="21823" spans="30:30" x14ac:dyDescent="0.25">
      <c r="AD21823"/>
    </row>
    <row r="21824" spans="30:30" x14ac:dyDescent="0.25">
      <c r="AD21824"/>
    </row>
    <row r="21825" spans="30:30" x14ac:dyDescent="0.25">
      <c r="AD21825"/>
    </row>
    <row r="21826" spans="30:30" x14ac:dyDescent="0.25">
      <c r="AD21826"/>
    </row>
    <row r="21827" spans="30:30" x14ac:dyDescent="0.25">
      <c r="AD21827"/>
    </row>
    <row r="21828" spans="30:30" x14ac:dyDescent="0.25">
      <c r="AD21828"/>
    </row>
    <row r="21829" spans="30:30" x14ac:dyDescent="0.25">
      <c r="AD21829"/>
    </row>
    <row r="21830" spans="30:30" x14ac:dyDescent="0.25">
      <c r="AD21830"/>
    </row>
    <row r="21831" spans="30:30" x14ac:dyDescent="0.25">
      <c r="AD21831"/>
    </row>
    <row r="21832" spans="30:30" x14ac:dyDescent="0.25">
      <c r="AD21832"/>
    </row>
    <row r="21833" spans="30:30" x14ac:dyDescent="0.25">
      <c r="AD21833"/>
    </row>
    <row r="21834" spans="30:30" x14ac:dyDescent="0.25">
      <c r="AD21834"/>
    </row>
    <row r="21835" spans="30:30" x14ac:dyDescent="0.25">
      <c r="AD21835"/>
    </row>
    <row r="21836" spans="30:30" x14ac:dyDescent="0.25">
      <c r="AD21836"/>
    </row>
    <row r="21837" spans="30:30" x14ac:dyDescent="0.25">
      <c r="AD21837"/>
    </row>
    <row r="21838" spans="30:30" x14ac:dyDescent="0.25">
      <c r="AD21838"/>
    </row>
    <row r="21839" spans="30:30" x14ac:dyDescent="0.25">
      <c r="AD21839"/>
    </row>
    <row r="21840" spans="30:30" x14ac:dyDescent="0.25">
      <c r="AD21840"/>
    </row>
    <row r="21841" spans="30:30" x14ac:dyDescent="0.25">
      <c r="AD21841"/>
    </row>
    <row r="21842" spans="30:30" x14ac:dyDescent="0.25">
      <c r="AD21842"/>
    </row>
    <row r="21843" spans="30:30" x14ac:dyDescent="0.25">
      <c r="AD21843"/>
    </row>
    <row r="21844" spans="30:30" x14ac:dyDescent="0.25">
      <c r="AD21844"/>
    </row>
    <row r="21845" spans="30:30" x14ac:dyDescent="0.25">
      <c r="AD21845"/>
    </row>
    <row r="21846" spans="30:30" x14ac:dyDescent="0.25">
      <c r="AD21846"/>
    </row>
    <row r="21847" spans="30:30" x14ac:dyDescent="0.25">
      <c r="AD21847"/>
    </row>
    <row r="21848" spans="30:30" x14ac:dyDescent="0.25">
      <c r="AD21848"/>
    </row>
    <row r="21849" spans="30:30" x14ac:dyDescent="0.25">
      <c r="AD21849"/>
    </row>
    <row r="21850" spans="30:30" x14ac:dyDescent="0.25">
      <c r="AD21850"/>
    </row>
    <row r="21851" spans="30:30" x14ac:dyDescent="0.25">
      <c r="AD21851"/>
    </row>
    <row r="21852" spans="30:30" x14ac:dyDescent="0.25">
      <c r="AD21852"/>
    </row>
    <row r="21853" spans="30:30" x14ac:dyDescent="0.25">
      <c r="AD21853"/>
    </row>
    <row r="21854" spans="30:30" x14ac:dyDescent="0.25">
      <c r="AD21854"/>
    </row>
    <row r="21855" spans="30:30" x14ac:dyDescent="0.25">
      <c r="AD21855"/>
    </row>
    <row r="21856" spans="30:30" x14ac:dyDescent="0.25">
      <c r="AD21856"/>
    </row>
    <row r="21857" spans="30:30" x14ac:dyDescent="0.25">
      <c r="AD21857"/>
    </row>
    <row r="21858" spans="30:30" x14ac:dyDescent="0.25">
      <c r="AD21858"/>
    </row>
    <row r="21859" spans="30:30" x14ac:dyDescent="0.25">
      <c r="AD21859"/>
    </row>
    <row r="21860" spans="30:30" x14ac:dyDescent="0.25">
      <c r="AD21860"/>
    </row>
    <row r="21861" spans="30:30" x14ac:dyDescent="0.25">
      <c r="AD21861"/>
    </row>
    <row r="21862" spans="30:30" x14ac:dyDescent="0.25">
      <c r="AD21862"/>
    </row>
    <row r="21863" spans="30:30" x14ac:dyDescent="0.25">
      <c r="AD21863"/>
    </row>
    <row r="21864" spans="30:30" x14ac:dyDescent="0.25">
      <c r="AD21864"/>
    </row>
    <row r="21865" spans="30:30" x14ac:dyDescent="0.25">
      <c r="AD21865"/>
    </row>
    <row r="21866" spans="30:30" x14ac:dyDescent="0.25">
      <c r="AD21866"/>
    </row>
    <row r="21867" spans="30:30" x14ac:dyDescent="0.25">
      <c r="AD21867"/>
    </row>
    <row r="21868" spans="30:30" x14ac:dyDescent="0.25">
      <c r="AD21868"/>
    </row>
    <row r="21869" spans="30:30" x14ac:dyDescent="0.25">
      <c r="AD21869"/>
    </row>
    <row r="21870" spans="30:30" x14ac:dyDescent="0.25">
      <c r="AD21870"/>
    </row>
    <row r="21871" spans="30:30" x14ac:dyDescent="0.25">
      <c r="AD21871"/>
    </row>
    <row r="21872" spans="30:30" x14ac:dyDescent="0.25">
      <c r="AD21872"/>
    </row>
    <row r="21873" spans="30:30" x14ac:dyDescent="0.25">
      <c r="AD21873"/>
    </row>
    <row r="21874" spans="30:30" x14ac:dyDescent="0.25">
      <c r="AD21874"/>
    </row>
    <row r="21875" spans="30:30" x14ac:dyDescent="0.25">
      <c r="AD21875"/>
    </row>
    <row r="21876" spans="30:30" x14ac:dyDescent="0.25">
      <c r="AD21876"/>
    </row>
    <row r="21877" spans="30:30" x14ac:dyDescent="0.25">
      <c r="AD21877"/>
    </row>
    <row r="21878" spans="30:30" x14ac:dyDescent="0.25">
      <c r="AD21878"/>
    </row>
    <row r="21879" spans="30:30" x14ac:dyDescent="0.25">
      <c r="AD21879"/>
    </row>
    <row r="21880" spans="30:30" x14ac:dyDescent="0.25">
      <c r="AD21880"/>
    </row>
    <row r="21881" spans="30:30" x14ac:dyDescent="0.25">
      <c r="AD21881"/>
    </row>
    <row r="21882" spans="30:30" x14ac:dyDescent="0.25">
      <c r="AD21882"/>
    </row>
    <row r="21883" spans="30:30" x14ac:dyDescent="0.25">
      <c r="AD21883"/>
    </row>
    <row r="21884" spans="30:30" x14ac:dyDescent="0.25">
      <c r="AD21884"/>
    </row>
    <row r="21885" spans="30:30" x14ac:dyDescent="0.25">
      <c r="AD21885"/>
    </row>
    <row r="21886" spans="30:30" x14ac:dyDescent="0.25">
      <c r="AD21886"/>
    </row>
    <row r="21887" spans="30:30" x14ac:dyDescent="0.25">
      <c r="AD21887"/>
    </row>
    <row r="21888" spans="30:30" x14ac:dyDescent="0.25">
      <c r="AD21888"/>
    </row>
    <row r="21889" spans="30:30" x14ac:dyDescent="0.25">
      <c r="AD21889"/>
    </row>
    <row r="21890" spans="30:30" x14ac:dyDescent="0.25">
      <c r="AD21890"/>
    </row>
    <row r="21891" spans="30:30" x14ac:dyDescent="0.25">
      <c r="AD21891"/>
    </row>
    <row r="21892" spans="30:30" x14ac:dyDescent="0.25">
      <c r="AD21892"/>
    </row>
    <row r="21893" spans="30:30" x14ac:dyDescent="0.25">
      <c r="AD21893"/>
    </row>
    <row r="21894" spans="30:30" x14ac:dyDescent="0.25">
      <c r="AD21894"/>
    </row>
    <row r="21895" spans="30:30" x14ac:dyDescent="0.25">
      <c r="AD21895"/>
    </row>
    <row r="21896" spans="30:30" x14ac:dyDescent="0.25">
      <c r="AD21896"/>
    </row>
    <row r="21897" spans="30:30" x14ac:dyDescent="0.25">
      <c r="AD21897"/>
    </row>
    <row r="21898" spans="30:30" x14ac:dyDescent="0.25">
      <c r="AD21898"/>
    </row>
    <row r="21899" spans="30:30" x14ac:dyDescent="0.25">
      <c r="AD21899"/>
    </row>
    <row r="21900" spans="30:30" x14ac:dyDescent="0.25">
      <c r="AD21900"/>
    </row>
    <row r="21901" spans="30:30" x14ac:dyDescent="0.25">
      <c r="AD21901"/>
    </row>
    <row r="21902" spans="30:30" x14ac:dyDescent="0.25">
      <c r="AD21902"/>
    </row>
    <row r="21903" spans="30:30" x14ac:dyDescent="0.25">
      <c r="AD21903"/>
    </row>
    <row r="21904" spans="30:30" x14ac:dyDescent="0.25">
      <c r="AD21904"/>
    </row>
    <row r="21905" spans="30:30" x14ac:dyDescent="0.25">
      <c r="AD21905"/>
    </row>
    <row r="21906" spans="30:30" x14ac:dyDescent="0.25">
      <c r="AD21906"/>
    </row>
    <row r="21907" spans="30:30" x14ac:dyDescent="0.25">
      <c r="AD21907"/>
    </row>
    <row r="21908" spans="30:30" x14ac:dyDescent="0.25">
      <c r="AD21908"/>
    </row>
    <row r="21909" spans="30:30" x14ac:dyDescent="0.25">
      <c r="AD21909"/>
    </row>
    <row r="21910" spans="30:30" x14ac:dyDescent="0.25">
      <c r="AD21910"/>
    </row>
    <row r="21911" spans="30:30" x14ac:dyDescent="0.25">
      <c r="AD21911"/>
    </row>
    <row r="21912" spans="30:30" x14ac:dyDescent="0.25">
      <c r="AD21912"/>
    </row>
    <row r="21913" spans="30:30" x14ac:dyDescent="0.25">
      <c r="AD21913"/>
    </row>
    <row r="21914" spans="30:30" x14ac:dyDescent="0.25">
      <c r="AD21914"/>
    </row>
    <row r="21915" spans="30:30" x14ac:dyDescent="0.25">
      <c r="AD21915"/>
    </row>
    <row r="21916" spans="30:30" x14ac:dyDescent="0.25">
      <c r="AD21916"/>
    </row>
    <row r="21917" spans="30:30" x14ac:dyDescent="0.25">
      <c r="AD21917"/>
    </row>
    <row r="21918" spans="30:30" x14ac:dyDescent="0.25">
      <c r="AD21918"/>
    </row>
    <row r="21919" spans="30:30" x14ac:dyDescent="0.25">
      <c r="AD21919"/>
    </row>
    <row r="21920" spans="30:30" x14ac:dyDescent="0.25">
      <c r="AD21920"/>
    </row>
    <row r="21921" spans="30:30" x14ac:dyDescent="0.25">
      <c r="AD21921"/>
    </row>
    <row r="21922" spans="30:30" x14ac:dyDescent="0.25">
      <c r="AD21922"/>
    </row>
    <row r="21923" spans="30:30" x14ac:dyDescent="0.25">
      <c r="AD21923"/>
    </row>
    <row r="21924" spans="30:30" x14ac:dyDescent="0.25">
      <c r="AD21924"/>
    </row>
    <row r="21925" spans="30:30" x14ac:dyDescent="0.25">
      <c r="AD21925"/>
    </row>
    <row r="21926" spans="30:30" x14ac:dyDescent="0.25">
      <c r="AD21926"/>
    </row>
    <row r="21927" spans="30:30" x14ac:dyDescent="0.25">
      <c r="AD21927"/>
    </row>
    <row r="21928" spans="30:30" x14ac:dyDescent="0.25">
      <c r="AD21928"/>
    </row>
    <row r="21929" spans="30:30" x14ac:dyDescent="0.25">
      <c r="AD21929"/>
    </row>
    <row r="21930" spans="30:30" x14ac:dyDescent="0.25">
      <c r="AD21930"/>
    </row>
    <row r="21931" spans="30:30" x14ac:dyDescent="0.25">
      <c r="AD21931"/>
    </row>
    <row r="21932" spans="30:30" x14ac:dyDescent="0.25">
      <c r="AD21932"/>
    </row>
    <row r="21933" spans="30:30" x14ac:dyDescent="0.25">
      <c r="AD21933"/>
    </row>
    <row r="21934" spans="30:30" x14ac:dyDescent="0.25">
      <c r="AD21934"/>
    </row>
    <row r="21935" spans="30:30" x14ac:dyDescent="0.25">
      <c r="AD21935"/>
    </row>
    <row r="21936" spans="30:30" x14ac:dyDescent="0.25">
      <c r="AD21936"/>
    </row>
    <row r="21937" spans="30:30" x14ac:dyDescent="0.25">
      <c r="AD21937"/>
    </row>
    <row r="21938" spans="30:30" x14ac:dyDescent="0.25">
      <c r="AD21938"/>
    </row>
    <row r="21939" spans="30:30" x14ac:dyDescent="0.25">
      <c r="AD21939"/>
    </row>
    <row r="21940" spans="30:30" x14ac:dyDescent="0.25">
      <c r="AD21940"/>
    </row>
    <row r="21941" spans="30:30" x14ac:dyDescent="0.25">
      <c r="AD21941"/>
    </row>
    <row r="21942" spans="30:30" x14ac:dyDescent="0.25">
      <c r="AD21942"/>
    </row>
    <row r="21943" spans="30:30" x14ac:dyDescent="0.25">
      <c r="AD21943"/>
    </row>
    <row r="21944" spans="30:30" x14ac:dyDescent="0.25">
      <c r="AD21944"/>
    </row>
    <row r="21945" spans="30:30" x14ac:dyDescent="0.25">
      <c r="AD21945"/>
    </row>
    <row r="21946" spans="30:30" x14ac:dyDescent="0.25">
      <c r="AD21946"/>
    </row>
    <row r="21947" spans="30:30" x14ac:dyDescent="0.25">
      <c r="AD21947"/>
    </row>
    <row r="21948" spans="30:30" x14ac:dyDescent="0.25">
      <c r="AD21948"/>
    </row>
    <row r="21949" spans="30:30" x14ac:dyDescent="0.25">
      <c r="AD21949"/>
    </row>
    <row r="21950" spans="30:30" x14ac:dyDescent="0.25">
      <c r="AD21950"/>
    </row>
    <row r="21951" spans="30:30" x14ac:dyDescent="0.25">
      <c r="AD21951"/>
    </row>
    <row r="21952" spans="30:30" x14ac:dyDescent="0.25">
      <c r="AD21952"/>
    </row>
    <row r="21953" spans="30:30" x14ac:dyDescent="0.25">
      <c r="AD21953"/>
    </row>
    <row r="21954" spans="30:30" x14ac:dyDescent="0.25">
      <c r="AD21954"/>
    </row>
    <row r="21955" spans="30:30" x14ac:dyDescent="0.25">
      <c r="AD21955"/>
    </row>
    <row r="21956" spans="30:30" x14ac:dyDescent="0.25">
      <c r="AD21956"/>
    </row>
    <row r="21957" spans="30:30" x14ac:dyDescent="0.25">
      <c r="AD21957"/>
    </row>
    <row r="21958" spans="30:30" x14ac:dyDescent="0.25">
      <c r="AD21958"/>
    </row>
    <row r="21959" spans="30:30" x14ac:dyDescent="0.25">
      <c r="AD21959"/>
    </row>
    <row r="21960" spans="30:30" x14ac:dyDescent="0.25">
      <c r="AD21960"/>
    </row>
    <row r="21961" spans="30:30" x14ac:dyDescent="0.25">
      <c r="AD21961"/>
    </row>
    <row r="21962" spans="30:30" x14ac:dyDescent="0.25">
      <c r="AD21962"/>
    </row>
    <row r="21963" spans="30:30" x14ac:dyDescent="0.25">
      <c r="AD21963"/>
    </row>
    <row r="21964" spans="30:30" x14ac:dyDescent="0.25">
      <c r="AD21964"/>
    </row>
    <row r="21965" spans="30:30" x14ac:dyDescent="0.25">
      <c r="AD21965"/>
    </row>
    <row r="21966" spans="30:30" x14ac:dyDescent="0.25">
      <c r="AD21966"/>
    </row>
    <row r="21967" spans="30:30" x14ac:dyDescent="0.25">
      <c r="AD21967"/>
    </row>
    <row r="21968" spans="30:30" x14ac:dyDescent="0.25">
      <c r="AD21968"/>
    </row>
    <row r="21969" spans="30:30" x14ac:dyDescent="0.25">
      <c r="AD21969"/>
    </row>
    <row r="21970" spans="30:30" x14ac:dyDescent="0.25">
      <c r="AD21970"/>
    </row>
    <row r="21971" spans="30:30" x14ac:dyDescent="0.25">
      <c r="AD21971"/>
    </row>
    <row r="21972" spans="30:30" x14ac:dyDescent="0.25">
      <c r="AD21972"/>
    </row>
    <row r="21973" spans="30:30" x14ac:dyDescent="0.25">
      <c r="AD21973"/>
    </row>
    <row r="21974" spans="30:30" x14ac:dyDescent="0.25">
      <c r="AD21974"/>
    </row>
    <row r="21975" spans="30:30" x14ac:dyDescent="0.25">
      <c r="AD21975"/>
    </row>
    <row r="21976" spans="30:30" x14ac:dyDescent="0.25">
      <c r="AD21976"/>
    </row>
    <row r="21977" spans="30:30" x14ac:dyDescent="0.25">
      <c r="AD21977"/>
    </row>
    <row r="21978" spans="30:30" x14ac:dyDescent="0.25">
      <c r="AD21978"/>
    </row>
    <row r="21979" spans="30:30" x14ac:dyDescent="0.25">
      <c r="AD21979"/>
    </row>
    <row r="21980" spans="30:30" x14ac:dyDescent="0.25">
      <c r="AD21980"/>
    </row>
    <row r="21981" spans="30:30" x14ac:dyDescent="0.25">
      <c r="AD21981"/>
    </row>
    <row r="21982" spans="30:30" x14ac:dyDescent="0.25">
      <c r="AD21982"/>
    </row>
    <row r="21983" spans="30:30" x14ac:dyDescent="0.25">
      <c r="AD21983"/>
    </row>
    <row r="21984" spans="30:30" x14ac:dyDescent="0.25">
      <c r="AD21984"/>
    </row>
    <row r="21985" spans="30:30" x14ac:dyDescent="0.25">
      <c r="AD21985"/>
    </row>
    <row r="21986" spans="30:30" x14ac:dyDescent="0.25">
      <c r="AD21986"/>
    </row>
    <row r="21987" spans="30:30" x14ac:dyDescent="0.25">
      <c r="AD21987"/>
    </row>
    <row r="21988" spans="30:30" x14ac:dyDescent="0.25">
      <c r="AD21988"/>
    </row>
    <row r="21989" spans="30:30" x14ac:dyDescent="0.25">
      <c r="AD21989"/>
    </row>
    <row r="21990" spans="30:30" x14ac:dyDescent="0.25">
      <c r="AD21990"/>
    </row>
    <row r="21991" spans="30:30" x14ac:dyDescent="0.25">
      <c r="AD21991"/>
    </row>
    <row r="21992" spans="30:30" x14ac:dyDescent="0.25">
      <c r="AD21992"/>
    </row>
    <row r="21993" spans="30:30" x14ac:dyDescent="0.25">
      <c r="AD21993"/>
    </row>
    <row r="21994" spans="30:30" x14ac:dyDescent="0.25">
      <c r="AD21994"/>
    </row>
    <row r="21995" spans="30:30" x14ac:dyDescent="0.25">
      <c r="AD21995"/>
    </row>
    <row r="21996" spans="30:30" x14ac:dyDescent="0.25">
      <c r="AD21996"/>
    </row>
    <row r="21997" spans="30:30" x14ac:dyDescent="0.25">
      <c r="AD21997"/>
    </row>
    <row r="21998" spans="30:30" x14ac:dyDescent="0.25">
      <c r="AD21998"/>
    </row>
    <row r="21999" spans="30:30" x14ac:dyDescent="0.25">
      <c r="AD21999"/>
    </row>
    <row r="22000" spans="30:30" x14ac:dyDescent="0.25">
      <c r="AD22000"/>
    </row>
    <row r="22001" spans="30:30" x14ac:dyDescent="0.25">
      <c r="AD22001"/>
    </row>
    <row r="22002" spans="30:30" x14ac:dyDescent="0.25">
      <c r="AD22002"/>
    </row>
    <row r="22003" spans="30:30" x14ac:dyDescent="0.25">
      <c r="AD22003"/>
    </row>
    <row r="22004" spans="30:30" x14ac:dyDescent="0.25">
      <c r="AD22004"/>
    </row>
    <row r="22005" spans="30:30" x14ac:dyDescent="0.25">
      <c r="AD22005"/>
    </row>
    <row r="22006" spans="30:30" x14ac:dyDescent="0.25">
      <c r="AD22006"/>
    </row>
    <row r="22007" spans="30:30" x14ac:dyDescent="0.25">
      <c r="AD22007"/>
    </row>
    <row r="22008" spans="30:30" x14ac:dyDescent="0.25">
      <c r="AD22008"/>
    </row>
    <row r="22009" spans="30:30" x14ac:dyDescent="0.25">
      <c r="AD22009"/>
    </row>
    <row r="22010" spans="30:30" x14ac:dyDescent="0.25">
      <c r="AD22010"/>
    </row>
    <row r="22011" spans="30:30" x14ac:dyDescent="0.25">
      <c r="AD22011"/>
    </row>
    <row r="22012" spans="30:30" x14ac:dyDescent="0.25">
      <c r="AD22012"/>
    </row>
    <row r="22013" spans="30:30" x14ac:dyDescent="0.25">
      <c r="AD22013"/>
    </row>
    <row r="22014" spans="30:30" x14ac:dyDescent="0.25">
      <c r="AD22014"/>
    </row>
    <row r="22015" spans="30:30" x14ac:dyDescent="0.25">
      <c r="AD22015"/>
    </row>
    <row r="22016" spans="30:30" x14ac:dyDescent="0.25">
      <c r="AD22016"/>
    </row>
    <row r="22017" spans="30:30" x14ac:dyDescent="0.25">
      <c r="AD22017"/>
    </row>
    <row r="22018" spans="30:30" x14ac:dyDescent="0.25">
      <c r="AD22018"/>
    </row>
    <row r="22019" spans="30:30" x14ac:dyDescent="0.25">
      <c r="AD22019"/>
    </row>
    <row r="22020" spans="30:30" x14ac:dyDescent="0.25">
      <c r="AD22020"/>
    </row>
    <row r="22021" spans="30:30" x14ac:dyDescent="0.25">
      <c r="AD22021"/>
    </row>
    <row r="22022" spans="30:30" x14ac:dyDescent="0.25">
      <c r="AD22022"/>
    </row>
    <row r="22023" spans="30:30" x14ac:dyDescent="0.25">
      <c r="AD22023"/>
    </row>
    <row r="22024" spans="30:30" x14ac:dyDescent="0.25">
      <c r="AD22024"/>
    </row>
    <row r="22025" spans="30:30" x14ac:dyDescent="0.25">
      <c r="AD22025"/>
    </row>
    <row r="22026" spans="30:30" x14ac:dyDescent="0.25">
      <c r="AD22026"/>
    </row>
    <row r="22027" spans="30:30" x14ac:dyDescent="0.25">
      <c r="AD22027"/>
    </row>
    <row r="22028" spans="30:30" x14ac:dyDescent="0.25">
      <c r="AD22028"/>
    </row>
    <row r="22029" spans="30:30" x14ac:dyDescent="0.25">
      <c r="AD22029"/>
    </row>
    <row r="22030" spans="30:30" x14ac:dyDescent="0.25">
      <c r="AD22030"/>
    </row>
    <row r="22031" spans="30:30" x14ac:dyDescent="0.25">
      <c r="AD22031"/>
    </row>
    <row r="22032" spans="30:30" x14ac:dyDescent="0.25">
      <c r="AD22032"/>
    </row>
    <row r="22033" spans="30:30" x14ac:dyDescent="0.25">
      <c r="AD22033"/>
    </row>
    <row r="22034" spans="30:30" x14ac:dyDescent="0.25">
      <c r="AD22034"/>
    </row>
    <row r="22035" spans="30:30" x14ac:dyDescent="0.25">
      <c r="AD22035"/>
    </row>
    <row r="22036" spans="30:30" x14ac:dyDescent="0.25">
      <c r="AD22036"/>
    </row>
    <row r="22037" spans="30:30" x14ac:dyDescent="0.25">
      <c r="AD22037"/>
    </row>
    <row r="22038" spans="30:30" x14ac:dyDescent="0.25">
      <c r="AD22038"/>
    </row>
    <row r="22039" spans="30:30" x14ac:dyDescent="0.25">
      <c r="AD22039"/>
    </row>
    <row r="22040" spans="30:30" x14ac:dyDescent="0.25">
      <c r="AD22040"/>
    </row>
    <row r="22041" spans="30:30" x14ac:dyDescent="0.25">
      <c r="AD22041"/>
    </row>
    <row r="22042" spans="30:30" x14ac:dyDescent="0.25">
      <c r="AD22042"/>
    </row>
    <row r="22043" spans="30:30" x14ac:dyDescent="0.25">
      <c r="AD22043"/>
    </row>
    <row r="22044" spans="30:30" x14ac:dyDescent="0.25">
      <c r="AD22044"/>
    </row>
    <row r="22045" spans="30:30" x14ac:dyDescent="0.25">
      <c r="AD22045"/>
    </row>
    <row r="22046" spans="30:30" x14ac:dyDescent="0.25">
      <c r="AD22046"/>
    </row>
    <row r="22047" spans="30:30" x14ac:dyDescent="0.25">
      <c r="AD22047"/>
    </row>
    <row r="22048" spans="30:30" x14ac:dyDescent="0.25">
      <c r="AD22048"/>
    </row>
    <row r="22049" spans="30:30" x14ac:dyDescent="0.25">
      <c r="AD22049"/>
    </row>
    <row r="22050" spans="30:30" x14ac:dyDescent="0.25">
      <c r="AD22050"/>
    </row>
    <row r="22051" spans="30:30" x14ac:dyDescent="0.25">
      <c r="AD22051"/>
    </row>
    <row r="22052" spans="30:30" x14ac:dyDescent="0.25">
      <c r="AD22052"/>
    </row>
    <row r="22053" spans="30:30" x14ac:dyDescent="0.25">
      <c r="AD22053"/>
    </row>
    <row r="22054" spans="30:30" x14ac:dyDescent="0.25">
      <c r="AD22054"/>
    </row>
    <row r="22055" spans="30:30" x14ac:dyDescent="0.25">
      <c r="AD22055"/>
    </row>
    <row r="22056" spans="30:30" x14ac:dyDescent="0.25">
      <c r="AD22056"/>
    </row>
    <row r="22057" spans="30:30" x14ac:dyDescent="0.25">
      <c r="AD22057"/>
    </row>
    <row r="22058" spans="30:30" x14ac:dyDescent="0.25">
      <c r="AD22058"/>
    </row>
    <row r="22059" spans="30:30" x14ac:dyDescent="0.25">
      <c r="AD22059"/>
    </row>
    <row r="22060" spans="30:30" x14ac:dyDescent="0.25">
      <c r="AD22060"/>
    </row>
    <row r="22061" spans="30:30" x14ac:dyDescent="0.25">
      <c r="AD22061"/>
    </row>
    <row r="22062" spans="30:30" x14ac:dyDescent="0.25">
      <c r="AD22062"/>
    </row>
    <row r="22063" spans="30:30" x14ac:dyDescent="0.25">
      <c r="AD22063"/>
    </row>
    <row r="22064" spans="30:30" x14ac:dyDescent="0.25">
      <c r="AD22064"/>
    </row>
    <row r="22065" spans="30:30" x14ac:dyDescent="0.25">
      <c r="AD22065"/>
    </row>
    <row r="22066" spans="30:30" x14ac:dyDescent="0.25">
      <c r="AD22066"/>
    </row>
    <row r="22067" spans="30:30" x14ac:dyDescent="0.25">
      <c r="AD22067"/>
    </row>
    <row r="22068" spans="30:30" x14ac:dyDescent="0.25">
      <c r="AD22068"/>
    </row>
    <row r="22069" spans="30:30" x14ac:dyDescent="0.25">
      <c r="AD22069"/>
    </row>
    <row r="22070" spans="30:30" x14ac:dyDescent="0.25">
      <c r="AD22070"/>
    </row>
    <row r="22071" spans="30:30" x14ac:dyDescent="0.25">
      <c r="AD22071"/>
    </row>
    <row r="22072" spans="30:30" x14ac:dyDescent="0.25">
      <c r="AD22072"/>
    </row>
    <row r="22073" spans="30:30" x14ac:dyDescent="0.25">
      <c r="AD22073"/>
    </row>
    <row r="22074" spans="30:30" x14ac:dyDescent="0.25">
      <c r="AD22074"/>
    </row>
    <row r="22075" spans="30:30" x14ac:dyDescent="0.25">
      <c r="AD22075"/>
    </row>
    <row r="22076" spans="30:30" x14ac:dyDescent="0.25">
      <c r="AD22076"/>
    </row>
    <row r="22077" spans="30:30" x14ac:dyDescent="0.25">
      <c r="AD22077"/>
    </row>
    <row r="22078" spans="30:30" x14ac:dyDescent="0.25">
      <c r="AD22078"/>
    </row>
    <row r="22079" spans="30:30" x14ac:dyDescent="0.25">
      <c r="AD22079"/>
    </row>
    <row r="22080" spans="30:30" x14ac:dyDescent="0.25">
      <c r="AD22080"/>
    </row>
    <row r="22081" spans="30:30" x14ac:dyDescent="0.25">
      <c r="AD22081"/>
    </row>
    <row r="22082" spans="30:30" x14ac:dyDescent="0.25">
      <c r="AD22082"/>
    </row>
    <row r="22083" spans="30:30" x14ac:dyDescent="0.25">
      <c r="AD22083"/>
    </row>
    <row r="22084" spans="30:30" x14ac:dyDescent="0.25">
      <c r="AD22084"/>
    </row>
    <row r="22085" spans="30:30" x14ac:dyDescent="0.25">
      <c r="AD22085"/>
    </row>
    <row r="22086" spans="30:30" x14ac:dyDescent="0.25">
      <c r="AD22086"/>
    </row>
    <row r="22087" spans="30:30" x14ac:dyDescent="0.25">
      <c r="AD22087"/>
    </row>
    <row r="22088" spans="30:30" x14ac:dyDescent="0.25">
      <c r="AD22088"/>
    </row>
    <row r="22089" spans="30:30" x14ac:dyDescent="0.25">
      <c r="AD22089"/>
    </row>
    <row r="22090" spans="30:30" x14ac:dyDescent="0.25">
      <c r="AD22090"/>
    </row>
    <row r="22091" spans="30:30" x14ac:dyDescent="0.25">
      <c r="AD22091"/>
    </row>
    <row r="22092" spans="30:30" x14ac:dyDescent="0.25">
      <c r="AD22092"/>
    </row>
    <row r="22093" spans="30:30" x14ac:dyDescent="0.25">
      <c r="AD22093"/>
    </row>
    <row r="22094" spans="30:30" x14ac:dyDescent="0.25">
      <c r="AD22094"/>
    </row>
    <row r="22095" spans="30:30" x14ac:dyDescent="0.25">
      <c r="AD22095"/>
    </row>
    <row r="22096" spans="30:30" x14ac:dyDescent="0.25">
      <c r="AD22096"/>
    </row>
    <row r="22097" spans="30:30" x14ac:dyDescent="0.25">
      <c r="AD22097"/>
    </row>
    <row r="22098" spans="30:30" x14ac:dyDescent="0.25">
      <c r="AD22098"/>
    </row>
    <row r="22099" spans="30:30" x14ac:dyDescent="0.25">
      <c r="AD22099"/>
    </row>
    <row r="22100" spans="30:30" x14ac:dyDescent="0.25">
      <c r="AD22100"/>
    </row>
    <row r="22101" spans="30:30" x14ac:dyDescent="0.25">
      <c r="AD22101"/>
    </row>
    <row r="22102" spans="30:30" x14ac:dyDescent="0.25">
      <c r="AD22102"/>
    </row>
    <row r="22103" spans="30:30" x14ac:dyDescent="0.25">
      <c r="AD22103"/>
    </row>
    <row r="22104" spans="30:30" x14ac:dyDescent="0.25">
      <c r="AD22104"/>
    </row>
    <row r="22105" spans="30:30" x14ac:dyDescent="0.25">
      <c r="AD22105"/>
    </row>
    <row r="22106" spans="30:30" x14ac:dyDescent="0.25">
      <c r="AD22106"/>
    </row>
    <row r="22107" spans="30:30" x14ac:dyDescent="0.25">
      <c r="AD22107"/>
    </row>
    <row r="22108" spans="30:30" x14ac:dyDescent="0.25">
      <c r="AD22108"/>
    </row>
    <row r="22109" spans="30:30" x14ac:dyDescent="0.25">
      <c r="AD22109"/>
    </row>
    <row r="22110" spans="30:30" x14ac:dyDescent="0.25">
      <c r="AD22110"/>
    </row>
    <row r="22111" spans="30:30" x14ac:dyDescent="0.25">
      <c r="AD22111"/>
    </row>
    <row r="22112" spans="30:30" x14ac:dyDescent="0.25">
      <c r="AD22112"/>
    </row>
    <row r="22113" spans="30:30" x14ac:dyDescent="0.25">
      <c r="AD22113"/>
    </row>
    <row r="22114" spans="30:30" x14ac:dyDescent="0.25">
      <c r="AD22114"/>
    </row>
    <row r="22115" spans="30:30" x14ac:dyDescent="0.25">
      <c r="AD22115"/>
    </row>
    <row r="22116" spans="30:30" x14ac:dyDescent="0.25">
      <c r="AD22116"/>
    </row>
    <row r="22117" spans="30:30" x14ac:dyDescent="0.25">
      <c r="AD22117"/>
    </row>
    <row r="22118" spans="30:30" x14ac:dyDescent="0.25">
      <c r="AD22118"/>
    </row>
    <row r="22119" spans="30:30" x14ac:dyDescent="0.25">
      <c r="AD22119"/>
    </row>
    <row r="22120" spans="30:30" x14ac:dyDescent="0.25">
      <c r="AD22120"/>
    </row>
    <row r="22121" spans="30:30" x14ac:dyDescent="0.25">
      <c r="AD22121"/>
    </row>
    <row r="22122" spans="30:30" x14ac:dyDescent="0.25">
      <c r="AD22122"/>
    </row>
    <row r="22123" spans="30:30" x14ac:dyDescent="0.25">
      <c r="AD22123"/>
    </row>
    <row r="22124" spans="30:30" x14ac:dyDescent="0.25">
      <c r="AD22124"/>
    </row>
    <row r="22125" spans="30:30" x14ac:dyDescent="0.25">
      <c r="AD22125"/>
    </row>
    <row r="22126" spans="30:30" x14ac:dyDescent="0.25">
      <c r="AD22126"/>
    </row>
    <row r="22127" spans="30:30" x14ac:dyDescent="0.25">
      <c r="AD22127"/>
    </row>
    <row r="22128" spans="30:30" x14ac:dyDescent="0.25">
      <c r="AD22128"/>
    </row>
    <row r="22129" spans="30:30" x14ac:dyDescent="0.25">
      <c r="AD22129"/>
    </row>
    <row r="22130" spans="30:30" x14ac:dyDescent="0.25">
      <c r="AD22130"/>
    </row>
    <row r="22131" spans="30:30" x14ac:dyDescent="0.25">
      <c r="AD22131"/>
    </row>
    <row r="22132" spans="30:30" x14ac:dyDescent="0.25">
      <c r="AD22132"/>
    </row>
    <row r="22133" spans="30:30" x14ac:dyDescent="0.25">
      <c r="AD22133"/>
    </row>
    <row r="22134" spans="30:30" x14ac:dyDescent="0.25">
      <c r="AD22134"/>
    </row>
    <row r="22135" spans="30:30" x14ac:dyDescent="0.25">
      <c r="AD22135"/>
    </row>
    <row r="22136" spans="30:30" x14ac:dyDescent="0.25">
      <c r="AD22136"/>
    </row>
    <row r="22137" spans="30:30" x14ac:dyDescent="0.25">
      <c r="AD22137"/>
    </row>
    <row r="22138" spans="30:30" x14ac:dyDescent="0.25">
      <c r="AD22138"/>
    </row>
    <row r="22139" spans="30:30" x14ac:dyDescent="0.25">
      <c r="AD22139"/>
    </row>
    <row r="22140" spans="30:30" x14ac:dyDescent="0.25">
      <c r="AD22140"/>
    </row>
    <row r="22141" spans="30:30" x14ac:dyDescent="0.25">
      <c r="AD22141"/>
    </row>
    <row r="22142" spans="30:30" x14ac:dyDescent="0.25">
      <c r="AD22142"/>
    </row>
    <row r="22143" spans="30:30" x14ac:dyDescent="0.25">
      <c r="AD22143"/>
    </row>
    <row r="22144" spans="30:30" x14ac:dyDescent="0.25">
      <c r="AD22144"/>
    </row>
    <row r="22145" spans="30:30" x14ac:dyDescent="0.25">
      <c r="AD22145"/>
    </row>
    <row r="22146" spans="30:30" x14ac:dyDescent="0.25">
      <c r="AD22146"/>
    </row>
    <row r="22147" spans="30:30" x14ac:dyDescent="0.25">
      <c r="AD22147"/>
    </row>
    <row r="22148" spans="30:30" x14ac:dyDescent="0.25">
      <c r="AD22148"/>
    </row>
    <row r="22149" spans="30:30" x14ac:dyDescent="0.25">
      <c r="AD22149"/>
    </row>
    <row r="22150" spans="30:30" x14ac:dyDescent="0.25">
      <c r="AD22150"/>
    </row>
    <row r="22151" spans="30:30" x14ac:dyDescent="0.25">
      <c r="AD22151"/>
    </row>
    <row r="22152" spans="30:30" x14ac:dyDescent="0.25">
      <c r="AD22152"/>
    </row>
    <row r="22153" spans="30:30" x14ac:dyDescent="0.25">
      <c r="AD22153"/>
    </row>
    <row r="22154" spans="30:30" x14ac:dyDescent="0.25">
      <c r="AD22154"/>
    </row>
    <row r="22155" spans="30:30" x14ac:dyDescent="0.25">
      <c r="AD22155"/>
    </row>
    <row r="22156" spans="30:30" x14ac:dyDescent="0.25">
      <c r="AD22156"/>
    </row>
    <row r="22157" spans="30:30" x14ac:dyDescent="0.25">
      <c r="AD22157"/>
    </row>
    <row r="22158" spans="30:30" x14ac:dyDescent="0.25">
      <c r="AD22158"/>
    </row>
    <row r="22159" spans="30:30" x14ac:dyDescent="0.25">
      <c r="AD22159"/>
    </row>
    <row r="22160" spans="30:30" x14ac:dyDescent="0.25">
      <c r="AD22160"/>
    </row>
    <row r="22161" spans="30:30" x14ac:dyDescent="0.25">
      <c r="AD22161"/>
    </row>
    <row r="22162" spans="30:30" x14ac:dyDescent="0.25">
      <c r="AD22162"/>
    </row>
    <row r="22163" spans="30:30" x14ac:dyDescent="0.25">
      <c r="AD22163"/>
    </row>
    <row r="22164" spans="30:30" x14ac:dyDescent="0.25">
      <c r="AD22164"/>
    </row>
    <row r="22165" spans="30:30" x14ac:dyDescent="0.25">
      <c r="AD22165"/>
    </row>
    <row r="22166" spans="30:30" x14ac:dyDescent="0.25">
      <c r="AD22166"/>
    </row>
    <row r="22167" spans="30:30" x14ac:dyDescent="0.25">
      <c r="AD22167"/>
    </row>
    <row r="22168" spans="30:30" x14ac:dyDescent="0.25">
      <c r="AD22168"/>
    </row>
    <row r="22169" spans="30:30" x14ac:dyDescent="0.25">
      <c r="AD22169"/>
    </row>
    <row r="22170" spans="30:30" x14ac:dyDescent="0.25">
      <c r="AD22170"/>
    </row>
    <row r="22171" spans="30:30" x14ac:dyDescent="0.25">
      <c r="AD22171"/>
    </row>
    <row r="22172" spans="30:30" x14ac:dyDescent="0.25">
      <c r="AD22172"/>
    </row>
    <row r="22173" spans="30:30" x14ac:dyDescent="0.25">
      <c r="AD22173"/>
    </row>
    <row r="22174" spans="30:30" x14ac:dyDescent="0.25">
      <c r="AD22174"/>
    </row>
    <row r="22175" spans="30:30" x14ac:dyDescent="0.25">
      <c r="AD22175"/>
    </row>
    <row r="22176" spans="30:30" x14ac:dyDescent="0.25">
      <c r="AD22176"/>
    </row>
    <row r="22177" spans="30:30" x14ac:dyDescent="0.25">
      <c r="AD22177"/>
    </row>
    <row r="22178" spans="30:30" x14ac:dyDescent="0.25">
      <c r="AD22178"/>
    </row>
    <row r="22179" spans="30:30" x14ac:dyDescent="0.25">
      <c r="AD22179"/>
    </row>
    <row r="22180" spans="30:30" x14ac:dyDescent="0.25">
      <c r="AD22180"/>
    </row>
    <row r="22181" spans="30:30" x14ac:dyDescent="0.25">
      <c r="AD22181"/>
    </row>
    <row r="22182" spans="30:30" x14ac:dyDescent="0.25">
      <c r="AD22182"/>
    </row>
    <row r="22183" spans="30:30" x14ac:dyDescent="0.25">
      <c r="AD22183"/>
    </row>
    <row r="22184" spans="30:30" x14ac:dyDescent="0.25">
      <c r="AD22184"/>
    </row>
    <row r="22185" spans="30:30" x14ac:dyDescent="0.25">
      <c r="AD22185"/>
    </row>
    <row r="22186" spans="30:30" x14ac:dyDescent="0.25">
      <c r="AD22186"/>
    </row>
    <row r="22187" spans="30:30" x14ac:dyDescent="0.25">
      <c r="AD22187"/>
    </row>
    <row r="22188" spans="30:30" x14ac:dyDescent="0.25">
      <c r="AD22188"/>
    </row>
    <row r="22189" spans="30:30" x14ac:dyDescent="0.25">
      <c r="AD22189"/>
    </row>
    <row r="22190" spans="30:30" x14ac:dyDescent="0.25">
      <c r="AD22190"/>
    </row>
    <row r="22191" spans="30:30" x14ac:dyDescent="0.25">
      <c r="AD22191"/>
    </row>
    <row r="22192" spans="30:30" x14ac:dyDescent="0.25">
      <c r="AD22192"/>
    </row>
    <row r="22193" spans="30:30" x14ac:dyDescent="0.25">
      <c r="AD22193"/>
    </row>
    <row r="22194" spans="30:30" x14ac:dyDescent="0.25">
      <c r="AD22194"/>
    </row>
    <row r="22195" spans="30:30" x14ac:dyDescent="0.25">
      <c r="AD22195"/>
    </row>
    <row r="22196" spans="30:30" x14ac:dyDescent="0.25">
      <c r="AD22196"/>
    </row>
    <row r="22197" spans="30:30" x14ac:dyDescent="0.25">
      <c r="AD22197"/>
    </row>
    <row r="22198" spans="30:30" x14ac:dyDescent="0.25">
      <c r="AD22198"/>
    </row>
    <row r="22199" spans="30:30" x14ac:dyDescent="0.25">
      <c r="AD22199"/>
    </row>
    <row r="22200" spans="30:30" x14ac:dyDescent="0.25">
      <c r="AD22200"/>
    </row>
    <row r="22201" spans="30:30" x14ac:dyDescent="0.25">
      <c r="AD22201"/>
    </row>
    <row r="22202" spans="30:30" x14ac:dyDescent="0.25">
      <c r="AD22202"/>
    </row>
    <row r="22203" spans="30:30" x14ac:dyDescent="0.25">
      <c r="AD22203"/>
    </row>
    <row r="22204" spans="30:30" x14ac:dyDescent="0.25">
      <c r="AD22204"/>
    </row>
    <row r="22205" spans="30:30" x14ac:dyDescent="0.25">
      <c r="AD22205"/>
    </row>
    <row r="22206" spans="30:30" x14ac:dyDescent="0.25">
      <c r="AD22206"/>
    </row>
    <row r="22207" spans="30:30" x14ac:dyDescent="0.25">
      <c r="AD22207"/>
    </row>
    <row r="22208" spans="30:30" x14ac:dyDescent="0.25">
      <c r="AD22208"/>
    </row>
    <row r="22209" spans="30:30" x14ac:dyDescent="0.25">
      <c r="AD22209"/>
    </row>
    <row r="22210" spans="30:30" x14ac:dyDescent="0.25">
      <c r="AD22210"/>
    </row>
    <row r="22211" spans="30:30" x14ac:dyDescent="0.25">
      <c r="AD22211"/>
    </row>
    <row r="22212" spans="30:30" x14ac:dyDescent="0.25">
      <c r="AD22212"/>
    </row>
    <row r="22213" spans="30:30" x14ac:dyDescent="0.25">
      <c r="AD22213"/>
    </row>
    <row r="22214" spans="30:30" x14ac:dyDescent="0.25">
      <c r="AD22214"/>
    </row>
    <row r="22215" spans="30:30" x14ac:dyDescent="0.25">
      <c r="AD22215"/>
    </row>
    <row r="22216" spans="30:30" x14ac:dyDescent="0.25">
      <c r="AD22216"/>
    </row>
    <row r="22217" spans="30:30" x14ac:dyDescent="0.25">
      <c r="AD22217"/>
    </row>
    <row r="22218" spans="30:30" x14ac:dyDescent="0.25">
      <c r="AD22218"/>
    </row>
    <row r="22219" spans="30:30" x14ac:dyDescent="0.25">
      <c r="AD22219"/>
    </row>
    <row r="22220" spans="30:30" x14ac:dyDescent="0.25">
      <c r="AD22220"/>
    </row>
    <row r="22221" spans="30:30" x14ac:dyDescent="0.25">
      <c r="AD22221"/>
    </row>
    <row r="22222" spans="30:30" x14ac:dyDescent="0.25">
      <c r="AD22222"/>
    </row>
    <row r="22223" spans="30:30" x14ac:dyDescent="0.25">
      <c r="AD22223"/>
    </row>
    <row r="22224" spans="30:30" x14ac:dyDescent="0.25">
      <c r="AD22224"/>
    </row>
    <row r="22225" spans="30:30" x14ac:dyDescent="0.25">
      <c r="AD22225"/>
    </row>
    <row r="22226" spans="30:30" x14ac:dyDescent="0.25">
      <c r="AD22226"/>
    </row>
    <row r="22227" spans="30:30" x14ac:dyDescent="0.25">
      <c r="AD22227"/>
    </row>
    <row r="22228" spans="30:30" x14ac:dyDescent="0.25">
      <c r="AD22228"/>
    </row>
    <row r="22229" spans="30:30" x14ac:dyDescent="0.25">
      <c r="AD22229"/>
    </row>
    <row r="22230" spans="30:30" x14ac:dyDescent="0.25">
      <c r="AD22230"/>
    </row>
    <row r="22231" spans="30:30" x14ac:dyDescent="0.25">
      <c r="AD22231"/>
    </row>
    <row r="22232" spans="30:30" x14ac:dyDescent="0.25">
      <c r="AD22232"/>
    </row>
    <row r="22233" spans="30:30" x14ac:dyDescent="0.25">
      <c r="AD22233"/>
    </row>
    <row r="22234" spans="30:30" x14ac:dyDescent="0.25">
      <c r="AD22234"/>
    </row>
    <row r="22235" spans="30:30" x14ac:dyDescent="0.25">
      <c r="AD22235"/>
    </row>
    <row r="22236" spans="30:30" x14ac:dyDescent="0.25">
      <c r="AD22236"/>
    </row>
    <row r="22237" spans="30:30" x14ac:dyDescent="0.25">
      <c r="AD22237"/>
    </row>
    <row r="22238" spans="30:30" x14ac:dyDescent="0.25">
      <c r="AD22238"/>
    </row>
    <row r="22239" spans="30:30" x14ac:dyDescent="0.25">
      <c r="AD22239"/>
    </row>
    <row r="22240" spans="30:30" x14ac:dyDescent="0.25">
      <c r="AD22240"/>
    </row>
    <row r="22241" spans="30:30" x14ac:dyDescent="0.25">
      <c r="AD22241"/>
    </row>
    <row r="22242" spans="30:30" x14ac:dyDescent="0.25">
      <c r="AD22242"/>
    </row>
    <row r="22243" spans="30:30" x14ac:dyDescent="0.25">
      <c r="AD22243"/>
    </row>
    <row r="22244" spans="30:30" x14ac:dyDescent="0.25">
      <c r="AD22244"/>
    </row>
    <row r="22245" spans="30:30" x14ac:dyDescent="0.25">
      <c r="AD22245"/>
    </row>
    <row r="22246" spans="30:30" x14ac:dyDescent="0.25">
      <c r="AD22246"/>
    </row>
    <row r="22247" spans="30:30" x14ac:dyDescent="0.25">
      <c r="AD22247"/>
    </row>
    <row r="22248" spans="30:30" x14ac:dyDescent="0.25">
      <c r="AD22248"/>
    </row>
    <row r="22249" spans="30:30" x14ac:dyDescent="0.25">
      <c r="AD22249"/>
    </row>
    <row r="22250" spans="30:30" x14ac:dyDescent="0.25">
      <c r="AD22250"/>
    </row>
    <row r="22251" spans="30:30" x14ac:dyDescent="0.25">
      <c r="AD22251"/>
    </row>
    <row r="22252" spans="30:30" x14ac:dyDescent="0.25">
      <c r="AD22252"/>
    </row>
    <row r="22253" spans="30:30" x14ac:dyDescent="0.25">
      <c r="AD22253"/>
    </row>
    <row r="22254" spans="30:30" x14ac:dyDescent="0.25">
      <c r="AD22254"/>
    </row>
    <row r="22255" spans="30:30" x14ac:dyDescent="0.25">
      <c r="AD22255"/>
    </row>
    <row r="22256" spans="30:30" x14ac:dyDescent="0.25">
      <c r="AD22256"/>
    </row>
    <row r="22257" spans="30:30" x14ac:dyDescent="0.25">
      <c r="AD22257"/>
    </row>
    <row r="22258" spans="30:30" x14ac:dyDescent="0.25">
      <c r="AD22258"/>
    </row>
    <row r="22259" spans="30:30" x14ac:dyDescent="0.25">
      <c r="AD22259"/>
    </row>
    <row r="22260" spans="30:30" x14ac:dyDescent="0.25">
      <c r="AD22260"/>
    </row>
    <row r="22261" spans="30:30" x14ac:dyDescent="0.25">
      <c r="AD22261"/>
    </row>
    <row r="22262" spans="30:30" x14ac:dyDescent="0.25">
      <c r="AD22262"/>
    </row>
    <row r="22263" spans="30:30" x14ac:dyDescent="0.25">
      <c r="AD22263"/>
    </row>
    <row r="22264" spans="30:30" x14ac:dyDescent="0.25">
      <c r="AD22264"/>
    </row>
    <row r="22265" spans="30:30" x14ac:dyDescent="0.25">
      <c r="AD22265"/>
    </row>
    <row r="22266" spans="30:30" x14ac:dyDescent="0.25">
      <c r="AD22266"/>
    </row>
    <row r="22267" spans="30:30" x14ac:dyDescent="0.25">
      <c r="AD22267"/>
    </row>
    <row r="22268" spans="30:30" x14ac:dyDescent="0.25">
      <c r="AD22268"/>
    </row>
    <row r="22269" spans="30:30" x14ac:dyDescent="0.25">
      <c r="AD22269"/>
    </row>
    <row r="22270" spans="30:30" x14ac:dyDescent="0.25">
      <c r="AD22270"/>
    </row>
    <row r="22271" spans="30:30" x14ac:dyDescent="0.25">
      <c r="AD22271"/>
    </row>
    <row r="22272" spans="30:30" x14ac:dyDescent="0.25">
      <c r="AD22272"/>
    </row>
    <row r="22273" spans="30:30" x14ac:dyDescent="0.25">
      <c r="AD22273"/>
    </row>
    <row r="22274" spans="30:30" x14ac:dyDescent="0.25">
      <c r="AD22274"/>
    </row>
    <row r="22275" spans="30:30" x14ac:dyDescent="0.25">
      <c r="AD22275"/>
    </row>
    <row r="22276" spans="30:30" x14ac:dyDescent="0.25">
      <c r="AD22276"/>
    </row>
    <row r="22277" spans="30:30" x14ac:dyDescent="0.25">
      <c r="AD22277"/>
    </row>
    <row r="22278" spans="30:30" x14ac:dyDescent="0.25">
      <c r="AD22278"/>
    </row>
    <row r="22279" spans="30:30" x14ac:dyDescent="0.25">
      <c r="AD22279"/>
    </row>
    <row r="22280" spans="30:30" x14ac:dyDescent="0.25">
      <c r="AD22280"/>
    </row>
    <row r="22281" spans="30:30" x14ac:dyDescent="0.25">
      <c r="AD22281"/>
    </row>
    <row r="22282" spans="30:30" x14ac:dyDescent="0.25">
      <c r="AD22282"/>
    </row>
    <row r="22283" spans="30:30" x14ac:dyDescent="0.25">
      <c r="AD22283"/>
    </row>
    <row r="22284" spans="30:30" x14ac:dyDescent="0.25">
      <c r="AD22284"/>
    </row>
    <row r="22285" spans="30:30" x14ac:dyDescent="0.25">
      <c r="AD22285"/>
    </row>
    <row r="22286" spans="30:30" x14ac:dyDescent="0.25">
      <c r="AD22286"/>
    </row>
    <row r="22287" spans="30:30" x14ac:dyDescent="0.25">
      <c r="AD22287"/>
    </row>
    <row r="22288" spans="30:30" x14ac:dyDescent="0.25">
      <c r="AD22288"/>
    </row>
    <row r="22289" spans="30:30" x14ac:dyDescent="0.25">
      <c r="AD22289"/>
    </row>
    <row r="22290" spans="30:30" x14ac:dyDescent="0.25">
      <c r="AD22290"/>
    </row>
    <row r="22291" spans="30:30" x14ac:dyDescent="0.25">
      <c r="AD22291"/>
    </row>
    <row r="22292" spans="30:30" x14ac:dyDescent="0.25">
      <c r="AD22292"/>
    </row>
    <row r="22293" spans="30:30" x14ac:dyDescent="0.25">
      <c r="AD22293"/>
    </row>
    <row r="22294" spans="30:30" x14ac:dyDescent="0.25">
      <c r="AD22294"/>
    </row>
    <row r="22295" spans="30:30" x14ac:dyDescent="0.25">
      <c r="AD22295"/>
    </row>
    <row r="22296" spans="30:30" x14ac:dyDescent="0.25">
      <c r="AD22296"/>
    </row>
    <row r="22297" spans="30:30" x14ac:dyDescent="0.25">
      <c r="AD22297"/>
    </row>
    <row r="22298" spans="30:30" x14ac:dyDescent="0.25">
      <c r="AD22298"/>
    </row>
    <row r="22299" spans="30:30" x14ac:dyDescent="0.25">
      <c r="AD22299"/>
    </row>
    <row r="22300" spans="30:30" x14ac:dyDescent="0.25">
      <c r="AD22300"/>
    </row>
    <row r="22301" spans="30:30" x14ac:dyDescent="0.25">
      <c r="AD22301"/>
    </row>
    <row r="22302" spans="30:30" x14ac:dyDescent="0.25">
      <c r="AD22302"/>
    </row>
    <row r="22303" spans="30:30" x14ac:dyDescent="0.25">
      <c r="AD22303"/>
    </row>
    <row r="22304" spans="30:30" x14ac:dyDescent="0.25">
      <c r="AD22304"/>
    </row>
    <row r="22305" spans="30:30" x14ac:dyDescent="0.25">
      <c r="AD22305"/>
    </row>
    <row r="22306" spans="30:30" x14ac:dyDescent="0.25">
      <c r="AD22306"/>
    </row>
    <row r="22307" spans="30:30" x14ac:dyDescent="0.25">
      <c r="AD22307"/>
    </row>
    <row r="22308" spans="30:30" x14ac:dyDescent="0.25">
      <c r="AD22308"/>
    </row>
    <row r="22309" spans="30:30" x14ac:dyDescent="0.25">
      <c r="AD22309"/>
    </row>
    <row r="22310" spans="30:30" x14ac:dyDescent="0.25">
      <c r="AD22310"/>
    </row>
    <row r="22311" spans="30:30" x14ac:dyDescent="0.25">
      <c r="AD22311"/>
    </row>
    <row r="22312" spans="30:30" x14ac:dyDescent="0.25">
      <c r="AD22312"/>
    </row>
    <row r="22313" spans="30:30" x14ac:dyDescent="0.25">
      <c r="AD22313"/>
    </row>
    <row r="22314" spans="30:30" x14ac:dyDescent="0.25">
      <c r="AD22314"/>
    </row>
    <row r="22315" spans="30:30" x14ac:dyDescent="0.25">
      <c r="AD22315"/>
    </row>
    <row r="22316" spans="30:30" x14ac:dyDescent="0.25">
      <c r="AD22316"/>
    </row>
    <row r="22317" spans="30:30" x14ac:dyDescent="0.25">
      <c r="AD22317"/>
    </row>
    <row r="22318" spans="30:30" x14ac:dyDescent="0.25">
      <c r="AD22318"/>
    </row>
    <row r="22319" spans="30:30" x14ac:dyDescent="0.25">
      <c r="AD22319"/>
    </row>
    <row r="22320" spans="30:30" x14ac:dyDescent="0.25">
      <c r="AD22320"/>
    </row>
    <row r="22321" spans="30:30" x14ac:dyDescent="0.25">
      <c r="AD22321"/>
    </row>
    <row r="22322" spans="30:30" x14ac:dyDescent="0.25">
      <c r="AD22322"/>
    </row>
    <row r="22323" spans="30:30" x14ac:dyDescent="0.25">
      <c r="AD22323"/>
    </row>
    <row r="22324" spans="30:30" x14ac:dyDescent="0.25">
      <c r="AD22324"/>
    </row>
    <row r="22325" spans="30:30" x14ac:dyDescent="0.25">
      <c r="AD22325"/>
    </row>
    <row r="22326" spans="30:30" x14ac:dyDescent="0.25">
      <c r="AD22326"/>
    </row>
    <row r="22327" spans="30:30" x14ac:dyDescent="0.25">
      <c r="AD22327"/>
    </row>
    <row r="22328" spans="30:30" x14ac:dyDescent="0.25">
      <c r="AD22328"/>
    </row>
    <row r="22329" spans="30:30" x14ac:dyDescent="0.25">
      <c r="AD22329"/>
    </row>
    <row r="22330" spans="30:30" x14ac:dyDescent="0.25">
      <c r="AD22330"/>
    </row>
    <row r="22331" spans="30:30" x14ac:dyDescent="0.25">
      <c r="AD22331"/>
    </row>
    <row r="22332" spans="30:30" x14ac:dyDescent="0.25">
      <c r="AD22332"/>
    </row>
    <row r="22333" spans="30:30" x14ac:dyDescent="0.25">
      <c r="AD22333"/>
    </row>
    <row r="22334" spans="30:30" x14ac:dyDescent="0.25">
      <c r="AD22334"/>
    </row>
    <row r="22335" spans="30:30" x14ac:dyDescent="0.25">
      <c r="AD22335"/>
    </row>
    <row r="22336" spans="30:30" x14ac:dyDescent="0.25">
      <c r="AD22336"/>
    </row>
    <row r="22337" spans="30:30" x14ac:dyDescent="0.25">
      <c r="AD22337"/>
    </row>
    <row r="22338" spans="30:30" x14ac:dyDescent="0.25">
      <c r="AD22338"/>
    </row>
    <row r="22339" spans="30:30" x14ac:dyDescent="0.25">
      <c r="AD22339"/>
    </row>
    <row r="22340" spans="30:30" x14ac:dyDescent="0.25">
      <c r="AD22340"/>
    </row>
    <row r="22341" spans="30:30" x14ac:dyDescent="0.25">
      <c r="AD22341"/>
    </row>
    <row r="22342" spans="30:30" x14ac:dyDescent="0.25">
      <c r="AD22342"/>
    </row>
    <row r="22343" spans="30:30" x14ac:dyDescent="0.25">
      <c r="AD22343"/>
    </row>
    <row r="22344" spans="30:30" x14ac:dyDescent="0.25">
      <c r="AD22344"/>
    </row>
    <row r="22345" spans="30:30" x14ac:dyDescent="0.25">
      <c r="AD22345"/>
    </row>
    <row r="22346" spans="30:30" x14ac:dyDescent="0.25">
      <c r="AD22346"/>
    </row>
    <row r="22347" spans="30:30" x14ac:dyDescent="0.25">
      <c r="AD22347"/>
    </row>
    <row r="22348" spans="30:30" x14ac:dyDescent="0.25">
      <c r="AD22348"/>
    </row>
    <row r="22349" spans="30:30" x14ac:dyDescent="0.25">
      <c r="AD22349"/>
    </row>
    <row r="22350" spans="30:30" x14ac:dyDescent="0.25">
      <c r="AD22350"/>
    </row>
    <row r="22351" spans="30:30" x14ac:dyDescent="0.25">
      <c r="AD22351"/>
    </row>
    <row r="22352" spans="30:30" x14ac:dyDescent="0.25">
      <c r="AD22352"/>
    </row>
    <row r="22353" spans="30:30" x14ac:dyDescent="0.25">
      <c r="AD22353"/>
    </row>
    <row r="22354" spans="30:30" x14ac:dyDescent="0.25">
      <c r="AD22354"/>
    </row>
    <row r="22355" spans="30:30" x14ac:dyDescent="0.25">
      <c r="AD22355"/>
    </row>
    <row r="22356" spans="30:30" x14ac:dyDescent="0.25">
      <c r="AD22356"/>
    </row>
    <row r="22357" spans="30:30" x14ac:dyDescent="0.25">
      <c r="AD22357"/>
    </row>
    <row r="22358" spans="30:30" x14ac:dyDescent="0.25">
      <c r="AD22358"/>
    </row>
    <row r="22359" spans="30:30" x14ac:dyDescent="0.25">
      <c r="AD22359"/>
    </row>
    <row r="22360" spans="30:30" x14ac:dyDescent="0.25">
      <c r="AD22360"/>
    </row>
    <row r="22361" spans="30:30" x14ac:dyDescent="0.25">
      <c r="AD22361"/>
    </row>
    <row r="22362" spans="30:30" x14ac:dyDescent="0.25">
      <c r="AD22362"/>
    </row>
    <row r="22363" spans="30:30" x14ac:dyDescent="0.25">
      <c r="AD22363"/>
    </row>
    <row r="22364" spans="30:30" x14ac:dyDescent="0.25">
      <c r="AD22364"/>
    </row>
    <row r="22365" spans="30:30" x14ac:dyDescent="0.25">
      <c r="AD22365"/>
    </row>
    <row r="22366" spans="30:30" x14ac:dyDescent="0.25">
      <c r="AD22366"/>
    </row>
    <row r="22367" spans="30:30" x14ac:dyDescent="0.25">
      <c r="AD22367"/>
    </row>
    <row r="22368" spans="30:30" x14ac:dyDescent="0.25">
      <c r="AD22368"/>
    </row>
    <row r="22369" spans="30:30" x14ac:dyDescent="0.25">
      <c r="AD22369"/>
    </row>
    <row r="22370" spans="30:30" x14ac:dyDescent="0.25">
      <c r="AD22370"/>
    </row>
    <row r="22371" spans="30:30" x14ac:dyDescent="0.25">
      <c r="AD22371"/>
    </row>
    <row r="22372" spans="30:30" x14ac:dyDescent="0.25">
      <c r="AD22372"/>
    </row>
    <row r="22373" spans="30:30" x14ac:dyDescent="0.25">
      <c r="AD22373"/>
    </row>
    <row r="22374" spans="30:30" x14ac:dyDescent="0.25">
      <c r="AD22374"/>
    </row>
    <row r="22375" spans="30:30" x14ac:dyDescent="0.25">
      <c r="AD22375"/>
    </row>
    <row r="22376" spans="30:30" x14ac:dyDescent="0.25">
      <c r="AD22376"/>
    </row>
    <row r="22377" spans="30:30" x14ac:dyDescent="0.25">
      <c r="AD22377"/>
    </row>
    <row r="22378" spans="30:30" x14ac:dyDescent="0.25">
      <c r="AD22378"/>
    </row>
    <row r="22379" spans="30:30" x14ac:dyDescent="0.25">
      <c r="AD22379"/>
    </row>
    <row r="22380" spans="30:30" x14ac:dyDescent="0.25">
      <c r="AD22380"/>
    </row>
    <row r="22381" spans="30:30" x14ac:dyDescent="0.25">
      <c r="AD22381"/>
    </row>
    <row r="22382" spans="30:30" x14ac:dyDescent="0.25">
      <c r="AD22382"/>
    </row>
    <row r="22383" spans="30:30" x14ac:dyDescent="0.25">
      <c r="AD22383"/>
    </row>
    <row r="22384" spans="30:30" x14ac:dyDescent="0.25">
      <c r="AD22384"/>
    </row>
    <row r="22385" spans="30:30" x14ac:dyDescent="0.25">
      <c r="AD22385"/>
    </row>
    <row r="22386" spans="30:30" x14ac:dyDescent="0.25">
      <c r="AD22386"/>
    </row>
    <row r="22387" spans="30:30" x14ac:dyDescent="0.25">
      <c r="AD22387"/>
    </row>
    <row r="22388" spans="30:30" x14ac:dyDescent="0.25">
      <c r="AD22388"/>
    </row>
    <row r="22389" spans="30:30" x14ac:dyDescent="0.25">
      <c r="AD22389"/>
    </row>
    <row r="22390" spans="30:30" x14ac:dyDescent="0.25">
      <c r="AD22390"/>
    </row>
    <row r="22391" spans="30:30" x14ac:dyDescent="0.25">
      <c r="AD22391"/>
    </row>
    <row r="22392" spans="30:30" x14ac:dyDescent="0.25">
      <c r="AD22392"/>
    </row>
    <row r="22393" spans="30:30" x14ac:dyDescent="0.25">
      <c r="AD22393"/>
    </row>
    <row r="22394" spans="30:30" x14ac:dyDescent="0.25">
      <c r="AD22394"/>
    </row>
    <row r="22395" spans="30:30" x14ac:dyDescent="0.25">
      <c r="AD22395"/>
    </row>
    <row r="22396" spans="30:30" x14ac:dyDescent="0.25">
      <c r="AD22396"/>
    </row>
    <row r="22397" spans="30:30" x14ac:dyDescent="0.25">
      <c r="AD22397"/>
    </row>
    <row r="22398" spans="30:30" x14ac:dyDescent="0.25">
      <c r="AD22398"/>
    </row>
    <row r="22399" spans="30:30" x14ac:dyDescent="0.25">
      <c r="AD22399"/>
    </row>
    <row r="22400" spans="30:30" x14ac:dyDescent="0.25">
      <c r="AD22400"/>
    </row>
    <row r="22401" spans="30:30" x14ac:dyDescent="0.25">
      <c r="AD22401"/>
    </row>
    <row r="22402" spans="30:30" x14ac:dyDescent="0.25">
      <c r="AD22402"/>
    </row>
    <row r="22403" spans="30:30" x14ac:dyDescent="0.25">
      <c r="AD22403"/>
    </row>
    <row r="22404" spans="30:30" x14ac:dyDescent="0.25">
      <c r="AD22404"/>
    </row>
    <row r="22405" spans="30:30" x14ac:dyDescent="0.25">
      <c r="AD22405"/>
    </row>
    <row r="22406" spans="30:30" x14ac:dyDescent="0.25">
      <c r="AD22406"/>
    </row>
    <row r="22407" spans="30:30" x14ac:dyDescent="0.25">
      <c r="AD22407"/>
    </row>
    <row r="22408" spans="30:30" x14ac:dyDescent="0.25">
      <c r="AD22408"/>
    </row>
    <row r="22409" spans="30:30" x14ac:dyDescent="0.25">
      <c r="AD22409"/>
    </row>
    <row r="22410" spans="30:30" x14ac:dyDescent="0.25">
      <c r="AD22410"/>
    </row>
    <row r="22411" spans="30:30" x14ac:dyDescent="0.25">
      <c r="AD22411"/>
    </row>
    <row r="22412" spans="30:30" x14ac:dyDescent="0.25">
      <c r="AD22412"/>
    </row>
    <row r="22413" spans="30:30" x14ac:dyDescent="0.25">
      <c r="AD22413"/>
    </row>
    <row r="22414" spans="30:30" x14ac:dyDescent="0.25">
      <c r="AD22414"/>
    </row>
    <row r="22415" spans="30:30" x14ac:dyDescent="0.25">
      <c r="AD22415"/>
    </row>
    <row r="22416" spans="30:30" x14ac:dyDescent="0.25">
      <c r="AD22416"/>
    </row>
    <row r="22417" spans="30:30" x14ac:dyDescent="0.25">
      <c r="AD22417"/>
    </row>
    <row r="22418" spans="30:30" x14ac:dyDescent="0.25">
      <c r="AD22418"/>
    </row>
    <row r="22419" spans="30:30" x14ac:dyDescent="0.25">
      <c r="AD22419"/>
    </row>
    <row r="22420" spans="30:30" x14ac:dyDescent="0.25">
      <c r="AD22420"/>
    </row>
    <row r="22421" spans="30:30" x14ac:dyDescent="0.25">
      <c r="AD22421"/>
    </row>
    <row r="22422" spans="30:30" x14ac:dyDescent="0.25">
      <c r="AD22422"/>
    </row>
    <row r="22423" spans="30:30" x14ac:dyDescent="0.25">
      <c r="AD22423"/>
    </row>
    <row r="22424" spans="30:30" x14ac:dyDescent="0.25">
      <c r="AD22424"/>
    </row>
    <row r="22425" spans="30:30" x14ac:dyDescent="0.25">
      <c r="AD22425"/>
    </row>
    <row r="22426" spans="30:30" x14ac:dyDescent="0.25">
      <c r="AD22426"/>
    </row>
    <row r="22427" spans="30:30" x14ac:dyDescent="0.25">
      <c r="AD22427"/>
    </row>
    <row r="22428" spans="30:30" x14ac:dyDescent="0.25">
      <c r="AD22428"/>
    </row>
    <row r="22429" spans="30:30" x14ac:dyDescent="0.25">
      <c r="AD22429"/>
    </row>
    <row r="22430" spans="30:30" x14ac:dyDescent="0.25">
      <c r="AD22430"/>
    </row>
    <row r="22431" spans="30:30" x14ac:dyDescent="0.25">
      <c r="AD22431"/>
    </row>
    <row r="22432" spans="30:30" x14ac:dyDescent="0.25">
      <c r="AD22432"/>
    </row>
    <row r="22433" spans="30:30" x14ac:dyDescent="0.25">
      <c r="AD22433"/>
    </row>
    <row r="22434" spans="30:30" x14ac:dyDescent="0.25">
      <c r="AD22434"/>
    </row>
    <row r="22435" spans="30:30" x14ac:dyDescent="0.25">
      <c r="AD22435"/>
    </row>
    <row r="22436" spans="30:30" x14ac:dyDescent="0.25">
      <c r="AD22436"/>
    </row>
    <row r="22437" spans="30:30" x14ac:dyDescent="0.25">
      <c r="AD22437"/>
    </row>
    <row r="22438" spans="30:30" x14ac:dyDescent="0.25">
      <c r="AD22438"/>
    </row>
    <row r="22439" spans="30:30" x14ac:dyDescent="0.25">
      <c r="AD22439"/>
    </row>
    <row r="22440" spans="30:30" x14ac:dyDescent="0.25">
      <c r="AD22440"/>
    </row>
    <row r="22441" spans="30:30" x14ac:dyDescent="0.25">
      <c r="AD22441"/>
    </row>
    <row r="22442" spans="30:30" x14ac:dyDescent="0.25">
      <c r="AD22442"/>
    </row>
    <row r="22443" spans="30:30" x14ac:dyDescent="0.25">
      <c r="AD22443"/>
    </row>
    <row r="22444" spans="30:30" x14ac:dyDescent="0.25">
      <c r="AD22444"/>
    </row>
    <row r="22445" spans="30:30" x14ac:dyDescent="0.25">
      <c r="AD22445"/>
    </row>
    <row r="22446" spans="30:30" x14ac:dyDescent="0.25">
      <c r="AD22446"/>
    </row>
    <row r="22447" spans="30:30" x14ac:dyDescent="0.25">
      <c r="AD22447"/>
    </row>
    <row r="22448" spans="30:30" x14ac:dyDescent="0.25">
      <c r="AD22448"/>
    </row>
    <row r="22449" spans="30:30" x14ac:dyDescent="0.25">
      <c r="AD22449"/>
    </row>
    <row r="22450" spans="30:30" x14ac:dyDescent="0.25">
      <c r="AD22450"/>
    </row>
    <row r="22451" spans="30:30" x14ac:dyDescent="0.25">
      <c r="AD22451"/>
    </row>
    <row r="22452" spans="30:30" x14ac:dyDescent="0.25">
      <c r="AD22452"/>
    </row>
    <row r="22453" spans="30:30" x14ac:dyDescent="0.25">
      <c r="AD22453"/>
    </row>
    <row r="22454" spans="30:30" x14ac:dyDescent="0.25">
      <c r="AD22454"/>
    </row>
    <row r="22455" spans="30:30" x14ac:dyDescent="0.25">
      <c r="AD22455"/>
    </row>
    <row r="22456" spans="30:30" x14ac:dyDescent="0.25">
      <c r="AD22456"/>
    </row>
    <row r="22457" spans="30:30" x14ac:dyDescent="0.25">
      <c r="AD22457"/>
    </row>
    <row r="22458" spans="30:30" x14ac:dyDescent="0.25">
      <c r="AD22458"/>
    </row>
    <row r="22459" spans="30:30" x14ac:dyDescent="0.25">
      <c r="AD22459"/>
    </row>
    <row r="22460" spans="30:30" x14ac:dyDescent="0.25">
      <c r="AD22460"/>
    </row>
    <row r="22461" spans="30:30" x14ac:dyDescent="0.25">
      <c r="AD22461"/>
    </row>
    <row r="22462" spans="30:30" x14ac:dyDescent="0.25">
      <c r="AD22462"/>
    </row>
    <row r="22463" spans="30:30" x14ac:dyDescent="0.25">
      <c r="AD22463"/>
    </row>
    <row r="22464" spans="30:30" x14ac:dyDescent="0.25">
      <c r="AD22464"/>
    </row>
    <row r="22465" spans="30:30" x14ac:dyDescent="0.25">
      <c r="AD22465"/>
    </row>
    <row r="22466" spans="30:30" x14ac:dyDescent="0.25">
      <c r="AD22466"/>
    </row>
    <row r="22467" spans="30:30" x14ac:dyDescent="0.25">
      <c r="AD22467"/>
    </row>
    <row r="22468" spans="30:30" x14ac:dyDescent="0.25">
      <c r="AD22468"/>
    </row>
    <row r="22469" spans="30:30" x14ac:dyDescent="0.25">
      <c r="AD22469"/>
    </row>
    <row r="22470" spans="30:30" x14ac:dyDescent="0.25">
      <c r="AD22470"/>
    </row>
    <row r="22471" spans="30:30" x14ac:dyDescent="0.25">
      <c r="AD22471"/>
    </row>
    <row r="22472" spans="30:30" x14ac:dyDescent="0.25">
      <c r="AD22472"/>
    </row>
    <row r="22473" spans="30:30" x14ac:dyDescent="0.25">
      <c r="AD22473"/>
    </row>
    <row r="22474" spans="30:30" x14ac:dyDescent="0.25">
      <c r="AD22474"/>
    </row>
    <row r="22475" spans="30:30" x14ac:dyDescent="0.25">
      <c r="AD22475"/>
    </row>
    <row r="22476" spans="30:30" x14ac:dyDescent="0.25">
      <c r="AD22476"/>
    </row>
    <row r="22477" spans="30:30" x14ac:dyDescent="0.25">
      <c r="AD22477"/>
    </row>
    <row r="22478" spans="30:30" x14ac:dyDescent="0.25">
      <c r="AD22478"/>
    </row>
    <row r="22479" spans="30:30" x14ac:dyDescent="0.25">
      <c r="AD22479"/>
    </row>
    <row r="22480" spans="30:30" x14ac:dyDescent="0.25">
      <c r="AD22480"/>
    </row>
    <row r="22481" spans="30:30" x14ac:dyDescent="0.25">
      <c r="AD22481"/>
    </row>
    <row r="22482" spans="30:30" x14ac:dyDescent="0.25">
      <c r="AD22482"/>
    </row>
    <row r="22483" spans="30:30" x14ac:dyDescent="0.25">
      <c r="AD22483"/>
    </row>
    <row r="22484" spans="30:30" x14ac:dyDescent="0.25">
      <c r="AD22484"/>
    </row>
    <row r="22485" spans="30:30" x14ac:dyDescent="0.25">
      <c r="AD22485"/>
    </row>
    <row r="22486" spans="30:30" x14ac:dyDescent="0.25">
      <c r="AD22486"/>
    </row>
    <row r="22487" spans="30:30" x14ac:dyDescent="0.25">
      <c r="AD22487"/>
    </row>
    <row r="22488" spans="30:30" x14ac:dyDescent="0.25">
      <c r="AD22488"/>
    </row>
    <row r="22489" spans="30:30" x14ac:dyDescent="0.25">
      <c r="AD22489"/>
    </row>
    <row r="22490" spans="30:30" x14ac:dyDescent="0.25">
      <c r="AD22490"/>
    </row>
    <row r="22491" spans="30:30" x14ac:dyDescent="0.25">
      <c r="AD22491"/>
    </row>
    <row r="22492" spans="30:30" x14ac:dyDescent="0.25">
      <c r="AD22492"/>
    </row>
    <row r="22493" spans="30:30" x14ac:dyDescent="0.25">
      <c r="AD22493"/>
    </row>
    <row r="22494" spans="30:30" x14ac:dyDescent="0.25">
      <c r="AD22494"/>
    </row>
    <row r="22495" spans="30:30" x14ac:dyDescent="0.25">
      <c r="AD22495"/>
    </row>
    <row r="22496" spans="30:30" x14ac:dyDescent="0.25">
      <c r="AD22496"/>
    </row>
    <row r="22497" spans="30:30" x14ac:dyDescent="0.25">
      <c r="AD22497"/>
    </row>
    <row r="22498" spans="30:30" x14ac:dyDescent="0.25">
      <c r="AD22498"/>
    </row>
    <row r="22499" spans="30:30" x14ac:dyDescent="0.25">
      <c r="AD22499"/>
    </row>
    <row r="22500" spans="30:30" x14ac:dyDescent="0.25">
      <c r="AD22500"/>
    </row>
    <row r="22501" spans="30:30" x14ac:dyDescent="0.25">
      <c r="AD22501"/>
    </row>
    <row r="22502" spans="30:30" x14ac:dyDescent="0.25">
      <c r="AD22502"/>
    </row>
    <row r="22503" spans="30:30" x14ac:dyDescent="0.25">
      <c r="AD22503"/>
    </row>
    <row r="22504" spans="30:30" x14ac:dyDescent="0.25">
      <c r="AD22504"/>
    </row>
    <row r="22505" spans="30:30" x14ac:dyDescent="0.25">
      <c r="AD22505"/>
    </row>
    <row r="22506" spans="30:30" x14ac:dyDescent="0.25">
      <c r="AD22506"/>
    </row>
    <row r="22507" spans="30:30" x14ac:dyDescent="0.25">
      <c r="AD22507"/>
    </row>
    <row r="22508" spans="30:30" x14ac:dyDescent="0.25">
      <c r="AD22508"/>
    </row>
    <row r="22509" spans="30:30" x14ac:dyDescent="0.25">
      <c r="AD22509"/>
    </row>
    <row r="22510" spans="30:30" x14ac:dyDescent="0.25">
      <c r="AD22510"/>
    </row>
    <row r="22511" spans="30:30" x14ac:dyDescent="0.25">
      <c r="AD22511"/>
    </row>
    <row r="22512" spans="30:30" x14ac:dyDescent="0.25">
      <c r="AD22512"/>
    </row>
    <row r="22513" spans="30:30" x14ac:dyDescent="0.25">
      <c r="AD22513"/>
    </row>
    <row r="22514" spans="30:30" x14ac:dyDescent="0.25">
      <c r="AD22514"/>
    </row>
    <row r="22515" spans="30:30" x14ac:dyDescent="0.25">
      <c r="AD22515"/>
    </row>
    <row r="22516" spans="30:30" x14ac:dyDescent="0.25">
      <c r="AD22516"/>
    </row>
    <row r="22517" spans="30:30" x14ac:dyDescent="0.25">
      <c r="AD22517"/>
    </row>
    <row r="22518" spans="30:30" x14ac:dyDescent="0.25">
      <c r="AD22518"/>
    </row>
    <row r="22519" spans="30:30" x14ac:dyDescent="0.25">
      <c r="AD22519"/>
    </row>
    <row r="22520" spans="30:30" x14ac:dyDescent="0.25">
      <c r="AD22520"/>
    </row>
    <row r="22521" spans="30:30" x14ac:dyDescent="0.25">
      <c r="AD22521"/>
    </row>
    <row r="22522" spans="30:30" x14ac:dyDescent="0.25">
      <c r="AD22522"/>
    </row>
    <row r="22523" spans="30:30" x14ac:dyDescent="0.25">
      <c r="AD22523"/>
    </row>
    <row r="22524" spans="30:30" x14ac:dyDescent="0.25">
      <c r="AD22524"/>
    </row>
    <row r="22525" spans="30:30" x14ac:dyDescent="0.25">
      <c r="AD22525"/>
    </row>
    <row r="22526" spans="30:30" x14ac:dyDescent="0.25">
      <c r="AD22526"/>
    </row>
    <row r="22527" spans="30:30" x14ac:dyDescent="0.25">
      <c r="AD22527"/>
    </row>
    <row r="22528" spans="30:30" x14ac:dyDescent="0.25">
      <c r="AD22528"/>
    </row>
    <row r="22529" spans="30:30" x14ac:dyDescent="0.25">
      <c r="AD22529"/>
    </row>
    <row r="22530" spans="30:30" x14ac:dyDescent="0.25">
      <c r="AD22530"/>
    </row>
    <row r="22531" spans="30:30" x14ac:dyDescent="0.25">
      <c r="AD22531"/>
    </row>
    <row r="22532" spans="30:30" x14ac:dyDescent="0.25">
      <c r="AD22532"/>
    </row>
    <row r="22533" spans="30:30" x14ac:dyDescent="0.25">
      <c r="AD22533"/>
    </row>
    <row r="22534" spans="30:30" x14ac:dyDescent="0.25">
      <c r="AD22534"/>
    </row>
    <row r="22535" spans="30:30" x14ac:dyDescent="0.25">
      <c r="AD22535"/>
    </row>
    <row r="22536" spans="30:30" x14ac:dyDescent="0.25">
      <c r="AD22536"/>
    </row>
    <row r="22537" spans="30:30" x14ac:dyDescent="0.25">
      <c r="AD22537"/>
    </row>
    <row r="22538" spans="30:30" x14ac:dyDescent="0.25">
      <c r="AD22538"/>
    </row>
    <row r="22539" spans="30:30" x14ac:dyDescent="0.25">
      <c r="AD22539"/>
    </row>
    <row r="22540" spans="30:30" x14ac:dyDescent="0.25">
      <c r="AD22540"/>
    </row>
    <row r="22541" spans="30:30" x14ac:dyDescent="0.25">
      <c r="AD22541"/>
    </row>
    <row r="22542" spans="30:30" x14ac:dyDescent="0.25">
      <c r="AD22542"/>
    </row>
    <row r="22543" spans="30:30" x14ac:dyDescent="0.25">
      <c r="AD22543"/>
    </row>
    <row r="22544" spans="30:30" x14ac:dyDescent="0.25">
      <c r="AD22544"/>
    </row>
    <row r="22545" spans="30:30" x14ac:dyDescent="0.25">
      <c r="AD22545"/>
    </row>
    <row r="22546" spans="30:30" x14ac:dyDescent="0.25">
      <c r="AD22546"/>
    </row>
    <row r="22547" spans="30:30" x14ac:dyDescent="0.25">
      <c r="AD22547"/>
    </row>
    <row r="22548" spans="30:30" x14ac:dyDescent="0.25">
      <c r="AD22548"/>
    </row>
    <row r="22549" spans="30:30" x14ac:dyDescent="0.25">
      <c r="AD22549"/>
    </row>
    <row r="22550" spans="30:30" x14ac:dyDescent="0.25">
      <c r="AD22550"/>
    </row>
    <row r="22551" spans="30:30" x14ac:dyDescent="0.25">
      <c r="AD22551"/>
    </row>
    <row r="22552" spans="30:30" x14ac:dyDescent="0.25">
      <c r="AD22552"/>
    </row>
    <row r="22553" spans="30:30" x14ac:dyDescent="0.25">
      <c r="AD22553"/>
    </row>
    <row r="22554" spans="30:30" x14ac:dyDescent="0.25">
      <c r="AD22554"/>
    </row>
    <row r="22555" spans="30:30" x14ac:dyDescent="0.25">
      <c r="AD22555"/>
    </row>
    <row r="22556" spans="30:30" x14ac:dyDescent="0.25">
      <c r="AD22556"/>
    </row>
    <row r="22557" spans="30:30" x14ac:dyDescent="0.25">
      <c r="AD22557"/>
    </row>
    <row r="22558" spans="30:30" x14ac:dyDescent="0.25">
      <c r="AD22558"/>
    </row>
    <row r="22559" spans="30:30" x14ac:dyDescent="0.25">
      <c r="AD22559"/>
    </row>
    <row r="22560" spans="30:30" x14ac:dyDescent="0.25">
      <c r="AD22560"/>
    </row>
    <row r="22561" spans="30:30" x14ac:dyDescent="0.25">
      <c r="AD22561"/>
    </row>
    <row r="22562" spans="30:30" x14ac:dyDescent="0.25">
      <c r="AD22562"/>
    </row>
    <row r="22563" spans="30:30" x14ac:dyDescent="0.25">
      <c r="AD22563"/>
    </row>
    <row r="22564" spans="30:30" x14ac:dyDescent="0.25">
      <c r="AD22564"/>
    </row>
    <row r="22565" spans="30:30" x14ac:dyDescent="0.25">
      <c r="AD22565"/>
    </row>
    <row r="22566" spans="30:30" x14ac:dyDescent="0.25">
      <c r="AD22566"/>
    </row>
    <row r="22567" spans="30:30" x14ac:dyDescent="0.25">
      <c r="AD22567"/>
    </row>
    <row r="22568" spans="30:30" x14ac:dyDescent="0.25">
      <c r="AD22568"/>
    </row>
    <row r="22569" spans="30:30" x14ac:dyDescent="0.25">
      <c r="AD22569"/>
    </row>
    <row r="22570" spans="30:30" x14ac:dyDescent="0.25">
      <c r="AD22570"/>
    </row>
    <row r="22571" spans="30:30" x14ac:dyDescent="0.25">
      <c r="AD22571"/>
    </row>
    <row r="22572" spans="30:30" x14ac:dyDescent="0.25">
      <c r="AD22572"/>
    </row>
    <row r="22573" spans="30:30" x14ac:dyDescent="0.25">
      <c r="AD22573"/>
    </row>
    <row r="22574" spans="30:30" x14ac:dyDescent="0.25">
      <c r="AD22574"/>
    </row>
    <row r="22575" spans="30:30" x14ac:dyDescent="0.25">
      <c r="AD22575"/>
    </row>
    <row r="22576" spans="30:30" x14ac:dyDescent="0.25">
      <c r="AD22576"/>
    </row>
    <row r="22577" spans="30:30" x14ac:dyDescent="0.25">
      <c r="AD22577"/>
    </row>
    <row r="22578" spans="30:30" x14ac:dyDescent="0.25">
      <c r="AD22578"/>
    </row>
    <row r="22579" spans="30:30" x14ac:dyDescent="0.25">
      <c r="AD22579"/>
    </row>
    <row r="22580" spans="30:30" x14ac:dyDescent="0.25">
      <c r="AD22580"/>
    </row>
    <row r="22581" spans="30:30" x14ac:dyDescent="0.25">
      <c r="AD22581"/>
    </row>
    <row r="22582" spans="30:30" x14ac:dyDescent="0.25">
      <c r="AD22582"/>
    </row>
    <row r="22583" spans="30:30" x14ac:dyDescent="0.25">
      <c r="AD22583"/>
    </row>
    <row r="22584" spans="30:30" x14ac:dyDescent="0.25">
      <c r="AD22584"/>
    </row>
    <row r="22585" spans="30:30" x14ac:dyDescent="0.25">
      <c r="AD22585"/>
    </row>
    <row r="22586" spans="30:30" x14ac:dyDescent="0.25">
      <c r="AD22586"/>
    </row>
    <row r="22587" spans="30:30" x14ac:dyDescent="0.25">
      <c r="AD22587"/>
    </row>
    <row r="22588" spans="30:30" x14ac:dyDescent="0.25">
      <c r="AD22588"/>
    </row>
    <row r="22589" spans="30:30" x14ac:dyDescent="0.25">
      <c r="AD22589"/>
    </row>
    <row r="22590" spans="30:30" x14ac:dyDescent="0.25">
      <c r="AD22590"/>
    </row>
    <row r="22591" spans="30:30" x14ac:dyDescent="0.25">
      <c r="AD22591"/>
    </row>
    <row r="22592" spans="30:30" x14ac:dyDescent="0.25">
      <c r="AD22592"/>
    </row>
    <row r="22593" spans="30:30" x14ac:dyDescent="0.25">
      <c r="AD22593"/>
    </row>
    <row r="22594" spans="30:30" x14ac:dyDescent="0.25">
      <c r="AD22594"/>
    </row>
    <row r="22595" spans="30:30" x14ac:dyDescent="0.25">
      <c r="AD22595"/>
    </row>
    <row r="22596" spans="30:30" x14ac:dyDescent="0.25">
      <c r="AD22596"/>
    </row>
    <row r="22597" spans="30:30" x14ac:dyDescent="0.25">
      <c r="AD22597"/>
    </row>
    <row r="22598" spans="30:30" x14ac:dyDescent="0.25">
      <c r="AD22598"/>
    </row>
    <row r="22599" spans="30:30" x14ac:dyDescent="0.25">
      <c r="AD22599"/>
    </row>
    <row r="22600" spans="30:30" x14ac:dyDescent="0.25">
      <c r="AD22600"/>
    </row>
    <row r="22601" spans="30:30" x14ac:dyDescent="0.25">
      <c r="AD22601"/>
    </row>
    <row r="22602" spans="30:30" x14ac:dyDescent="0.25">
      <c r="AD22602"/>
    </row>
    <row r="22603" spans="30:30" x14ac:dyDescent="0.25">
      <c r="AD22603"/>
    </row>
    <row r="22604" spans="30:30" x14ac:dyDescent="0.25">
      <c r="AD22604"/>
    </row>
    <row r="22605" spans="30:30" x14ac:dyDescent="0.25">
      <c r="AD22605"/>
    </row>
    <row r="22606" spans="30:30" x14ac:dyDescent="0.25">
      <c r="AD22606"/>
    </row>
    <row r="22607" spans="30:30" x14ac:dyDescent="0.25">
      <c r="AD22607"/>
    </row>
    <row r="22608" spans="30:30" x14ac:dyDescent="0.25">
      <c r="AD22608"/>
    </row>
    <row r="22609" spans="30:30" x14ac:dyDescent="0.25">
      <c r="AD22609"/>
    </row>
    <row r="22610" spans="30:30" x14ac:dyDescent="0.25">
      <c r="AD22610"/>
    </row>
    <row r="22611" spans="30:30" x14ac:dyDescent="0.25">
      <c r="AD22611"/>
    </row>
    <row r="22612" spans="30:30" x14ac:dyDescent="0.25">
      <c r="AD22612"/>
    </row>
    <row r="22613" spans="30:30" x14ac:dyDescent="0.25">
      <c r="AD22613"/>
    </row>
    <row r="22614" spans="30:30" x14ac:dyDescent="0.25">
      <c r="AD22614"/>
    </row>
    <row r="22615" spans="30:30" x14ac:dyDescent="0.25">
      <c r="AD22615"/>
    </row>
    <row r="22616" spans="30:30" x14ac:dyDescent="0.25">
      <c r="AD22616"/>
    </row>
    <row r="22617" spans="30:30" x14ac:dyDescent="0.25">
      <c r="AD22617"/>
    </row>
    <row r="22618" spans="30:30" x14ac:dyDescent="0.25">
      <c r="AD22618"/>
    </row>
    <row r="22619" spans="30:30" x14ac:dyDescent="0.25">
      <c r="AD22619"/>
    </row>
    <row r="22620" spans="30:30" x14ac:dyDescent="0.25">
      <c r="AD22620"/>
    </row>
    <row r="22621" spans="30:30" x14ac:dyDescent="0.25">
      <c r="AD22621"/>
    </row>
    <row r="22622" spans="30:30" x14ac:dyDescent="0.25">
      <c r="AD22622"/>
    </row>
    <row r="22623" spans="30:30" x14ac:dyDescent="0.25">
      <c r="AD22623"/>
    </row>
    <row r="22624" spans="30:30" x14ac:dyDescent="0.25">
      <c r="AD22624"/>
    </row>
    <row r="22625" spans="30:30" x14ac:dyDescent="0.25">
      <c r="AD22625"/>
    </row>
    <row r="22626" spans="30:30" x14ac:dyDescent="0.25">
      <c r="AD22626"/>
    </row>
    <row r="22627" spans="30:30" x14ac:dyDescent="0.25">
      <c r="AD22627"/>
    </row>
    <row r="22628" spans="30:30" x14ac:dyDescent="0.25">
      <c r="AD22628"/>
    </row>
    <row r="22629" spans="30:30" x14ac:dyDescent="0.25">
      <c r="AD22629"/>
    </row>
    <row r="22630" spans="30:30" x14ac:dyDescent="0.25">
      <c r="AD22630"/>
    </row>
    <row r="22631" spans="30:30" x14ac:dyDescent="0.25">
      <c r="AD22631"/>
    </row>
    <row r="22632" spans="30:30" x14ac:dyDescent="0.25">
      <c r="AD22632"/>
    </row>
    <row r="22633" spans="30:30" x14ac:dyDescent="0.25">
      <c r="AD22633"/>
    </row>
    <row r="22634" spans="30:30" x14ac:dyDescent="0.25">
      <c r="AD22634"/>
    </row>
    <row r="22635" spans="30:30" x14ac:dyDescent="0.25">
      <c r="AD22635"/>
    </row>
    <row r="22636" spans="30:30" x14ac:dyDescent="0.25">
      <c r="AD22636"/>
    </row>
    <row r="22637" spans="30:30" x14ac:dyDescent="0.25">
      <c r="AD22637"/>
    </row>
    <row r="22638" spans="30:30" x14ac:dyDescent="0.25">
      <c r="AD22638"/>
    </row>
    <row r="22639" spans="30:30" x14ac:dyDescent="0.25">
      <c r="AD22639"/>
    </row>
    <row r="22640" spans="30:30" x14ac:dyDescent="0.25">
      <c r="AD22640"/>
    </row>
    <row r="22641" spans="30:30" x14ac:dyDescent="0.25">
      <c r="AD22641"/>
    </row>
    <row r="22642" spans="30:30" x14ac:dyDescent="0.25">
      <c r="AD22642"/>
    </row>
    <row r="22643" spans="30:30" x14ac:dyDescent="0.25">
      <c r="AD22643"/>
    </row>
    <row r="22644" spans="30:30" x14ac:dyDescent="0.25">
      <c r="AD22644"/>
    </row>
    <row r="22645" spans="30:30" x14ac:dyDescent="0.25">
      <c r="AD22645"/>
    </row>
    <row r="22646" spans="30:30" x14ac:dyDescent="0.25">
      <c r="AD22646"/>
    </row>
    <row r="22647" spans="30:30" x14ac:dyDescent="0.25">
      <c r="AD22647"/>
    </row>
    <row r="22648" spans="30:30" x14ac:dyDescent="0.25">
      <c r="AD22648"/>
    </row>
    <row r="22649" spans="30:30" x14ac:dyDescent="0.25">
      <c r="AD22649"/>
    </row>
    <row r="22650" spans="30:30" x14ac:dyDescent="0.25">
      <c r="AD22650"/>
    </row>
    <row r="22651" spans="30:30" x14ac:dyDescent="0.25">
      <c r="AD22651"/>
    </row>
    <row r="22652" spans="30:30" x14ac:dyDescent="0.25">
      <c r="AD22652"/>
    </row>
    <row r="22653" spans="30:30" x14ac:dyDescent="0.25">
      <c r="AD22653"/>
    </row>
    <row r="22654" spans="30:30" x14ac:dyDescent="0.25">
      <c r="AD22654"/>
    </row>
    <row r="22655" spans="30:30" x14ac:dyDescent="0.25">
      <c r="AD22655"/>
    </row>
    <row r="22656" spans="30:30" x14ac:dyDescent="0.25">
      <c r="AD22656"/>
    </row>
    <row r="22657" spans="30:30" x14ac:dyDescent="0.25">
      <c r="AD22657"/>
    </row>
    <row r="22658" spans="30:30" x14ac:dyDescent="0.25">
      <c r="AD22658"/>
    </row>
    <row r="22659" spans="30:30" x14ac:dyDescent="0.25">
      <c r="AD22659"/>
    </row>
    <row r="22660" spans="30:30" x14ac:dyDescent="0.25">
      <c r="AD22660"/>
    </row>
    <row r="22661" spans="30:30" x14ac:dyDescent="0.25">
      <c r="AD22661"/>
    </row>
    <row r="22662" spans="30:30" x14ac:dyDescent="0.25">
      <c r="AD22662"/>
    </row>
    <row r="22663" spans="30:30" x14ac:dyDescent="0.25">
      <c r="AD22663"/>
    </row>
    <row r="22664" spans="30:30" x14ac:dyDescent="0.25">
      <c r="AD22664"/>
    </row>
    <row r="22665" spans="30:30" x14ac:dyDescent="0.25">
      <c r="AD22665"/>
    </row>
    <row r="22666" spans="30:30" x14ac:dyDescent="0.25">
      <c r="AD22666"/>
    </row>
    <row r="22667" spans="30:30" x14ac:dyDescent="0.25">
      <c r="AD22667"/>
    </row>
    <row r="22668" spans="30:30" x14ac:dyDescent="0.25">
      <c r="AD22668"/>
    </row>
    <row r="22669" spans="30:30" x14ac:dyDescent="0.25">
      <c r="AD22669"/>
    </row>
    <row r="22670" spans="30:30" x14ac:dyDescent="0.25">
      <c r="AD22670"/>
    </row>
    <row r="22671" spans="30:30" x14ac:dyDescent="0.25">
      <c r="AD22671"/>
    </row>
    <row r="22672" spans="30:30" x14ac:dyDescent="0.25">
      <c r="AD22672"/>
    </row>
    <row r="22673" spans="30:30" x14ac:dyDescent="0.25">
      <c r="AD22673"/>
    </row>
    <row r="22674" spans="30:30" x14ac:dyDescent="0.25">
      <c r="AD22674"/>
    </row>
    <row r="22675" spans="30:30" x14ac:dyDescent="0.25">
      <c r="AD22675"/>
    </row>
    <row r="22676" spans="30:30" x14ac:dyDescent="0.25">
      <c r="AD22676"/>
    </row>
    <row r="22677" spans="30:30" x14ac:dyDescent="0.25">
      <c r="AD22677"/>
    </row>
    <row r="22678" spans="30:30" x14ac:dyDescent="0.25">
      <c r="AD22678"/>
    </row>
    <row r="22679" spans="30:30" x14ac:dyDescent="0.25">
      <c r="AD22679"/>
    </row>
    <row r="22680" spans="30:30" x14ac:dyDescent="0.25">
      <c r="AD22680"/>
    </row>
    <row r="22681" spans="30:30" x14ac:dyDescent="0.25">
      <c r="AD22681"/>
    </row>
    <row r="22682" spans="30:30" x14ac:dyDescent="0.25">
      <c r="AD22682"/>
    </row>
    <row r="22683" spans="30:30" x14ac:dyDescent="0.25">
      <c r="AD22683"/>
    </row>
    <row r="22684" spans="30:30" x14ac:dyDescent="0.25">
      <c r="AD22684"/>
    </row>
    <row r="22685" spans="30:30" x14ac:dyDescent="0.25">
      <c r="AD22685"/>
    </row>
    <row r="22686" spans="30:30" x14ac:dyDescent="0.25">
      <c r="AD22686"/>
    </row>
    <row r="22687" spans="30:30" x14ac:dyDescent="0.25">
      <c r="AD22687"/>
    </row>
    <row r="22688" spans="30:30" x14ac:dyDescent="0.25">
      <c r="AD22688"/>
    </row>
    <row r="22689" spans="30:30" x14ac:dyDescent="0.25">
      <c r="AD22689"/>
    </row>
    <row r="22690" spans="30:30" x14ac:dyDescent="0.25">
      <c r="AD22690"/>
    </row>
    <row r="22691" spans="30:30" x14ac:dyDescent="0.25">
      <c r="AD22691"/>
    </row>
    <row r="22692" spans="30:30" x14ac:dyDescent="0.25">
      <c r="AD22692"/>
    </row>
    <row r="22693" spans="30:30" x14ac:dyDescent="0.25">
      <c r="AD22693"/>
    </row>
    <row r="22694" spans="30:30" x14ac:dyDescent="0.25">
      <c r="AD22694"/>
    </row>
    <row r="22695" spans="30:30" x14ac:dyDescent="0.25">
      <c r="AD22695"/>
    </row>
    <row r="22696" spans="30:30" x14ac:dyDescent="0.25">
      <c r="AD22696"/>
    </row>
    <row r="22697" spans="30:30" x14ac:dyDescent="0.25">
      <c r="AD22697"/>
    </row>
    <row r="22698" spans="30:30" x14ac:dyDescent="0.25">
      <c r="AD22698"/>
    </row>
    <row r="22699" spans="30:30" x14ac:dyDescent="0.25">
      <c r="AD22699"/>
    </row>
    <row r="22700" spans="30:30" x14ac:dyDescent="0.25">
      <c r="AD22700"/>
    </row>
    <row r="22701" spans="30:30" x14ac:dyDescent="0.25">
      <c r="AD22701"/>
    </row>
    <row r="22702" spans="30:30" x14ac:dyDescent="0.25">
      <c r="AD22702"/>
    </row>
    <row r="22703" spans="30:30" x14ac:dyDescent="0.25">
      <c r="AD22703"/>
    </row>
    <row r="22704" spans="30:30" x14ac:dyDescent="0.25">
      <c r="AD22704"/>
    </row>
    <row r="22705" spans="30:30" x14ac:dyDescent="0.25">
      <c r="AD22705"/>
    </row>
    <row r="22706" spans="30:30" x14ac:dyDescent="0.25">
      <c r="AD22706"/>
    </row>
    <row r="22707" spans="30:30" x14ac:dyDescent="0.25">
      <c r="AD22707"/>
    </row>
    <row r="22708" spans="30:30" x14ac:dyDescent="0.25">
      <c r="AD22708"/>
    </row>
    <row r="22709" spans="30:30" x14ac:dyDescent="0.25">
      <c r="AD22709"/>
    </row>
    <row r="22710" spans="30:30" x14ac:dyDescent="0.25">
      <c r="AD22710"/>
    </row>
    <row r="22711" spans="30:30" x14ac:dyDescent="0.25">
      <c r="AD22711"/>
    </row>
    <row r="22712" spans="30:30" x14ac:dyDescent="0.25">
      <c r="AD22712"/>
    </row>
    <row r="22713" spans="30:30" x14ac:dyDescent="0.25">
      <c r="AD22713"/>
    </row>
    <row r="22714" spans="30:30" x14ac:dyDescent="0.25">
      <c r="AD22714"/>
    </row>
    <row r="22715" spans="30:30" x14ac:dyDescent="0.25">
      <c r="AD22715"/>
    </row>
    <row r="22716" spans="30:30" x14ac:dyDescent="0.25">
      <c r="AD22716"/>
    </row>
    <row r="22717" spans="30:30" x14ac:dyDescent="0.25">
      <c r="AD22717"/>
    </row>
    <row r="22718" spans="30:30" x14ac:dyDescent="0.25">
      <c r="AD22718"/>
    </row>
    <row r="22719" spans="30:30" x14ac:dyDescent="0.25">
      <c r="AD22719"/>
    </row>
    <row r="22720" spans="30:30" x14ac:dyDescent="0.25">
      <c r="AD22720"/>
    </row>
    <row r="22721" spans="30:30" x14ac:dyDescent="0.25">
      <c r="AD22721"/>
    </row>
    <row r="22722" spans="30:30" x14ac:dyDescent="0.25">
      <c r="AD22722"/>
    </row>
    <row r="22723" spans="30:30" x14ac:dyDescent="0.25">
      <c r="AD22723"/>
    </row>
    <row r="22724" spans="30:30" x14ac:dyDescent="0.25">
      <c r="AD22724"/>
    </row>
    <row r="22725" spans="30:30" x14ac:dyDescent="0.25">
      <c r="AD22725"/>
    </row>
    <row r="22726" spans="30:30" x14ac:dyDescent="0.25">
      <c r="AD22726"/>
    </row>
    <row r="22727" spans="30:30" x14ac:dyDescent="0.25">
      <c r="AD22727"/>
    </row>
    <row r="22728" spans="30:30" x14ac:dyDescent="0.25">
      <c r="AD22728"/>
    </row>
    <row r="22729" spans="30:30" x14ac:dyDescent="0.25">
      <c r="AD22729"/>
    </row>
    <row r="22730" spans="30:30" x14ac:dyDescent="0.25">
      <c r="AD22730"/>
    </row>
    <row r="22731" spans="30:30" x14ac:dyDescent="0.25">
      <c r="AD22731"/>
    </row>
    <row r="22732" spans="30:30" x14ac:dyDescent="0.25">
      <c r="AD22732"/>
    </row>
    <row r="22733" spans="30:30" x14ac:dyDescent="0.25">
      <c r="AD22733"/>
    </row>
    <row r="22734" spans="30:30" x14ac:dyDescent="0.25">
      <c r="AD22734"/>
    </row>
    <row r="22735" spans="30:30" x14ac:dyDescent="0.25">
      <c r="AD22735"/>
    </row>
    <row r="22736" spans="30:30" x14ac:dyDescent="0.25">
      <c r="AD22736"/>
    </row>
    <row r="22737" spans="30:30" x14ac:dyDescent="0.25">
      <c r="AD22737"/>
    </row>
    <row r="22738" spans="30:30" x14ac:dyDescent="0.25">
      <c r="AD22738"/>
    </row>
    <row r="22739" spans="30:30" x14ac:dyDescent="0.25">
      <c r="AD22739"/>
    </row>
    <row r="22740" spans="30:30" x14ac:dyDescent="0.25">
      <c r="AD22740"/>
    </row>
    <row r="22741" spans="30:30" x14ac:dyDescent="0.25">
      <c r="AD22741"/>
    </row>
    <row r="22742" spans="30:30" x14ac:dyDescent="0.25">
      <c r="AD22742"/>
    </row>
    <row r="22743" spans="30:30" x14ac:dyDescent="0.25">
      <c r="AD22743"/>
    </row>
    <row r="22744" spans="30:30" x14ac:dyDescent="0.25">
      <c r="AD22744"/>
    </row>
    <row r="22745" spans="30:30" x14ac:dyDescent="0.25">
      <c r="AD22745"/>
    </row>
    <row r="22746" spans="30:30" x14ac:dyDescent="0.25">
      <c r="AD22746"/>
    </row>
    <row r="22747" spans="30:30" x14ac:dyDescent="0.25">
      <c r="AD22747"/>
    </row>
    <row r="22748" spans="30:30" x14ac:dyDescent="0.25">
      <c r="AD22748"/>
    </row>
    <row r="22749" spans="30:30" x14ac:dyDescent="0.25">
      <c r="AD22749"/>
    </row>
    <row r="22750" spans="30:30" x14ac:dyDescent="0.25">
      <c r="AD22750"/>
    </row>
    <row r="22751" spans="30:30" x14ac:dyDescent="0.25">
      <c r="AD22751"/>
    </row>
    <row r="22752" spans="30:30" x14ac:dyDescent="0.25">
      <c r="AD22752"/>
    </row>
    <row r="22753" spans="30:30" x14ac:dyDescent="0.25">
      <c r="AD22753"/>
    </row>
    <row r="22754" spans="30:30" x14ac:dyDescent="0.25">
      <c r="AD22754"/>
    </row>
    <row r="22755" spans="30:30" x14ac:dyDescent="0.25">
      <c r="AD22755"/>
    </row>
    <row r="22756" spans="30:30" x14ac:dyDescent="0.25">
      <c r="AD22756"/>
    </row>
    <row r="22757" spans="30:30" x14ac:dyDescent="0.25">
      <c r="AD22757"/>
    </row>
    <row r="22758" spans="30:30" x14ac:dyDescent="0.25">
      <c r="AD22758"/>
    </row>
    <row r="22759" spans="30:30" x14ac:dyDescent="0.25">
      <c r="AD22759"/>
    </row>
    <row r="22760" spans="30:30" x14ac:dyDescent="0.25">
      <c r="AD22760"/>
    </row>
    <row r="22761" spans="30:30" x14ac:dyDescent="0.25">
      <c r="AD22761"/>
    </row>
    <row r="22762" spans="30:30" x14ac:dyDescent="0.25">
      <c r="AD22762"/>
    </row>
    <row r="22763" spans="30:30" x14ac:dyDescent="0.25">
      <c r="AD22763"/>
    </row>
    <row r="22764" spans="30:30" x14ac:dyDescent="0.25">
      <c r="AD22764"/>
    </row>
    <row r="22765" spans="30:30" x14ac:dyDescent="0.25">
      <c r="AD22765"/>
    </row>
    <row r="22766" spans="30:30" x14ac:dyDescent="0.25">
      <c r="AD22766"/>
    </row>
    <row r="22767" spans="30:30" x14ac:dyDescent="0.25">
      <c r="AD22767"/>
    </row>
    <row r="22768" spans="30:30" x14ac:dyDescent="0.25">
      <c r="AD22768"/>
    </row>
    <row r="22769" spans="30:30" x14ac:dyDescent="0.25">
      <c r="AD22769"/>
    </row>
    <row r="22770" spans="30:30" x14ac:dyDescent="0.25">
      <c r="AD22770"/>
    </row>
    <row r="22771" spans="30:30" x14ac:dyDescent="0.25">
      <c r="AD22771"/>
    </row>
    <row r="22772" spans="30:30" x14ac:dyDescent="0.25">
      <c r="AD22772"/>
    </row>
    <row r="22773" spans="30:30" x14ac:dyDescent="0.25">
      <c r="AD22773"/>
    </row>
    <row r="22774" spans="30:30" x14ac:dyDescent="0.25">
      <c r="AD22774"/>
    </row>
    <row r="22775" spans="30:30" x14ac:dyDescent="0.25">
      <c r="AD22775"/>
    </row>
    <row r="22776" spans="30:30" x14ac:dyDescent="0.25">
      <c r="AD22776"/>
    </row>
    <row r="22777" spans="30:30" x14ac:dyDescent="0.25">
      <c r="AD22777"/>
    </row>
    <row r="22778" spans="30:30" x14ac:dyDescent="0.25">
      <c r="AD22778"/>
    </row>
    <row r="22779" spans="30:30" x14ac:dyDescent="0.25">
      <c r="AD22779"/>
    </row>
    <row r="22780" spans="30:30" x14ac:dyDescent="0.25">
      <c r="AD22780"/>
    </row>
    <row r="22781" spans="30:30" x14ac:dyDescent="0.25">
      <c r="AD22781"/>
    </row>
    <row r="22782" spans="30:30" x14ac:dyDescent="0.25">
      <c r="AD22782"/>
    </row>
    <row r="22783" spans="30:30" x14ac:dyDescent="0.25">
      <c r="AD22783"/>
    </row>
    <row r="22784" spans="30:30" x14ac:dyDescent="0.25">
      <c r="AD22784"/>
    </row>
    <row r="22785" spans="30:30" x14ac:dyDescent="0.25">
      <c r="AD22785"/>
    </row>
    <row r="22786" spans="30:30" x14ac:dyDescent="0.25">
      <c r="AD22786"/>
    </row>
    <row r="22787" spans="30:30" x14ac:dyDescent="0.25">
      <c r="AD22787"/>
    </row>
    <row r="22788" spans="30:30" x14ac:dyDescent="0.25">
      <c r="AD22788"/>
    </row>
    <row r="22789" spans="30:30" x14ac:dyDescent="0.25">
      <c r="AD22789"/>
    </row>
    <row r="22790" spans="30:30" x14ac:dyDescent="0.25">
      <c r="AD22790"/>
    </row>
    <row r="22791" spans="30:30" x14ac:dyDescent="0.25">
      <c r="AD22791"/>
    </row>
    <row r="22792" spans="30:30" x14ac:dyDescent="0.25">
      <c r="AD22792"/>
    </row>
    <row r="22793" spans="30:30" x14ac:dyDescent="0.25">
      <c r="AD22793"/>
    </row>
    <row r="22794" spans="30:30" x14ac:dyDescent="0.25">
      <c r="AD22794"/>
    </row>
    <row r="22795" spans="30:30" x14ac:dyDescent="0.25">
      <c r="AD22795"/>
    </row>
    <row r="22796" spans="30:30" x14ac:dyDescent="0.25">
      <c r="AD22796"/>
    </row>
    <row r="22797" spans="30:30" x14ac:dyDescent="0.25">
      <c r="AD22797"/>
    </row>
    <row r="22798" spans="30:30" x14ac:dyDescent="0.25">
      <c r="AD22798"/>
    </row>
    <row r="22799" spans="30:30" x14ac:dyDescent="0.25">
      <c r="AD22799"/>
    </row>
    <row r="22800" spans="30:30" x14ac:dyDescent="0.25">
      <c r="AD22800"/>
    </row>
    <row r="22801" spans="30:30" x14ac:dyDescent="0.25">
      <c r="AD22801"/>
    </row>
    <row r="22802" spans="30:30" x14ac:dyDescent="0.25">
      <c r="AD22802"/>
    </row>
    <row r="22803" spans="30:30" x14ac:dyDescent="0.25">
      <c r="AD22803"/>
    </row>
    <row r="22804" spans="30:30" x14ac:dyDescent="0.25">
      <c r="AD22804"/>
    </row>
    <row r="22805" spans="30:30" x14ac:dyDescent="0.25">
      <c r="AD22805"/>
    </row>
    <row r="22806" spans="30:30" x14ac:dyDescent="0.25">
      <c r="AD22806"/>
    </row>
    <row r="22807" spans="30:30" x14ac:dyDescent="0.25">
      <c r="AD22807"/>
    </row>
    <row r="22808" spans="30:30" x14ac:dyDescent="0.25">
      <c r="AD22808"/>
    </row>
    <row r="22809" spans="30:30" x14ac:dyDescent="0.25">
      <c r="AD22809"/>
    </row>
    <row r="22810" spans="30:30" x14ac:dyDescent="0.25">
      <c r="AD22810"/>
    </row>
    <row r="22811" spans="30:30" x14ac:dyDescent="0.25">
      <c r="AD22811"/>
    </row>
    <row r="22812" spans="30:30" x14ac:dyDescent="0.25">
      <c r="AD22812"/>
    </row>
    <row r="22813" spans="30:30" x14ac:dyDescent="0.25">
      <c r="AD22813"/>
    </row>
    <row r="22814" spans="30:30" x14ac:dyDescent="0.25">
      <c r="AD22814"/>
    </row>
    <row r="22815" spans="30:30" x14ac:dyDescent="0.25">
      <c r="AD22815"/>
    </row>
    <row r="22816" spans="30:30" x14ac:dyDescent="0.25">
      <c r="AD22816"/>
    </row>
    <row r="22817" spans="30:30" x14ac:dyDescent="0.25">
      <c r="AD22817"/>
    </row>
    <row r="22818" spans="30:30" x14ac:dyDescent="0.25">
      <c r="AD22818"/>
    </row>
    <row r="22819" spans="30:30" x14ac:dyDescent="0.25">
      <c r="AD22819"/>
    </row>
    <row r="22820" spans="30:30" x14ac:dyDescent="0.25">
      <c r="AD22820"/>
    </row>
    <row r="22821" spans="30:30" x14ac:dyDescent="0.25">
      <c r="AD22821"/>
    </row>
    <row r="22822" spans="30:30" x14ac:dyDescent="0.25">
      <c r="AD22822"/>
    </row>
    <row r="22823" spans="30:30" x14ac:dyDescent="0.25">
      <c r="AD22823"/>
    </row>
    <row r="22824" spans="30:30" x14ac:dyDescent="0.25">
      <c r="AD22824"/>
    </row>
    <row r="22825" spans="30:30" x14ac:dyDescent="0.25">
      <c r="AD22825"/>
    </row>
    <row r="22826" spans="30:30" x14ac:dyDescent="0.25">
      <c r="AD22826"/>
    </row>
    <row r="22827" spans="30:30" x14ac:dyDescent="0.25">
      <c r="AD22827"/>
    </row>
    <row r="22828" spans="30:30" x14ac:dyDescent="0.25">
      <c r="AD22828"/>
    </row>
    <row r="22829" spans="30:30" x14ac:dyDescent="0.25">
      <c r="AD22829"/>
    </row>
    <row r="22830" spans="30:30" x14ac:dyDescent="0.25">
      <c r="AD22830"/>
    </row>
    <row r="22831" spans="30:30" x14ac:dyDescent="0.25">
      <c r="AD22831"/>
    </row>
    <row r="22832" spans="30:30" x14ac:dyDescent="0.25">
      <c r="AD22832"/>
    </row>
    <row r="22833" spans="30:30" x14ac:dyDescent="0.25">
      <c r="AD22833"/>
    </row>
    <row r="22834" spans="30:30" x14ac:dyDescent="0.25">
      <c r="AD22834"/>
    </row>
    <row r="22835" spans="30:30" x14ac:dyDescent="0.25">
      <c r="AD22835"/>
    </row>
    <row r="22836" spans="30:30" x14ac:dyDescent="0.25">
      <c r="AD22836"/>
    </row>
    <row r="22837" spans="30:30" x14ac:dyDescent="0.25">
      <c r="AD22837"/>
    </row>
    <row r="22838" spans="30:30" x14ac:dyDescent="0.25">
      <c r="AD22838"/>
    </row>
    <row r="22839" spans="30:30" x14ac:dyDescent="0.25">
      <c r="AD22839"/>
    </row>
    <row r="22840" spans="30:30" x14ac:dyDescent="0.25">
      <c r="AD22840"/>
    </row>
    <row r="22841" spans="30:30" x14ac:dyDescent="0.25">
      <c r="AD22841"/>
    </row>
    <row r="22842" spans="30:30" x14ac:dyDescent="0.25">
      <c r="AD22842"/>
    </row>
    <row r="22843" spans="30:30" x14ac:dyDescent="0.25">
      <c r="AD22843"/>
    </row>
    <row r="22844" spans="30:30" x14ac:dyDescent="0.25">
      <c r="AD22844"/>
    </row>
    <row r="22845" spans="30:30" x14ac:dyDescent="0.25">
      <c r="AD22845"/>
    </row>
    <row r="22846" spans="30:30" x14ac:dyDescent="0.25">
      <c r="AD22846"/>
    </row>
    <row r="22847" spans="30:30" x14ac:dyDescent="0.25">
      <c r="AD22847"/>
    </row>
    <row r="22848" spans="30:30" x14ac:dyDescent="0.25">
      <c r="AD22848"/>
    </row>
    <row r="22849" spans="30:30" x14ac:dyDescent="0.25">
      <c r="AD22849"/>
    </row>
    <row r="22850" spans="30:30" x14ac:dyDescent="0.25">
      <c r="AD22850"/>
    </row>
    <row r="22851" spans="30:30" x14ac:dyDescent="0.25">
      <c r="AD22851"/>
    </row>
    <row r="22852" spans="30:30" x14ac:dyDescent="0.25">
      <c r="AD22852"/>
    </row>
    <row r="22853" spans="30:30" x14ac:dyDescent="0.25">
      <c r="AD22853"/>
    </row>
    <row r="22854" spans="30:30" x14ac:dyDescent="0.25">
      <c r="AD22854"/>
    </row>
    <row r="22855" spans="30:30" x14ac:dyDescent="0.25">
      <c r="AD22855"/>
    </row>
    <row r="22856" spans="30:30" x14ac:dyDescent="0.25">
      <c r="AD22856"/>
    </row>
    <row r="22857" spans="30:30" x14ac:dyDescent="0.25">
      <c r="AD22857"/>
    </row>
    <row r="22858" spans="30:30" x14ac:dyDescent="0.25">
      <c r="AD22858"/>
    </row>
    <row r="22859" spans="30:30" x14ac:dyDescent="0.25">
      <c r="AD22859"/>
    </row>
    <row r="22860" spans="30:30" x14ac:dyDescent="0.25">
      <c r="AD22860"/>
    </row>
    <row r="22861" spans="30:30" x14ac:dyDescent="0.25">
      <c r="AD22861"/>
    </row>
    <row r="22862" spans="30:30" x14ac:dyDescent="0.25">
      <c r="AD22862"/>
    </row>
    <row r="22863" spans="30:30" x14ac:dyDescent="0.25">
      <c r="AD22863"/>
    </row>
    <row r="22864" spans="30:30" x14ac:dyDescent="0.25">
      <c r="AD22864"/>
    </row>
    <row r="22865" spans="30:30" x14ac:dyDescent="0.25">
      <c r="AD22865"/>
    </row>
    <row r="22866" spans="30:30" x14ac:dyDescent="0.25">
      <c r="AD22866"/>
    </row>
    <row r="22867" spans="30:30" x14ac:dyDescent="0.25">
      <c r="AD22867"/>
    </row>
    <row r="22868" spans="30:30" x14ac:dyDescent="0.25">
      <c r="AD22868"/>
    </row>
    <row r="22869" spans="30:30" x14ac:dyDescent="0.25">
      <c r="AD22869"/>
    </row>
    <row r="22870" spans="30:30" x14ac:dyDescent="0.25">
      <c r="AD22870"/>
    </row>
    <row r="22871" spans="30:30" x14ac:dyDescent="0.25">
      <c r="AD22871"/>
    </row>
    <row r="22872" spans="30:30" x14ac:dyDescent="0.25">
      <c r="AD22872"/>
    </row>
    <row r="22873" spans="30:30" x14ac:dyDescent="0.25">
      <c r="AD22873"/>
    </row>
    <row r="22874" spans="30:30" x14ac:dyDescent="0.25">
      <c r="AD22874"/>
    </row>
    <row r="22875" spans="30:30" x14ac:dyDescent="0.25">
      <c r="AD22875"/>
    </row>
    <row r="22876" spans="30:30" x14ac:dyDescent="0.25">
      <c r="AD22876"/>
    </row>
    <row r="22877" spans="30:30" x14ac:dyDescent="0.25">
      <c r="AD22877"/>
    </row>
    <row r="22878" spans="30:30" x14ac:dyDescent="0.25">
      <c r="AD22878"/>
    </row>
    <row r="22879" spans="30:30" x14ac:dyDescent="0.25">
      <c r="AD22879"/>
    </row>
    <row r="22880" spans="30:30" x14ac:dyDescent="0.25">
      <c r="AD22880"/>
    </row>
    <row r="22881" spans="30:30" x14ac:dyDescent="0.25">
      <c r="AD22881"/>
    </row>
    <row r="22882" spans="30:30" x14ac:dyDescent="0.25">
      <c r="AD22882"/>
    </row>
    <row r="22883" spans="30:30" x14ac:dyDescent="0.25">
      <c r="AD22883"/>
    </row>
    <row r="22884" spans="30:30" x14ac:dyDescent="0.25">
      <c r="AD22884"/>
    </row>
    <row r="22885" spans="30:30" x14ac:dyDescent="0.25">
      <c r="AD22885"/>
    </row>
    <row r="22886" spans="30:30" x14ac:dyDescent="0.25">
      <c r="AD22886"/>
    </row>
    <row r="22887" spans="30:30" x14ac:dyDescent="0.25">
      <c r="AD22887"/>
    </row>
    <row r="22888" spans="30:30" x14ac:dyDescent="0.25">
      <c r="AD22888"/>
    </row>
    <row r="22889" spans="30:30" x14ac:dyDescent="0.25">
      <c r="AD22889"/>
    </row>
    <row r="22890" spans="30:30" x14ac:dyDescent="0.25">
      <c r="AD22890"/>
    </row>
    <row r="22891" spans="30:30" x14ac:dyDescent="0.25">
      <c r="AD22891"/>
    </row>
    <row r="22892" spans="30:30" x14ac:dyDescent="0.25">
      <c r="AD22892"/>
    </row>
    <row r="22893" spans="30:30" x14ac:dyDescent="0.25">
      <c r="AD22893"/>
    </row>
    <row r="22894" spans="30:30" x14ac:dyDescent="0.25">
      <c r="AD22894"/>
    </row>
    <row r="22895" spans="30:30" x14ac:dyDescent="0.25">
      <c r="AD22895"/>
    </row>
    <row r="22896" spans="30:30" x14ac:dyDescent="0.25">
      <c r="AD22896"/>
    </row>
    <row r="22897" spans="30:30" x14ac:dyDescent="0.25">
      <c r="AD22897"/>
    </row>
    <row r="22898" spans="30:30" x14ac:dyDescent="0.25">
      <c r="AD22898"/>
    </row>
    <row r="22899" spans="30:30" x14ac:dyDescent="0.25">
      <c r="AD22899"/>
    </row>
    <row r="22900" spans="30:30" x14ac:dyDescent="0.25">
      <c r="AD22900"/>
    </row>
    <row r="22901" spans="30:30" x14ac:dyDescent="0.25">
      <c r="AD22901"/>
    </row>
    <row r="22902" spans="30:30" x14ac:dyDescent="0.25">
      <c r="AD22902"/>
    </row>
    <row r="22903" spans="30:30" x14ac:dyDescent="0.25">
      <c r="AD22903"/>
    </row>
    <row r="22904" spans="30:30" x14ac:dyDescent="0.25">
      <c r="AD22904"/>
    </row>
    <row r="22905" spans="30:30" x14ac:dyDescent="0.25">
      <c r="AD22905"/>
    </row>
    <row r="22906" spans="30:30" x14ac:dyDescent="0.25">
      <c r="AD22906"/>
    </row>
    <row r="22907" spans="30:30" x14ac:dyDescent="0.25">
      <c r="AD22907"/>
    </row>
    <row r="22908" spans="30:30" x14ac:dyDescent="0.25">
      <c r="AD22908"/>
    </row>
    <row r="22909" spans="30:30" x14ac:dyDescent="0.25">
      <c r="AD22909"/>
    </row>
    <row r="22910" spans="30:30" x14ac:dyDescent="0.25">
      <c r="AD22910"/>
    </row>
    <row r="22911" spans="30:30" x14ac:dyDescent="0.25">
      <c r="AD22911"/>
    </row>
    <row r="22912" spans="30:30" x14ac:dyDescent="0.25">
      <c r="AD22912"/>
    </row>
    <row r="22913" spans="30:30" x14ac:dyDescent="0.25">
      <c r="AD22913"/>
    </row>
    <row r="22914" spans="30:30" x14ac:dyDescent="0.25">
      <c r="AD22914"/>
    </row>
    <row r="22915" spans="30:30" x14ac:dyDescent="0.25">
      <c r="AD22915"/>
    </row>
    <row r="22916" spans="30:30" x14ac:dyDescent="0.25">
      <c r="AD22916"/>
    </row>
    <row r="22917" spans="30:30" x14ac:dyDescent="0.25">
      <c r="AD22917"/>
    </row>
    <row r="22918" spans="30:30" x14ac:dyDescent="0.25">
      <c r="AD22918"/>
    </row>
    <row r="22919" spans="30:30" x14ac:dyDescent="0.25">
      <c r="AD22919"/>
    </row>
    <row r="22920" spans="30:30" x14ac:dyDescent="0.25">
      <c r="AD22920"/>
    </row>
    <row r="22921" spans="30:30" x14ac:dyDescent="0.25">
      <c r="AD22921"/>
    </row>
    <row r="22922" spans="30:30" x14ac:dyDescent="0.25">
      <c r="AD22922"/>
    </row>
    <row r="22923" spans="30:30" x14ac:dyDescent="0.25">
      <c r="AD22923"/>
    </row>
    <row r="22924" spans="30:30" x14ac:dyDescent="0.25">
      <c r="AD22924"/>
    </row>
    <row r="22925" spans="30:30" x14ac:dyDescent="0.25">
      <c r="AD22925"/>
    </row>
    <row r="22926" spans="30:30" x14ac:dyDescent="0.25">
      <c r="AD22926"/>
    </row>
    <row r="22927" spans="30:30" x14ac:dyDescent="0.25">
      <c r="AD22927"/>
    </row>
    <row r="22928" spans="30:30" x14ac:dyDescent="0.25">
      <c r="AD22928"/>
    </row>
    <row r="22929" spans="30:30" x14ac:dyDescent="0.25">
      <c r="AD22929"/>
    </row>
    <row r="22930" spans="30:30" x14ac:dyDescent="0.25">
      <c r="AD22930"/>
    </row>
    <row r="22931" spans="30:30" x14ac:dyDescent="0.25">
      <c r="AD22931"/>
    </row>
    <row r="22932" spans="30:30" x14ac:dyDescent="0.25">
      <c r="AD22932"/>
    </row>
    <row r="22933" spans="30:30" x14ac:dyDescent="0.25">
      <c r="AD22933"/>
    </row>
    <row r="22934" spans="30:30" x14ac:dyDescent="0.25">
      <c r="AD22934"/>
    </row>
    <row r="22935" spans="30:30" x14ac:dyDescent="0.25">
      <c r="AD22935"/>
    </row>
    <row r="22936" spans="30:30" x14ac:dyDescent="0.25">
      <c r="AD22936"/>
    </row>
    <row r="22937" spans="30:30" x14ac:dyDescent="0.25">
      <c r="AD22937"/>
    </row>
    <row r="22938" spans="30:30" x14ac:dyDescent="0.25">
      <c r="AD22938"/>
    </row>
    <row r="22939" spans="30:30" x14ac:dyDescent="0.25">
      <c r="AD22939"/>
    </row>
    <row r="22940" spans="30:30" x14ac:dyDescent="0.25">
      <c r="AD22940"/>
    </row>
    <row r="22941" spans="30:30" x14ac:dyDescent="0.25">
      <c r="AD22941"/>
    </row>
    <row r="22942" spans="30:30" x14ac:dyDescent="0.25">
      <c r="AD22942"/>
    </row>
    <row r="22943" spans="30:30" x14ac:dyDescent="0.25">
      <c r="AD22943"/>
    </row>
    <row r="22944" spans="30:30" x14ac:dyDescent="0.25">
      <c r="AD22944"/>
    </row>
    <row r="22945" spans="30:30" x14ac:dyDescent="0.25">
      <c r="AD22945"/>
    </row>
    <row r="22946" spans="30:30" x14ac:dyDescent="0.25">
      <c r="AD22946"/>
    </row>
    <row r="22947" spans="30:30" x14ac:dyDescent="0.25">
      <c r="AD22947"/>
    </row>
    <row r="22948" spans="30:30" x14ac:dyDescent="0.25">
      <c r="AD22948"/>
    </row>
    <row r="22949" spans="30:30" x14ac:dyDescent="0.25">
      <c r="AD22949"/>
    </row>
    <row r="22950" spans="30:30" x14ac:dyDescent="0.25">
      <c r="AD22950"/>
    </row>
    <row r="22951" spans="30:30" x14ac:dyDescent="0.25">
      <c r="AD22951"/>
    </row>
    <row r="22952" spans="30:30" x14ac:dyDescent="0.25">
      <c r="AD22952"/>
    </row>
    <row r="22953" spans="30:30" x14ac:dyDescent="0.25">
      <c r="AD22953"/>
    </row>
    <row r="22954" spans="30:30" x14ac:dyDescent="0.25">
      <c r="AD22954"/>
    </row>
    <row r="22955" spans="30:30" x14ac:dyDescent="0.25">
      <c r="AD22955"/>
    </row>
    <row r="22956" spans="30:30" x14ac:dyDescent="0.25">
      <c r="AD22956"/>
    </row>
    <row r="22957" spans="30:30" x14ac:dyDescent="0.25">
      <c r="AD22957"/>
    </row>
    <row r="22958" spans="30:30" x14ac:dyDescent="0.25">
      <c r="AD22958"/>
    </row>
    <row r="22959" spans="30:30" x14ac:dyDescent="0.25">
      <c r="AD22959"/>
    </row>
    <row r="22960" spans="30:30" x14ac:dyDescent="0.25">
      <c r="AD22960"/>
    </row>
    <row r="22961" spans="30:30" x14ac:dyDescent="0.25">
      <c r="AD22961"/>
    </row>
    <row r="22962" spans="30:30" x14ac:dyDescent="0.25">
      <c r="AD22962"/>
    </row>
    <row r="22963" spans="30:30" x14ac:dyDescent="0.25">
      <c r="AD22963"/>
    </row>
    <row r="22964" spans="30:30" x14ac:dyDescent="0.25">
      <c r="AD22964"/>
    </row>
    <row r="22965" spans="30:30" x14ac:dyDescent="0.25">
      <c r="AD22965"/>
    </row>
    <row r="22966" spans="30:30" x14ac:dyDescent="0.25">
      <c r="AD22966"/>
    </row>
    <row r="22967" spans="30:30" x14ac:dyDescent="0.25">
      <c r="AD22967"/>
    </row>
    <row r="22968" spans="30:30" x14ac:dyDescent="0.25">
      <c r="AD22968"/>
    </row>
    <row r="22969" spans="30:30" x14ac:dyDescent="0.25">
      <c r="AD22969"/>
    </row>
    <row r="22970" spans="30:30" x14ac:dyDescent="0.25">
      <c r="AD22970"/>
    </row>
    <row r="22971" spans="30:30" x14ac:dyDescent="0.25">
      <c r="AD22971"/>
    </row>
    <row r="22972" spans="30:30" x14ac:dyDescent="0.25">
      <c r="AD22972"/>
    </row>
    <row r="22973" spans="30:30" x14ac:dyDescent="0.25">
      <c r="AD22973"/>
    </row>
    <row r="22974" spans="30:30" x14ac:dyDescent="0.25">
      <c r="AD22974"/>
    </row>
    <row r="22975" spans="30:30" x14ac:dyDescent="0.25">
      <c r="AD22975"/>
    </row>
    <row r="22976" spans="30:30" x14ac:dyDescent="0.25">
      <c r="AD22976"/>
    </row>
    <row r="22977" spans="30:30" x14ac:dyDescent="0.25">
      <c r="AD22977"/>
    </row>
    <row r="22978" spans="30:30" x14ac:dyDescent="0.25">
      <c r="AD22978"/>
    </row>
    <row r="22979" spans="30:30" x14ac:dyDescent="0.25">
      <c r="AD22979"/>
    </row>
    <row r="22980" spans="30:30" x14ac:dyDescent="0.25">
      <c r="AD22980"/>
    </row>
    <row r="22981" spans="30:30" x14ac:dyDescent="0.25">
      <c r="AD22981"/>
    </row>
    <row r="22982" spans="30:30" x14ac:dyDescent="0.25">
      <c r="AD22982"/>
    </row>
    <row r="22983" spans="30:30" x14ac:dyDescent="0.25">
      <c r="AD22983"/>
    </row>
    <row r="22984" spans="30:30" x14ac:dyDescent="0.25">
      <c r="AD22984"/>
    </row>
    <row r="22985" spans="30:30" x14ac:dyDescent="0.25">
      <c r="AD22985"/>
    </row>
    <row r="22986" spans="30:30" x14ac:dyDescent="0.25">
      <c r="AD22986"/>
    </row>
    <row r="22987" spans="30:30" x14ac:dyDescent="0.25">
      <c r="AD22987"/>
    </row>
    <row r="22988" spans="30:30" x14ac:dyDescent="0.25">
      <c r="AD22988"/>
    </row>
    <row r="22989" spans="30:30" x14ac:dyDescent="0.25">
      <c r="AD22989"/>
    </row>
    <row r="22990" spans="30:30" x14ac:dyDescent="0.25">
      <c r="AD22990"/>
    </row>
    <row r="22991" spans="30:30" x14ac:dyDescent="0.25">
      <c r="AD22991"/>
    </row>
    <row r="22992" spans="30:30" x14ac:dyDescent="0.25">
      <c r="AD22992"/>
    </row>
    <row r="22993" spans="30:30" x14ac:dyDescent="0.25">
      <c r="AD22993"/>
    </row>
    <row r="22994" spans="30:30" x14ac:dyDescent="0.25">
      <c r="AD22994"/>
    </row>
    <row r="22995" spans="30:30" x14ac:dyDescent="0.25">
      <c r="AD22995"/>
    </row>
    <row r="22996" spans="30:30" x14ac:dyDescent="0.25">
      <c r="AD22996"/>
    </row>
    <row r="22997" spans="30:30" x14ac:dyDescent="0.25">
      <c r="AD22997"/>
    </row>
    <row r="22998" spans="30:30" x14ac:dyDescent="0.25">
      <c r="AD22998"/>
    </row>
    <row r="22999" spans="30:30" x14ac:dyDescent="0.25">
      <c r="AD22999"/>
    </row>
    <row r="23000" spans="30:30" x14ac:dyDescent="0.25">
      <c r="AD23000"/>
    </row>
    <row r="23001" spans="30:30" x14ac:dyDescent="0.25">
      <c r="AD23001"/>
    </row>
    <row r="23002" spans="30:30" x14ac:dyDescent="0.25">
      <c r="AD23002"/>
    </row>
    <row r="23003" spans="30:30" x14ac:dyDescent="0.25">
      <c r="AD23003"/>
    </row>
    <row r="23004" spans="30:30" x14ac:dyDescent="0.25">
      <c r="AD23004"/>
    </row>
    <row r="23005" spans="30:30" x14ac:dyDescent="0.25">
      <c r="AD23005"/>
    </row>
    <row r="23006" spans="30:30" x14ac:dyDescent="0.25">
      <c r="AD23006"/>
    </row>
    <row r="23007" spans="30:30" x14ac:dyDescent="0.25">
      <c r="AD23007"/>
    </row>
    <row r="23008" spans="30:30" x14ac:dyDescent="0.25">
      <c r="AD23008"/>
    </row>
    <row r="23009" spans="30:30" x14ac:dyDescent="0.25">
      <c r="AD23009"/>
    </row>
    <row r="23010" spans="30:30" x14ac:dyDescent="0.25">
      <c r="AD23010"/>
    </row>
    <row r="23011" spans="30:30" x14ac:dyDescent="0.25">
      <c r="AD23011"/>
    </row>
    <row r="23012" spans="30:30" x14ac:dyDescent="0.25">
      <c r="AD23012"/>
    </row>
    <row r="23013" spans="30:30" x14ac:dyDescent="0.25">
      <c r="AD23013"/>
    </row>
    <row r="23014" spans="30:30" x14ac:dyDescent="0.25">
      <c r="AD23014"/>
    </row>
    <row r="23015" spans="30:30" x14ac:dyDescent="0.25">
      <c r="AD23015"/>
    </row>
    <row r="23016" spans="30:30" x14ac:dyDescent="0.25">
      <c r="AD23016"/>
    </row>
    <row r="23017" spans="30:30" x14ac:dyDescent="0.25">
      <c r="AD23017"/>
    </row>
    <row r="23018" spans="30:30" x14ac:dyDescent="0.25">
      <c r="AD23018"/>
    </row>
    <row r="23019" spans="30:30" x14ac:dyDescent="0.25">
      <c r="AD23019"/>
    </row>
    <row r="23020" spans="30:30" x14ac:dyDescent="0.25">
      <c r="AD23020"/>
    </row>
    <row r="23021" spans="30:30" x14ac:dyDescent="0.25">
      <c r="AD23021"/>
    </row>
    <row r="23022" spans="30:30" x14ac:dyDescent="0.25">
      <c r="AD23022"/>
    </row>
    <row r="23023" spans="30:30" x14ac:dyDescent="0.25">
      <c r="AD23023"/>
    </row>
    <row r="23024" spans="30:30" x14ac:dyDescent="0.25">
      <c r="AD23024"/>
    </row>
    <row r="23025" spans="30:30" x14ac:dyDescent="0.25">
      <c r="AD23025"/>
    </row>
    <row r="23026" spans="30:30" x14ac:dyDescent="0.25">
      <c r="AD23026"/>
    </row>
    <row r="23027" spans="30:30" x14ac:dyDescent="0.25">
      <c r="AD23027"/>
    </row>
    <row r="23028" spans="30:30" x14ac:dyDescent="0.25">
      <c r="AD23028"/>
    </row>
    <row r="23029" spans="30:30" x14ac:dyDescent="0.25">
      <c r="AD23029"/>
    </row>
    <row r="23030" spans="30:30" x14ac:dyDescent="0.25">
      <c r="AD23030"/>
    </row>
    <row r="23031" spans="30:30" x14ac:dyDescent="0.25">
      <c r="AD23031"/>
    </row>
    <row r="23032" spans="30:30" x14ac:dyDescent="0.25">
      <c r="AD23032"/>
    </row>
    <row r="23033" spans="30:30" x14ac:dyDescent="0.25">
      <c r="AD23033"/>
    </row>
    <row r="23034" spans="30:30" x14ac:dyDescent="0.25">
      <c r="AD23034"/>
    </row>
    <row r="23035" spans="30:30" x14ac:dyDescent="0.25">
      <c r="AD23035"/>
    </row>
    <row r="23036" spans="30:30" x14ac:dyDescent="0.25">
      <c r="AD23036"/>
    </row>
    <row r="23037" spans="30:30" x14ac:dyDescent="0.25">
      <c r="AD23037"/>
    </row>
    <row r="23038" spans="30:30" x14ac:dyDescent="0.25">
      <c r="AD23038"/>
    </row>
    <row r="23039" spans="30:30" x14ac:dyDescent="0.25">
      <c r="AD23039"/>
    </row>
    <row r="23040" spans="30:30" x14ac:dyDescent="0.25">
      <c r="AD23040"/>
    </row>
    <row r="23041" spans="30:30" x14ac:dyDescent="0.25">
      <c r="AD23041"/>
    </row>
    <row r="23042" spans="30:30" x14ac:dyDescent="0.25">
      <c r="AD23042"/>
    </row>
    <row r="23043" spans="30:30" x14ac:dyDescent="0.25">
      <c r="AD23043"/>
    </row>
    <row r="23044" spans="30:30" x14ac:dyDescent="0.25">
      <c r="AD23044"/>
    </row>
    <row r="23045" spans="30:30" x14ac:dyDescent="0.25">
      <c r="AD23045"/>
    </row>
    <row r="23046" spans="30:30" x14ac:dyDescent="0.25">
      <c r="AD23046"/>
    </row>
    <row r="23047" spans="30:30" x14ac:dyDescent="0.25">
      <c r="AD23047"/>
    </row>
    <row r="23048" spans="30:30" x14ac:dyDescent="0.25">
      <c r="AD23048"/>
    </row>
    <row r="23049" spans="30:30" x14ac:dyDescent="0.25">
      <c r="AD23049"/>
    </row>
    <row r="23050" spans="30:30" x14ac:dyDescent="0.25">
      <c r="AD23050"/>
    </row>
    <row r="23051" spans="30:30" x14ac:dyDescent="0.25">
      <c r="AD23051"/>
    </row>
    <row r="23052" spans="30:30" x14ac:dyDescent="0.25">
      <c r="AD23052"/>
    </row>
    <row r="23053" spans="30:30" x14ac:dyDescent="0.25">
      <c r="AD23053"/>
    </row>
    <row r="23054" spans="30:30" x14ac:dyDescent="0.25">
      <c r="AD23054"/>
    </row>
    <row r="23055" spans="30:30" x14ac:dyDescent="0.25">
      <c r="AD23055"/>
    </row>
    <row r="23056" spans="30:30" x14ac:dyDescent="0.25">
      <c r="AD23056"/>
    </row>
    <row r="23057" spans="30:30" x14ac:dyDescent="0.25">
      <c r="AD23057"/>
    </row>
    <row r="23058" spans="30:30" x14ac:dyDescent="0.25">
      <c r="AD23058"/>
    </row>
    <row r="23059" spans="30:30" x14ac:dyDescent="0.25">
      <c r="AD23059"/>
    </row>
    <row r="23060" spans="30:30" x14ac:dyDescent="0.25">
      <c r="AD23060"/>
    </row>
    <row r="23061" spans="30:30" x14ac:dyDescent="0.25">
      <c r="AD23061"/>
    </row>
    <row r="23062" spans="30:30" x14ac:dyDescent="0.25">
      <c r="AD23062"/>
    </row>
    <row r="23063" spans="30:30" x14ac:dyDescent="0.25">
      <c r="AD23063"/>
    </row>
    <row r="23064" spans="30:30" x14ac:dyDescent="0.25">
      <c r="AD23064"/>
    </row>
    <row r="23065" spans="30:30" x14ac:dyDescent="0.25">
      <c r="AD23065"/>
    </row>
    <row r="23066" spans="30:30" x14ac:dyDescent="0.25">
      <c r="AD23066"/>
    </row>
    <row r="23067" spans="30:30" x14ac:dyDescent="0.25">
      <c r="AD23067"/>
    </row>
    <row r="23068" spans="30:30" x14ac:dyDescent="0.25">
      <c r="AD23068"/>
    </row>
    <row r="23069" spans="30:30" x14ac:dyDescent="0.25">
      <c r="AD23069"/>
    </row>
    <row r="23070" spans="30:30" x14ac:dyDescent="0.25">
      <c r="AD23070"/>
    </row>
    <row r="23071" spans="30:30" x14ac:dyDescent="0.25">
      <c r="AD23071"/>
    </row>
    <row r="23072" spans="30:30" x14ac:dyDescent="0.25">
      <c r="AD23072"/>
    </row>
    <row r="23073" spans="30:30" x14ac:dyDescent="0.25">
      <c r="AD23073"/>
    </row>
    <row r="23074" spans="30:30" x14ac:dyDescent="0.25">
      <c r="AD23074"/>
    </row>
    <row r="23075" spans="30:30" x14ac:dyDescent="0.25">
      <c r="AD23075"/>
    </row>
    <row r="23076" spans="30:30" x14ac:dyDescent="0.25">
      <c r="AD23076"/>
    </row>
    <row r="23077" spans="30:30" x14ac:dyDescent="0.25">
      <c r="AD23077"/>
    </row>
    <row r="23078" spans="30:30" x14ac:dyDescent="0.25">
      <c r="AD23078"/>
    </row>
    <row r="23079" spans="30:30" x14ac:dyDescent="0.25">
      <c r="AD23079"/>
    </row>
    <row r="23080" spans="30:30" x14ac:dyDescent="0.25">
      <c r="AD23080"/>
    </row>
    <row r="23081" spans="30:30" x14ac:dyDescent="0.25">
      <c r="AD23081"/>
    </row>
    <row r="23082" spans="30:30" x14ac:dyDescent="0.25">
      <c r="AD23082"/>
    </row>
    <row r="23083" spans="30:30" x14ac:dyDescent="0.25">
      <c r="AD23083"/>
    </row>
    <row r="23084" spans="30:30" x14ac:dyDescent="0.25">
      <c r="AD23084"/>
    </row>
    <row r="23085" spans="30:30" x14ac:dyDescent="0.25">
      <c r="AD23085"/>
    </row>
    <row r="23086" spans="30:30" x14ac:dyDescent="0.25">
      <c r="AD23086"/>
    </row>
    <row r="23087" spans="30:30" x14ac:dyDescent="0.25">
      <c r="AD23087"/>
    </row>
    <row r="23088" spans="30:30" x14ac:dyDescent="0.25">
      <c r="AD23088"/>
    </row>
    <row r="23089" spans="30:30" x14ac:dyDescent="0.25">
      <c r="AD23089"/>
    </row>
    <row r="23090" spans="30:30" x14ac:dyDescent="0.25">
      <c r="AD23090"/>
    </row>
    <row r="23091" spans="30:30" x14ac:dyDescent="0.25">
      <c r="AD23091"/>
    </row>
    <row r="23092" spans="30:30" x14ac:dyDescent="0.25">
      <c r="AD23092"/>
    </row>
    <row r="23093" spans="30:30" x14ac:dyDescent="0.25">
      <c r="AD23093"/>
    </row>
    <row r="23094" spans="30:30" x14ac:dyDescent="0.25">
      <c r="AD23094"/>
    </row>
    <row r="23095" spans="30:30" x14ac:dyDescent="0.25">
      <c r="AD23095"/>
    </row>
    <row r="23096" spans="30:30" x14ac:dyDescent="0.25">
      <c r="AD23096"/>
    </row>
    <row r="23097" spans="30:30" x14ac:dyDescent="0.25">
      <c r="AD23097"/>
    </row>
    <row r="23098" spans="30:30" x14ac:dyDescent="0.25">
      <c r="AD23098"/>
    </row>
    <row r="23099" spans="30:30" x14ac:dyDescent="0.25">
      <c r="AD23099"/>
    </row>
    <row r="23100" spans="30:30" x14ac:dyDescent="0.25">
      <c r="AD23100"/>
    </row>
    <row r="23101" spans="30:30" x14ac:dyDescent="0.25">
      <c r="AD23101"/>
    </row>
    <row r="23102" spans="30:30" x14ac:dyDescent="0.25">
      <c r="AD23102"/>
    </row>
    <row r="23103" spans="30:30" x14ac:dyDescent="0.25">
      <c r="AD23103"/>
    </row>
    <row r="23104" spans="30:30" x14ac:dyDescent="0.25">
      <c r="AD23104"/>
    </row>
    <row r="23105" spans="30:30" x14ac:dyDescent="0.25">
      <c r="AD23105"/>
    </row>
    <row r="23106" spans="30:30" x14ac:dyDescent="0.25">
      <c r="AD23106"/>
    </row>
    <row r="23107" spans="30:30" x14ac:dyDescent="0.25">
      <c r="AD23107"/>
    </row>
    <row r="23108" spans="30:30" x14ac:dyDescent="0.25">
      <c r="AD23108"/>
    </row>
    <row r="23109" spans="30:30" x14ac:dyDescent="0.25">
      <c r="AD23109"/>
    </row>
    <row r="23110" spans="30:30" x14ac:dyDescent="0.25">
      <c r="AD23110"/>
    </row>
    <row r="23111" spans="30:30" x14ac:dyDescent="0.25">
      <c r="AD23111"/>
    </row>
    <row r="23112" spans="30:30" x14ac:dyDescent="0.25">
      <c r="AD23112"/>
    </row>
    <row r="23113" spans="30:30" x14ac:dyDescent="0.25">
      <c r="AD23113"/>
    </row>
    <row r="23114" spans="30:30" x14ac:dyDescent="0.25">
      <c r="AD23114"/>
    </row>
    <row r="23115" spans="30:30" x14ac:dyDescent="0.25">
      <c r="AD23115"/>
    </row>
    <row r="23116" spans="30:30" x14ac:dyDescent="0.25">
      <c r="AD23116"/>
    </row>
    <row r="23117" spans="30:30" x14ac:dyDescent="0.25">
      <c r="AD23117"/>
    </row>
    <row r="23118" spans="30:30" x14ac:dyDescent="0.25">
      <c r="AD23118"/>
    </row>
    <row r="23119" spans="30:30" x14ac:dyDescent="0.25">
      <c r="AD23119"/>
    </row>
    <row r="23120" spans="30:30" x14ac:dyDescent="0.25">
      <c r="AD23120"/>
    </row>
    <row r="23121" spans="30:30" x14ac:dyDescent="0.25">
      <c r="AD23121"/>
    </row>
    <row r="23122" spans="30:30" x14ac:dyDescent="0.25">
      <c r="AD23122"/>
    </row>
    <row r="23123" spans="30:30" x14ac:dyDescent="0.25">
      <c r="AD23123"/>
    </row>
    <row r="23124" spans="30:30" x14ac:dyDescent="0.25">
      <c r="AD23124"/>
    </row>
    <row r="23125" spans="30:30" x14ac:dyDescent="0.25">
      <c r="AD23125"/>
    </row>
    <row r="23126" spans="30:30" x14ac:dyDescent="0.25">
      <c r="AD23126"/>
    </row>
    <row r="23127" spans="30:30" x14ac:dyDescent="0.25">
      <c r="AD23127"/>
    </row>
    <row r="23128" spans="30:30" x14ac:dyDescent="0.25">
      <c r="AD23128"/>
    </row>
    <row r="23129" spans="30:30" x14ac:dyDescent="0.25">
      <c r="AD23129"/>
    </row>
    <row r="23130" spans="30:30" x14ac:dyDescent="0.25">
      <c r="AD23130"/>
    </row>
    <row r="23131" spans="30:30" x14ac:dyDescent="0.25">
      <c r="AD23131"/>
    </row>
    <row r="23132" spans="30:30" x14ac:dyDescent="0.25">
      <c r="AD23132"/>
    </row>
    <row r="23133" spans="30:30" x14ac:dyDescent="0.25">
      <c r="AD23133"/>
    </row>
    <row r="23134" spans="30:30" x14ac:dyDescent="0.25">
      <c r="AD23134"/>
    </row>
    <row r="23135" spans="30:30" x14ac:dyDescent="0.25">
      <c r="AD23135"/>
    </row>
    <row r="23136" spans="30:30" x14ac:dyDescent="0.25">
      <c r="AD23136"/>
    </row>
    <row r="23137" spans="30:30" x14ac:dyDescent="0.25">
      <c r="AD23137"/>
    </row>
    <row r="23138" spans="30:30" x14ac:dyDescent="0.25">
      <c r="AD23138"/>
    </row>
    <row r="23139" spans="30:30" x14ac:dyDescent="0.25">
      <c r="AD23139"/>
    </row>
    <row r="23140" spans="30:30" x14ac:dyDescent="0.25">
      <c r="AD23140"/>
    </row>
    <row r="23141" spans="30:30" x14ac:dyDescent="0.25">
      <c r="AD23141"/>
    </row>
    <row r="23142" spans="30:30" x14ac:dyDescent="0.25">
      <c r="AD23142"/>
    </row>
    <row r="23143" spans="30:30" x14ac:dyDescent="0.25">
      <c r="AD23143"/>
    </row>
    <row r="23144" spans="30:30" x14ac:dyDescent="0.25">
      <c r="AD23144"/>
    </row>
    <row r="23145" spans="30:30" x14ac:dyDescent="0.25">
      <c r="AD23145"/>
    </row>
    <row r="23146" spans="30:30" x14ac:dyDescent="0.25">
      <c r="AD23146"/>
    </row>
    <row r="23147" spans="30:30" x14ac:dyDescent="0.25">
      <c r="AD23147"/>
    </row>
    <row r="23148" spans="30:30" x14ac:dyDescent="0.25">
      <c r="AD23148"/>
    </row>
    <row r="23149" spans="30:30" x14ac:dyDescent="0.25">
      <c r="AD23149"/>
    </row>
    <row r="23150" spans="30:30" x14ac:dyDescent="0.25">
      <c r="AD23150"/>
    </row>
    <row r="23151" spans="30:30" x14ac:dyDescent="0.25">
      <c r="AD23151"/>
    </row>
    <row r="23152" spans="30:30" x14ac:dyDescent="0.25">
      <c r="AD23152"/>
    </row>
    <row r="23153" spans="30:30" x14ac:dyDescent="0.25">
      <c r="AD23153"/>
    </row>
    <row r="23154" spans="30:30" x14ac:dyDescent="0.25">
      <c r="AD23154"/>
    </row>
    <row r="23155" spans="30:30" x14ac:dyDescent="0.25">
      <c r="AD23155"/>
    </row>
    <row r="23156" spans="30:30" x14ac:dyDescent="0.25">
      <c r="AD23156"/>
    </row>
    <row r="23157" spans="30:30" x14ac:dyDescent="0.25">
      <c r="AD23157"/>
    </row>
    <row r="23158" spans="30:30" x14ac:dyDescent="0.25">
      <c r="AD23158"/>
    </row>
    <row r="23159" spans="30:30" x14ac:dyDescent="0.25">
      <c r="AD23159"/>
    </row>
    <row r="23160" spans="30:30" x14ac:dyDescent="0.25">
      <c r="AD23160"/>
    </row>
    <row r="23161" spans="30:30" x14ac:dyDescent="0.25">
      <c r="AD23161"/>
    </row>
    <row r="23162" spans="30:30" x14ac:dyDescent="0.25">
      <c r="AD23162"/>
    </row>
    <row r="23163" spans="30:30" x14ac:dyDescent="0.25">
      <c r="AD23163"/>
    </row>
    <row r="23164" spans="30:30" x14ac:dyDescent="0.25">
      <c r="AD23164"/>
    </row>
    <row r="23165" spans="30:30" x14ac:dyDescent="0.25">
      <c r="AD23165"/>
    </row>
    <row r="23166" spans="30:30" x14ac:dyDescent="0.25">
      <c r="AD23166"/>
    </row>
    <row r="23167" spans="30:30" x14ac:dyDescent="0.25">
      <c r="AD23167"/>
    </row>
    <row r="23168" spans="30:30" x14ac:dyDescent="0.25">
      <c r="AD23168"/>
    </row>
    <row r="23169" spans="30:30" x14ac:dyDescent="0.25">
      <c r="AD23169"/>
    </row>
    <row r="23170" spans="30:30" x14ac:dyDescent="0.25">
      <c r="AD23170"/>
    </row>
    <row r="23171" spans="30:30" x14ac:dyDescent="0.25">
      <c r="AD23171"/>
    </row>
    <row r="23172" spans="30:30" x14ac:dyDescent="0.25">
      <c r="AD23172"/>
    </row>
    <row r="23173" spans="30:30" x14ac:dyDescent="0.25">
      <c r="AD23173"/>
    </row>
    <row r="23174" spans="30:30" x14ac:dyDescent="0.25">
      <c r="AD23174"/>
    </row>
    <row r="23175" spans="30:30" x14ac:dyDescent="0.25">
      <c r="AD23175"/>
    </row>
    <row r="23176" spans="30:30" x14ac:dyDescent="0.25">
      <c r="AD23176"/>
    </row>
    <row r="23177" spans="30:30" x14ac:dyDescent="0.25">
      <c r="AD23177"/>
    </row>
    <row r="23178" spans="30:30" x14ac:dyDescent="0.25">
      <c r="AD23178"/>
    </row>
    <row r="23179" spans="30:30" x14ac:dyDescent="0.25">
      <c r="AD23179"/>
    </row>
    <row r="23180" spans="30:30" x14ac:dyDescent="0.25">
      <c r="AD23180"/>
    </row>
    <row r="23181" spans="30:30" x14ac:dyDescent="0.25">
      <c r="AD23181"/>
    </row>
    <row r="23182" spans="30:30" x14ac:dyDescent="0.25">
      <c r="AD23182"/>
    </row>
    <row r="23183" spans="30:30" x14ac:dyDescent="0.25">
      <c r="AD23183"/>
    </row>
    <row r="23184" spans="30:30" x14ac:dyDescent="0.25">
      <c r="AD23184"/>
    </row>
    <row r="23185" spans="30:30" x14ac:dyDescent="0.25">
      <c r="AD23185"/>
    </row>
    <row r="23186" spans="30:30" x14ac:dyDescent="0.25">
      <c r="AD23186"/>
    </row>
    <row r="23187" spans="30:30" x14ac:dyDescent="0.25">
      <c r="AD23187"/>
    </row>
    <row r="23188" spans="30:30" x14ac:dyDescent="0.25">
      <c r="AD23188"/>
    </row>
    <row r="23189" spans="30:30" x14ac:dyDescent="0.25">
      <c r="AD23189"/>
    </row>
    <row r="23190" spans="30:30" x14ac:dyDescent="0.25">
      <c r="AD23190"/>
    </row>
    <row r="23191" spans="30:30" x14ac:dyDescent="0.25">
      <c r="AD23191"/>
    </row>
    <row r="23192" spans="30:30" x14ac:dyDescent="0.25">
      <c r="AD23192"/>
    </row>
    <row r="23193" spans="30:30" x14ac:dyDescent="0.25">
      <c r="AD23193"/>
    </row>
    <row r="23194" spans="30:30" x14ac:dyDescent="0.25">
      <c r="AD23194"/>
    </row>
    <row r="23195" spans="30:30" x14ac:dyDescent="0.25">
      <c r="AD23195"/>
    </row>
    <row r="23196" spans="30:30" x14ac:dyDescent="0.25">
      <c r="AD23196"/>
    </row>
    <row r="23197" spans="30:30" x14ac:dyDescent="0.25">
      <c r="AD23197"/>
    </row>
    <row r="23198" spans="30:30" x14ac:dyDescent="0.25">
      <c r="AD23198"/>
    </row>
    <row r="23199" spans="30:30" x14ac:dyDescent="0.25">
      <c r="AD23199"/>
    </row>
    <row r="23200" spans="30:30" x14ac:dyDescent="0.25">
      <c r="AD23200"/>
    </row>
    <row r="23201" spans="30:30" x14ac:dyDescent="0.25">
      <c r="AD23201"/>
    </row>
    <row r="23202" spans="30:30" x14ac:dyDescent="0.25">
      <c r="AD23202"/>
    </row>
    <row r="23203" spans="30:30" x14ac:dyDescent="0.25">
      <c r="AD23203"/>
    </row>
    <row r="23204" spans="30:30" x14ac:dyDescent="0.25">
      <c r="AD23204"/>
    </row>
    <row r="23205" spans="30:30" x14ac:dyDescent="0.25">
      <c r="AD23205"/>
    </row>
    <row r="23206" spans="30:30" x14ac:dyDescent="0.25">
      <c r="AD23206"/>
    </row>
    <row r="23207" spans="30:30" x14ac:dyDescent="0.25">
      <c r="AD23207"/>
    </row>
    <row r="23208" spans="30:30" x14ac:dyDescent="0.25">
      <c r="AD23208"/>
    </row>
    <row r="23209" spans="30:30" x14ac:dyDescent="0.25">
      <c r="AD23209"/>
    </row>
    <row r="23210" spans="30:30" x14ac:dyDescent="0.25">
      <c r="AD23210"/>
    </row>
    <row r="23211" spans="30:30" x14ac:dyDescent="0.25">
      <c r="AD23211"/>
    </row>
    <row r="23212" spans="30:30" x14ac:dyDescent="0.25">
      <c r="AD23212"/>
    </row>
    <row r="23213" spans="30:30" x14ac:dyDescent="0.25">
      <c r="AD23213"/>
    </row>
    <row r="23214" spans="30:30" x14ac:dyDescent="0.25">
      <c r="AD23214"/>
    </row>
    <row r="23215" spans="30:30" x14ac:dyDescent="0.25">
      <c r="AD23215"/>
    </row>
    <row r="23216" spans="30:30" x14ac:dyDescent="0.25">
      <c r="AD23216"/>
    </row>
    <row r="23217" spans="30:30" x14ac:dyDescent="0.25">
      <c r="AD23217"/>
    </row>
    <row r="23218" spans="30:30" x14ac:dyDescent="0.25">
      <c r="AD23218"/>
    </row>
    <row r="23219" spans="30:30" x14ac:dyDescent="0.25">
      <c r="AD23219"/>
    </row>
    <row r="23220" spans="30:30" x14ac:dyDescent="0.25">
      <c r="AD23220"/>
    </row>
    <row r="23221" spans="30:30" x14ac:dyDescent="0.25">
      <c r="AD23221"/>
    </row>
    <row r="23222" spans="30:30" x14ac:dyDescent="0.25">
      <c r="AD23222"/>
    </row>
    <row r="23223" spans="30:30" x14ac:dyDescent="0.25">
      <c r="AD23223"/>
    </row>
    <row r="23224" spans="30:30" x14ac:dyDescent="0.25">
      <c r="AD23224"/>
    </row>
    <row r="23225" spans="30:30" x14ac:dyDescent="0.25">
      <c r="AD23225"/>
    </row>
    <row r="23226" spans="30:30" x14ac:dyDescent="0.25">
      <c r="AD23226"/>
    </row>
    <row r="23227" spans="30:30" x14ac:dyDescent="0.25">
      <c r="AD23227"/>
    </row>
    <row r="23228" spans="30:30" x14ac:dyDescent="0.25">
      <c r="AD23228"/>
    </row>
    <row r="23229" spans="30:30" x14ac:dyDescent="0.25">
      <c r="AD23229"/>
    </row>
    <row r="23230" spans="30:30" x14ac:dyDescent="0.25">
      <c r="AD23230"/>
    </row>
    <row r="23231" spans="30:30" x14ac:dyDescent="0.25">
      <c r="AD23231"/>
    </row>
    <row r="23232" spans="30:30" x14ac:dyDescent="0.25">
      <c r="AD23232"/>
    </row>
    <row r="23233" spans="30:30" x14ac:dyDescent="0.25">
      <c r="AD23233"/>
    </row>
    <row r="23234" spans="30:30" x14ac:dyDescent="0.25">
      <c r="AD23234"/>
    </row>
    <row r="23235" spans="30:30" x14ac:dyDescent="0.25">
      <c r="AD23235"/>
    </row>
    <row r="23236" spans="30:30" x14ac:dyDescent="0.25">
      <c r="AD23236"/>
    </row>
    <row r="23237" spans="30:30" x14ac:dyDescent="0.25">
      <c r="AD23237"/>
    </row>
    <row r="23238" spans="30:30" x14ac:dyDescent="0.25">
      <c r="AD23238"/>
    </row>
    <row r="23239" spans="30:30" x14ac:dyDescent="0.25">
      <c r="AD23239"/>
    </row>
    <row r="23240" spans="30:30" x14ac:dyDescent="0.25">
      <c r="AD23240"/>
    </row>
    <row r="23241" spans="30:30" x14ac:dyDescent="0.25">
      <c r="AD23241"/>
    </row>
    <row r="23242" spans="30:30" x14ac:dyDescent="0.25">
      <c r="AD23242"/>
    </row>
    <row r="23243" spans="30:30" x14ac:dyDescent="0.25">
      <c r="AD23243"/>
    </row>
    <row r="23244" spans="30:30" x14ac:dyDescent="0.25">
      <c r="AD23244"/>
    </row>
    <row r="23245" spans="30:30" x14ac:dyDescent="0.25">
      <c r="AD23245"/>
    </row>
    <row r="23246" spans="30:30" x14ac:dyDescent="0.25">
      <c r="AD23246"/>
    </row>
    <row r="23247" spans="30:30" x14ac:dyDescent="0.25">
      <c r="AD23247"/>
    </row>
    <row r="23248" spans="30:30" x14ac:dyDescent="0.25">
      <c r="AD23248"/>
    </row>
    <row r="23249" spans="30:30" x14ac:dyDescent="0.25">
      <c r="AD23249"/>
    </row>
    <row r="23250" spans="30:30" x14ac:dyDescent="0.25">
      <c r="AD23250"/>
    </row>
    <row r="23251" spans="30:30" x14ac:dyDescent="0.25">
      <c r="AD23251"/>
    </row>
    <row r="23252" spans="30:30" x14ac:dyDescent="0.25">
      <c r="AD23252"/>
    </row>
    <row r="23253" spans="30:30" x14ac:dyDescent="0.25">
      <c r="AD23253"/>
    </row>
    <row r="23254" spans="30:30" x14ac:dyDescent="0.25">
      <c r="AD23254"/>
    </row>
    <row r="23255" spans="30:30" x14ac:dyDescent="0.25">
      <c r="AD23255"/>
    </row>
    <row r="23256" spans="30:30" x14ac:dyDescent="0.25">
      <c r="AD23256"/>
    </row>
    <row r="23257" spans="30:30" x14ac:dyDescent="0.25">
      <c r="AD23257"/>
    </row>
    <row r="23258" spans="30:30" x14ac:dyDescent="0.25">
      <c r="AD23258"/>
    </row>
    <row r="23259" spans="30:30" x14ac:dyDescent="0.25">
      <c r="AD23259"/>
    </row>
    <row r="23260" spans="30:30" x14ac:dyDescent="0.25">
      <c r="AD23260"/>
    </row>
    <row r="23261" spans="30:30" x14ac:dyDescent="0.25">
      <c r="AD23261"/>
    </row>
    <row r="23262" spans="30:30" x14ac:dyDescent="0.25">
      <c r="AD23262"/>
    </row>
    <row r="23263" spans="30:30" x14ac:dyDescent="0.25">
      <c r="AD23263"/>
    </row>
    <row r="23264" spans="30:30" x14ac:dyDescent="0.25">
      <c r="AD23264"/>
    </row>
    <row r="23265" spans="30:30" x14ac:dyDescent="0.25">
      <c r="AD23265"/>
    </row>
    <row r="23266" spans="30:30" x14ac:dyDescent="0.25">
      <c r="AD23266"/>
    </row>
    <row r="23267" spans="30:30" x14ac:dyDescent="0.25">
      <c r="AD23267"/>
    </row>
    <row r="23268" spans="30:30" x14ac:dyDescent="0.25">
      <c r="AD23268"/>
    </row>
    <row r="23269" spans="30:30" x14ac:dyDescent="0.25">
      <c r="AD23269"/>
    </row>
    <row r="23270" spans="30:30" x14ac:dyDescent="0.25">
      <c r="AD23270"/>
    </row>
    <row r="23271" spans="30:30" x14ac:dyDescent="0.25">
      <c r="AD23271"/>
    </row>
    <row r="23272" spans="30:30" x14ac:dyDescent="0.25">
      <c r="AD23272"/>
    </row>
    <row r="23273" spans="30:30" x14ac:dyDescent="0.25">
      <c r="AD23273"/>
    </row>
    <row r="23274" spans="30:30" x14ac:dyDescent="0.25">
      <c r="AD23274"/>
    </row>
    <row r="23275" spans="30:30" x14ac:dyDescent="0.25">
      <c r="AD23275"/>
    </row>
    <row r="23276" spans="30:30" x14ac:dyDescent="0.25">
      <c r="AD23276"/>
    </row>
    <row r="23277" spans="30:30" x14ac:dyDescent="0.25">
      <c r="AD23277"/>
    </row>
    <row r="23278" spans="30:30" x14ac:dyDescent="0.25">
      <c r="AD23278"/>
    </row>
    <row r="23279" spans="30:30" x14ac:dyDescent="0.25">
      <c r="AD23279"/>
    </row>
    <row r="23280" spans="30:30" x14ac:dyDescent="0.25">
      <c r="AD23280"/>
    </row>
    <row r="23281" spans="30:30" x14ac:dyDescent="0.25">
      <c r="AD23281"/>
    </row>
    <row r="23282" spans="30:30" x14ac:dyDescent="0.25">
      <c r="AD23282"/>
    </row>
    <row r="23283" spans="30:30" x14ac:dyDescent="0.25">
      <c r="AD23283"/>
    </row>
    <row r="23284" spans="30:30" x14ac:dyDescent="0.25">
      <c r="AD23284"/>
    </row>
    <row r="23285" spans="30:30" x14ac:dyDescent="0.25">
      <c r="AD23285"/>
    </row>
    <row r="23286" spans="30:30" x14ac:dyDescent="0.25">
      <c r="AD23286"/>
    </row>
    <row r="23287" spans="30:30" x14ac:dyDescent="0.25">
      <c r="AD23287"/>
    </row>
    <row r="23288" spans="30:30" x14ac:dyDescent="0.25">
      <c r="AD23288"/>
    </row>
    <row r="23289" spans="30:30" x14ac:dyDescent="0.25">
      <c r="AD23289"/>
    </row>
    <row r="23290" spans="30:30" x14ac:dyDescent="0.25">
      <c r="AD23290"/>
    </row>
    <row r="23291" spans="30:30" x14ac:dyDescent="0.25">
      <c r="AD23291"/>
    </row>
    <row r="23292" spans="30:30" x14ac:dyDescent="0.25">
      <c r="AD23292"/>
    </row>
    <row r="23293" spans="30:30" x14ac:dyDescent="0.25">
      <c r="AD23293"/>
    </row>
    <row r="23294" spans="30:30" x14ac:dyDescent="0.25">
      <c r="AD23294"/>
    </row>
    <row r="23295" spans="30:30" x14ac:dyDescent="0.25">
      <c r="AD23295"/>
    </row>
    <row r="23296" spans="30:30" x14ac:dyDescent="0.25">
      <c r="AD23296"/>
    </row>
    <row r="23297" spans="30:30" x14ac:dyDescent="0.25">
      <c r="AD23297"/>
    </row>
    <row r="23298" spans="30:30" x14ac:dyDescent="0.25">
      <c r="AD23298"/>
    </row>
    <row r="23299" spans="30:30" x14ac:dyDescent="0.25">
      <c r="AD23299"/>
    </row>
    <row r="23300" spans="30:30" x14ac:dyDescent="0.25">
      <c r="AD23300"/>
    </row>
    <row r="23301" spans="30:30" x14ac:dyDescent="0.25">
      <c r="AD23301"/>
    </row>
    <row r="23302" spans="30:30" x14ac:dyDescent="0.25">
      <c r="AD23302"/>
    </row>
    <row r="23303" spans="30:30" x14ac:dyDescent="0.25">
      <c r="AD23303"/>
    </row>
    <row r="23304" spans="30:30" x14ac:dyDescent="0.25">
      <c r="AD23304"/>
    </row>
    <row r="23305" spans="30:30" x14ac:dyDescent="0.25">
      <c r="AD23305"/>
    </row>
    <row r="23306" spans="30:30" x14ac:dyDescent="0.25">
      <c r="AD23306"/>
    </row>
    <row r="23307" spans="30:30" x14ac:dyDescent="0.25">
      <c r="AD23307"/>
    </row>
    <row r="23308" spans="30:30" x14ac:dyDescent="0.25">
      <c r="AD23308"/>
    </row>
    <row r="23309" spans="30:30" x14ac:dyDescent="0.25">
      <c r="AD23309"/>
    </row>
    <row r="23310" spans="30:30" x14ac:dyDescent="0.25">
      <c r="AD23310"/>
    </row>
    <row r="23311" spans="30:30" x14ac:dyDescent="0.25">
      <c r="AD23311"/>
    </row>
    <row r="23312" spans="30:30" x14ac:dyDescent="0.25">
      <c r="AD23312"/>
    </row>
    <row r="23313" spans="30:30" x14ac:dyDescent="0.25">
      <c r="AD23313"/>
    </row>
    <row r="23314" spans="30:30" x14ac:dyDescent="0.25">
      <c r="AD23314"/>
    </row>
    <row r="23315" spans="30:30" x14ac:dyDescent="0.25">
      <c r="AD23315"/>
    </row>
    <row r="23316" spans="30:30" x14ac:dyDescent="0.25">
      <c r="AD23316"/>
    </row>
    <row r="23317" spans="30:30" x14ac:dyDescent="0.25">
      <c r="AD23317"/>
    </row>
    <row r="23318" spans="30:30" x14ac:dyDescent="0.25">
      <c r="AD23318"/>
    </row>
    <row r="23319" spans="30:30" x14ac:dyDescent="0.25">
      <c r="AD23319"/>
    </row>
    <row r="23320" spans="30:30" x14ac:dyDescent="0.25">
      <c r="AD23320"/>
    </row>
    <row r="23321" spans="30:30" x14ac:dyDescent="0.25">
      <c r="AD23321"/>
    </row>
    <row r="23322" spans="30:30" x14ac:dyDescent="0.25">
      <c r="AD23322"/>
    </row>
    <row r="23323" spans="30:30" x14ac:dyDescent="0.25">
      <c r="AD23323"/>
    </row>
    <row r="23324" spans="30:30" x14ac:dyDescent="0.25">
      <c r="AD23324"/>
    </row>
    <row r="23325" spans="30:30" x14ac:dyDescent="0.25">
      <c r="AD23325"/>
    </row>
    <row r="23326" spans="30:30" x14ac:dyDescent="0.25">
      <c r="AD23326"/>
    </row>
    <row r="23327" spans="30:30" x14ac:dyDescent="0.25">
      <c r="AD23327"/>
    </row>
    <row r="23328" spans="30:30" x14ac:dyDescent="0.25">
      <c r="AD23328"/>
    </row>
    <row r="23329" spans="30:30" x14ac:dyDescent="0.25">
      <c r="AD23329"/>
    </row>
    <row r="23330" spans="30:30" x14ac:dyDescent="0.25">
      <c r="AD23330"/>
    </row>
    <row r="23331" spans="30:30" x14ac:dyDescent="0.25">
      <c r="AD23331"/>
    </row>
    <row r="23332" spans="30:30" x14ac:dyDescent="0.25">
      <c r="AD23332"/>
    </row>
    <row r="23333" spans="30:30" x14ac:dyDescent="0.25">
      <c r="AD23333"/>
    </row>
    <row r="23334" spans="30:30" x14ac:dyDescent="0.25">
      <c r="AD23334"/>
    </row>
    <row r="23335" spans="30:30" x14ac:dyDescent="0.25">
      <c r="AD23335"/>
    </row>
    <row r="23336" spans="30:30" x14ac:dyDescent="0.25">
      <c r="AD23336"/>
    </row>
    <row r="23337" spans="30:30" x14ac:dyDescent="0.25">
      <c r="AD23337"/>
    </row>
    <row r="23338" spans="30:30" x14ac:dyDescent="0.25">
      <c r="AD23338"/>
    </row>
    <row r="23339" spans="30:30" x14ac:dyDescent="0.25">
      <c r="AD23339"/>
    </row>
    <row r="23340" spans="30:30" x14ac:dyDescent="0.25">
      <c r="AD23340"/>
    </row>
    <row r="23341" spans="30:30" x14ac:dyDescent="0.25">
      <c r="AD23341"/>
    </row>
    <row r="23342" spans="30:30" x14ac:dyDescent="0.25">
      <c r="AD23342"/>
    </row>
    <row r="23343" spans="30:30" x14ac:dyDescent="0.25">
      <c r="AD23343"/>
    </row>
    <row r="23344" spans="30:30" x14ac:dyDescent="0.25">
      <c r="AD23344"/>
    </row>
    <row r="23345" spans="30:30" x14ac:dyDescent="0.25">
      <c r="AD23345"/>
    </row>
    <row r="23346" spans="30:30" x14ac:dyDescent="0.25">
      <c r="AD23346"/>
    </row>
    <row r="23347" spans="30:30" x14ac:dyDescent="0.25">
      <c r="AD23347"/>
    </row>
    <row r="23348" spans="30:30" x14ac:dyDescent="0.25">
      <c r="AD23348"/>
    </row>
    <row r="23349" spans="30:30" x14ac:dyDescent="0.25">
      <c r="AD23349"/>
    </row>
    <row r="23350" spans="30:30" x14ac:dyDescent="0.25">
      <c r="AD23350"/>
    </row>
    <row r="23351" spans="30:30" x14ac:dyDescent="0.25">
      <c r="AD23351"/>
    </row>
    <row r="23352" spans="30:30" x14ac:dyDescent="0.25">
      <c r="AD23352"/>
    </row>
    <row r="23353" spans="30:30" x14ac:dyDescent="0.25">
      <c r="AD23353"/>
    </row>
    <row r="23354" spans="30:30" x14ac:dyDescent="0.25">
      <c r="AD23354"/>
    </row>
    <row r="23355" spans="30:30" x14ac:dyDescent="0.25">
      <c r="AD23355"/>
    </row>
    <row r="23356" spans="30:30" x14ac:dyDescent="0.25">
      <c r="AD23356"/>
    </row>
    <row r="23357" spans="30:30" x14ac:dyDescent="0.25">
      <c r="AD23357"/>
    </row>
    <row r="23358" spans="30:30" x14ac:dyDescent="0.25">
      <c r="AD23358"/>
    </row>
    <row r="23359" spans="30:30" x14ac:dyDescent="0.25">
      <c r="AD23359"/>
    </row>
    <row r="23360" spans="30:30" x14ac:dyDescent="0.25">
      <c r="AD23360"/>
    </row>
    <row r="23361" spans="30:30" x14ac:dyDescent="0.25">
      <c r="AD23361"/>
    </row>
    <row r="23362" spans="30:30" x14ac:dyDescent="0.25">
      <c r="AD23362"/>
    </row>
    <row r="23363" spans="30:30" x14ac:dyDescent="0.25">
      <c r="AD23363"/>
    </row>
    <row r="23364" spans="30:30" x14ac:dyDescent="0.25">
      <c r="AD23364"/>
    </row>
    <row r="23365" spans="30:30" x14ac:dyDescent="0.25">
      <c r="AD23365"/>
    </row>
    <row r="23366" spans="30:30" x14ac:dyDescent="0.25">
      <c r="AD23366"/>
    </row>
    <row r="23367" spans="30:30" x14ac:dyDescent="0.25">
      <c r="AD23367"/>
    </row>
    <row r="23368" spans="30:30" x14ac:dyDescent="0.25">
      <c r="AD23368"/>
    </row>
    <row r="23369" spans="30:30" x14ac:dyDescent="0.25">
      <c r="AD23369"/>
    </row>
    <row r="23370" spans="30:30" x14ac:dyDescent="0.25">
      <c r="AD23370"/>
    </row>
    <row r="23371" spans="30:30" x14ac:dyDescent="0.25">
      <c r="AD23371"/>
    </row>
    <row r="23372" spans="30:30" x14ac:dyDescent="0.25">
      <c r="AD23372"/>
    </row>
    <row r="23373" spans="30:30" x14ac:dyDescent="0.25">
      <c r="AD23373"/>
    </row>
    <row r="23374" spans="30:30" x14ac:dyDescent="0.25">
      <c r="AD23374"/>
    </row>
    <row r="23375" spans="30:30" x14ac:dyDescent="0.25">
      <c r="AD23375"/>
    </row>
    <row r="23376" spans="30:30" x14ac:dyDescent="0.25">
      <c r="AD23376"/>
    </row>
    <row r="23377" spans="30:30" x14ac:dyDescent="0.25">
      <c r="AD23377"/>
    </row>
    <row r="23378" spans="30:30" x14ac:dyDescent="0.25">
      <c r="AD23378"/>
    </row>
    <row r="23379" spans="30:30" x14ac:dyDescent="0.25">
      <c r="AD23379"/>
    </row>
    <row r="23380" spans="30:30" x14ac:dyDescent="0.25">
      <c r="AD23380"/>
    </row>
    <row r="23381" spans="30:30" x14ac:dyDescent="0.25">
      <c r="AD23381"/>
    </row>
    <row r="23382" spans="30:30" x14ac:dyDescent="0.25">
      <c r="AD23382"/>
    </row>
    <row r="23383" spans="30:30" x14ac:dyDescent="0.25">
      <c r="AD23383"/>
    </row>
    <row r="23384" spans="30:30" x14ac:dyDescent="0.25">
      <c r="AD23384"/>
    </row>
    <row r="23385" spans="30:30" x14ac:dyDescent="0.25">
      <c r="AD23385"/>
    </row>
    <row r="23386" spans="30:30" x14ac:dyDescent="0.25">
      <c r="AD23386"/>
    </row>
    <row r="23387" spans="30:30" x14ac:dyDescent="0.25">
      <c r="AD23387"/>
    </row>
    <row r="23388" spans="30:30" x14ac:dyDescent="0.25">
      <c r="AD23388"/>
    </row>
    <row r="23389" spans="30:30" x14ac:dyDescent="0.25">
      <c r="AD23389"/>
    </row>
    <row r="23390" spans="30:30" x14ac:dyDescent="0.25">
      <c r="AD23390"/>
    </row>
    <row r="23391" spans="30:30" x14ac:dyDescent="0.25">
      <c r="AD23391"/>
    </row>
    <row r="23392" spans="30:30" x14ac:dyDescent="0.25">
      <c r="AD23392"/>
    </row>
    <row r="23393" spans="30:30" x14ac:dyDescent="0.25">
      <c r="AD23393"/>
    </row>
    <row r="23394" spans="30:30" x14ac:dyDescent="0.25">
      <c r="AD23394"/>
    </row>
    <row r="23395" spans="30:30" x14ac:dyDescent="0.25">
      <c r="AD23395"/>
    </row>
    <row r="23396" spans="30:30" x14ac:dyDescent="0.25">
      <c r="AD23396"/>
    </row>
    <row r="23397" spans="30:30" x14ac:dyDescent="0.25">
      <c r="AD23397"/>
    </row>
    <row r="23398" spans="30:30" x14ac:dyDescent="0.25">
      <c r="AD23398"/>
    </row>
    <row r="23399" spans="30:30" x14ac:dyDescent="0.25">
      <c r="AD23399"/>
    </row>
    <row r="23400" spans="30:30" x14ac:dyDescent="0.25">
      <c r="AD23400"/>
    </row>
    <row r="23401" spans="30:30" x14ac:dyDescent="0.25">
      <c r="AD23401"/>
    </row>
    <row r="23402" spans="30:30" x14ac:dyDescent="0.25">
      <c r="AD23402"/>
    </row>
    <row r="23403" spans="30:30" x14ac:dyDescent="0.25">
      <c r="AD23403"/>
    </row>
    <row r="23404" spans="30:30" x14ac:dyDescent="0.25">
      <c r="AD23404"/>
    </row>
    <row r="23405" spans="30:30" x14ac:dyDescent="0.25">
      <c r="AD23405"/>
    </row>
    <row r="23406" spans="30:30" x14ac:dyDescent="0.25">
      <c r="AD23406"/>
    </row>
    <row r="23407" spans="30:30" x14ac:dyDescent="0.25">
      <c r="AD23407"/>
    </row>
    <row r="23408" spans="30:30" x14ac:dyDescent="0.25">
      <c r="AD23408"/>
    </row>
    <row r="23409" spans="30:30" x14ac:dyDescent="0.25">
      <c r="AD23409"/>
    </row>
    <row r="23410" spans="30:30" x14ac:dyDescent="0.25">
      <c r="AD23410"/>
    </row>
    <row r="23411" spans="30:30" x14ac:dyDescent="0.25">
      <c r="AD23411"/>
    </row>
    <row r="23412" spans="30:30" x14ac:dyDescent="0.25">
      <c r="AD23412"/>
    </row>
    <row r="23413" spans="30:30" x14ac:dyDescent="0.25">
      <c r="AD23413"/>
    </row>
    <row r="23414" spans="30:30" x14ac:dyDescent="0.25">
      <c r="AD23414"/>
    </row>
    <row r="23415" spans="30:30" x14ac:dyDescent="0.25">
      <c r="AD23415"/>
    </row>
    <row r="23416" spans="30:30" x14ac:dyDescent="0.25">
      <c r="AD23416"/>
    </row>
    <row r="23417" spans="30:30" x14ac:dyDescent="0.25">
      <c r="AD23417"/>
    </row>
    <row r="23418" spans="30:30" x14ac:dyDescent="0.25">
      <c r="AD23418"/>
    </row>
    <row r="23419" spans="30:30" x14ac:dyDescent="0.25">
      <c r="AD23419"/>
    </row>
    <row r="23420" spans="30:30" x14ac:dyDescent="0.25">
      <c r="AD23420"/>
    </row>
    <row r="23421" spans="30:30" x14ac:dyDescent="0.25">
      <c r="AD23421"/>
    </row>
    <row r="23422" spans="30:30" x14ac:dyDescent="0.25">
      <c r="AD23422"/>
    </row>
    <row r="23423" spans="30:30" x14ac:dyDescent="0.25">
      <c r="AD23423"/>
    </row>
    <row r="23424" spans="30:30" x14ac:dyDescent="0.25">
      <c r="AD23424"/>
    </row>
    <row r="23425" spans="30:30" x14ac:dyDescent="0.25">
      <c r="AD23425"/>
    </row>
    <row r="23426" spans="30:30" x14ac:dyDescent="0.25">
      <c r="AD23426"/>
    </row>
    <row r="23427" spans="30:30" x14ac:dyDescent="0.25">
      <c r="AD23427"/>
    </row>
    <row r="23428" spans="30:30" x14ac:dyDescent="0.25">
      <c r="AD23428"/>
    </row>
    <row r="23429" spans="30:30" x14ac:dyDescent="0.25">
      <c r="AD23429"/>
    </row>
    <row r="23430" spans="30:30" x14ac:dyDescent="0.25">
      <c r="AD23430"/>
    </row>
    <row r="23431" spans="30:30" x14ac:dyDescent="0.25">
      <c r="AD23431"/>
    </row>
    <row r="23432" spans="30:30" x14ac:dyDescent="0.25">
      <c r="AD23432"/>
    </row>
    <row r="23433" spans="30:30" x14ac:dyDescent="0.25">
      <c r="AD23433"/>
    </row>
    <row r="23434" spans="30:30" x14ac:dyDescent="0.25">
      <c r="AD23434"/>
    </row>
    <row r="23435" spans="30:30" x14ac:dyDescent="0.25">
      <c r="AD23435"/>
    </row>
    <row r="23436" spans="30:30" x14ac:dyDescent="0.25">
      <c r="AD23436"/>
    </row>
    <row r="23437" spans="30:30" x14ac:dyDescent="0.25">
      <c r="AD23437"/>
    </row>
    <row r="23438" spans="30:30" x14ac:dyDescent="0.25">
      <c r="AD23438"/>
    </row>
    <row r="23439" spans="30:30" x14ac:dyDescent="0.25">
      <c r="AD23439"/>
    </row>
    <row r="23440" spans="30:30" x14ac:dyDescent="0.25">
      <c r="AD23440"/>
    </row>
    <row r="23441" spans="30:30" x14ac:dyDescent="0.25">
      <c r="AD23441"/>
    </row>
    <row r="23442" spans="30:30" x14ac:dyDescent="0.25">
      <c r="AD23442"/>
    </row>
    <row r="23443" spans="30:30" x14ac:dyDescent="0.25">
      <c r="AD23443"/>
    </row>
    <row r="23444" spans="30:30" x14ac:dyDescent="0.25">
      <c r="AD23444"/>
    </row>
    <row r="23445" spans="30:30" x14ac:dyDescent="0.25">
      <c r="AD23445"/>
    </row>
    <row r="23446" spans="30:30" x14ac:dyDescent="0.25">
      <c r="AD23446"/>
    </row>
    <row r="23447" spans="30:30" x14ac:dyDescent="0.25">
      <c r="AD23447"/>
    </row>
    <row r="23448" spans="30:30" x14ac:dyDescent="0.25">
      <c r="AD23448"/>
    </row>
    <row r="23449" spans="30:30" x14ac:dyDescent="0.25">
      <c r="AD23449"/>
    </row>
    <row r="23450" spans="30:30" x14ac:dyDescent="0.25">
      <c r="AD23450"/>
    </row>
    <row r="23451" spans="30:30" x14ac:dyDescent="0.25">
      <c r="AD23451"/>
    </row>
    <row r="23452" spans="30:30" x14ac:dyDescent="0.25">
      <c r="AD23452"/>
    </row>
    <row r="23453" spans="30:30" x14ac:dyDescent="0.25">
      <c r="AD23453"/>
    </row>
    <row r="23454" spans="30:30" x14ac:dyDescent="0.25">
      <c r="AD23454"/>
    </row>
    <row r="23455" spans="30:30" x14ac:dyDescent="0.25">
      <c r="AD23455"/>
    </row>
    <row r="23456" spans="30:30" x14ac:dyDescent="0.25">
      <c r="AD23456"/>
    </row>
    <row r="23457" spans="30:30" x14ac:dyDescent="0.25">
      <c r="AD23457"/>
    </row>
    <row r="23458" spans="30:30" x14ac:dyDescent="0.25">
      <c r="AD23458"/>
    </row>
    <row r="23459" spans="30:30" x14ac:dyDescent="0.25">
      <c r="AD23459"/>
    </row>
    <row r="23460" spans="30:30" x14ac:dyDescent="0.25">
      <c r="AD23460"/>
    </row>
    <row r="23461" spans="30:30" x14ac:dyDescent="0.25">
      <c r="AD23461"/>
    </row>
    <row r="23462" spans="30:30" x14ac:dyDescent="0.25">
      <c r="AD23462"/>
    </row>
    <row r="23463" spans="30:30" x14ac:dyDescent="0.25">
      <c r="AD23463"/>
    </row>
    <row r="23464" spans="30:30" x14ac:dyDescent="0.25">
      <c r="AD23464"/>
    </row>
    <row r="23465" spans="30:30" x14ac:dyDescent="0.25">
      <c r="AD23465"/>
    </row>
    <row r="23466" spans="30:30" x14ac:dyDescent="0.25">
      <c r="AD23466"/>
    </row>
    <row r="23467" spans="30:30" x14ac:dyDescent="0.25">
      <c r="AD23467"/>
    </row>
    <row r="23468" spans="30:30" x14ac:dyDescent="0.25">
      <c r="AD23468"/>
    </row>
    <row r="23469" spans="30:30" x14ac:dyDescent="0.25">
      <c r="AD23469"/>
    </row>
    <row r="23470" spans="30:30" x14ac:dyDescent="0.25">
      <c r="AD23470"/>
    </row>
    <row r="23471" spans="30:30" x14ac:dyDescent="0.25">
      <c r="AD23471"/>
    </row>
    <row r="23472" spans="30:30" x14ac:dyDescent="0.25">
      <c r="AD23472"/>
    </row>
    <row r="23473" spans="30:30" x14ac:dyDescent="0.25">
      <c r="AD23473"/>
    </row>
    <row r="23474" spans="30:30" x14ac:dyDescent="0.25">
      <c r="AD23474"/>
    </row>
    <row r="23475" spans="30:30" x14ac:dyDescent="0.25">
      <c r="AD23475"/>
    </row>
    <row r="23476" spans="30:30" x14ac:dyDescent="0.25">
      <c r="AD23476"/>
    </row>
    <row r="23477" spans="30:30" x14ac:dyDescent="0.25">
      <c r="AD23477"/>
    </row>
    <row r="23478" spans="30:30" x14ac:dyDescent="0.25">
      <c r="AD23478"/>
    </row>
    <row r="23479" spans="30:30" x14ac:dyDescent="0.25">
      <c r="AD23479"/>
    </row>
    <row r="23480" spans="30:30" x14ac:dyDescent="0.25">
      <c r="AD23480"/>
    </row>
    <row r="23481" spans="30:30" x14ac:dyDescent="0.25">
      <c r="AD23481"/>
    </row>
    <row r="23482" spans="30:30" x14ac:dyDescent="0.25">
      <c r="AD23482"/>
    </row>
    <row r="23483" spans="30:30" x14ac:dyDescent="0.25">
      <c r="AD23483"/>
    </row>
    <row r="23484" spans="30:30" x14ac:dyDescent="0.25">
      <c r="AD23484"/>
    </row>
    <row r="23485" spans="30:30" x14ac:dyDescent="0.25">
      <c r="AD23485"/>
    </row>
    <row r="23486" spans="30:30" x14ac:dyDescent="0.25">
      <c r="AD23486"/>
    </row>
    <row r="23487" spans="30:30" x14ac:dyDescent="0.25">
      <c r="AD23487"/>
    </row>
    <row r="23488" spans="30:30" x14ac:dyDescent="0.25">
      <c r="AD23488"/>
    </row>
    <row r="23489" spans="30:30" x14ac:dyDescent="0.25">
      <c r="AD23489"/>
    </row>
    <row r="23490" spans="30:30" x14ac:dyDescent="0.25">
      <c r="AD23490"/>
    </row>
    <row r="23491" spans="30:30" x14ac:dyDescent="0.25">
      <c r="AD23491"/>
    </row>
    <row r="23492" spans="30:30" x14ac:dyDescent="0.25">
      <c r="AD23492"/>
    </row>
    <row r="23493" spans="30:30" x14ac:dyDescent="0.25">
      <c r="AD23493"/>
    </row>
    <row r="23494" spans="30:30" x14ac:dyDescent="0.25">
      <c r="AD23494"/>
    </row>
    <row r="23495" spans="30:30" x14ac:dyDescent="0.25">
      <c r="AD23495"/>
    </row>
    <row r="23496" spans="30:30" x14ac:dyDescent="0.25">
      <c r="AD23496"/>
    </row>
    <row r="23497" spans="30:30" x14ac:dyDescent="0.25">
      <c r="AD23497"/>
    </row>
    <row r="23498" spans="30:30" x14ac:dyDescent="0.25">
      <c r="AD23498"/>
    </row>
    <row r="23499" spans="30:30" x14ac:dyDescent="0.25">
      <c r="AD23499"/>
    </row>
    <row r="23500" spans="30:30" x14ac:dyDescent="0.25">
      <c r="AD23500"/>
    </row>
    <row r="23501" spans="30:30" x14ac:dyDescent="0.25">
      <c r="AD23501"/>
    </row>
    <row r="23502" spans="30:30" x14ac:dyDescent="0.25">
      <c r="AD23502"/>
    </row>
    <row r="23503" spans="30:30" x14ac:dyDescent="0.25">
      <c r="AD23503"/>
    </row>
    <row r="23504" spans="30:30" x14ac:dyDescent="0.25">
      <c r="AD23504"/>
    </row>
    <row r="23505" spans="30:30" x14ac:dyDescent="0.25">
      <c r="AD23505"/>
    </row>
    <row r="23506" spans="30:30" x14ac:dyDescent="0.25">
      <c r="AD23506"/>
    </row>
    <row r="23507" spans="30:30" x14ac:dyDescent="0.25">
      <c r="AD23507"/>
    </row>
    <row r="23508" spans="30:30" x14ac:dyDescent="0.25">
      <c r="AD23508"/>
    </row>
    <row r="23509" spans="30:30" x14ac:dyDescent="0.25">
      <c r="AD23509"/>
    </row>
    <row r="23510" spans="30:30" x14ac:dyDescent="0.25">
      <c r="AD23510"/>
    </row>
    <row r="23511" spans="30:30" x14ac:dyDescent="0.25">
      <c r="AD23511"/>
    </row>
    <row r="23512" spans="30:30" x14ac:dyDescent="0.25">
      <c r="AD23512"/>
    </row>
    <row r="23513" spans="30:30" x14ac:dyDescent="0.25">
      <c r="AD23513"/>
    </row>
    <row r="23514" spans="30:30" x14ac:dyDescent="0.25">
      <c r="AD23514"/>
    </row>
    <row r="23515" spans="30:30" x14ac:dyDescent="0.25">
      <c r="AD23515"/>
    </row>
    <row r="23516" spans="30:30" x14ac:dyDescent="0.25">
      <c r="AD23516"/>
    </row>
    <row r="23517" spans="30:30" x14ac:dyDescent="0.25">
      <c r="AD23517"/>
    </row>
    <row r="23518" spans="30:30" x14ac:dyDescent="0.25">
      <c r="AD23518"/>
    </row>
    <row r="23519" spans="30:30" x14ac:dyDescent="0.25">
      <c r="AD23519"/>
    </row>
    <row r="23520" spans="30:30" x14ac:dyDescent="0.25">
      <c r="AD23520"/>
    </row>
    <row r="23521" spans="30:30" x14ac:dyDescent="0.25">
      <c r="AD23521"/>
    </row>
    <row r="23522" spans="30:30" x14ac:dyDescent="0.25">
      <c r="AD23522"/>
    </row>
    <row r="23523" spans="30:30" x14ac:dyDescent="0.25">
      <c r="AD23523"/>
    </row>
    <row r="23524" spans="30:30" x14ac:dyDescent="0.25">
      <c r="AD23524"/>
    </row>
    <row r="23525" spans="30:30" x14ac:dyDescent="0.25">
      <c r="AD23525"/>
    </row>
    <row r="23526" spans="30:30" x14ac:dyDescent="0.25">
      <c r="AD23526"/>
    </row>
    <row r="23527" spans="30:30" x14ac:dyDescent="0.25">
      <c r="AD23527"/>
    </row>
    <row r="23528" spans="30:30" x14ac:dyDescent="0.25">
      <c r="AD23528"/>
    </row>
    <row r="23529" spans="30:30" x14ac:dyDescent="0.25">
      <c r="AD23529"/>
    </row>
    <row r="23530" spans="30:30" x14ac:dyDescent="0.25">
      <c r="AD23530"/>
    </row>
    <row r="23531" spans="30:30" x14ac:dyDescent="0.25">
      <c r="AD23531"/>
    </row>
    <row r="23532" spans="30:30" x14ac:dyDescent="0.25">
      <c r="AD23532"/>
    </row>
    <row r="23533" spans="30:30" x14ac:dyDescent="0.25">
      <c r="AD23533"/>
    </row>
    <row r="23534" spans="30:30" x14ac:dyDescent="0.25">
      <c r="AD23534"/>
    </row>
    <row r="23535" spans="30:30" x14ac:dyDescent="0.25">
      <c r="AD23535"/>
    </row>
    <row r="23536" spans="30:30" x14ac:dyDescent="0.25">
      <c r="AD23536"/>
    </row>
    <row r="23537" spans="30:30" x14ac:dyDescent="0.25">
      <c r="AD23537"/>
    </row>
    <row r="23538" spans="30:30" x14ac:dyDescent="0.25">
      <c r="AD23538"/>
    </row>
    <row r="23539" spans="30:30" x14ac:dyDescent="0.25">
      <c r="AD23539"/>
    </row>
    <row r="23540" spans="30:30" x14ac:dyDescent="0.25">
      <c r="AD23540"/>
    </row>
    <row r="23541" spans="30:30" x14ac:dyDescent="0.25">
      <c r="AD23541"/>
    </row>
    <row r="23542" spans="30:30" x14ac:dyDescent="0.25">
      <c r="AD23542"/>
    </row>
    <row r="23543" spans="30:30" x14ac:dyDescent="0.25">
      <c r="AD23543"/>
    </row>
    <row r="23544" spans="30:30" x14ac:dyDescent="0.25">
      <c r="AD23544"/>
    </row>
    <row r="23545" spans="30:30" x14ac:dyDescent="0.25">
      <c r="AD23545"/>
    </row>
    <row r="23546" spans="30:30" x14ac:dyDescent="0.25">
      <c r="AD23546"/>
    </row>
    <row r="23547" spans="30:30" x14ac:dyDescent="0.25">
      <c r="AD23547"/>
    </row>
    <row r="23548" spans="30:30" x14ac:dyDescent="0.25">
      <c r="AD23548"/>
    </row>
    <row r="23549" spans="30:30" x14ac:dyDescent="0.25">
      <c r="AD23549"/>
    </row>
    <row r="23550" spans="30:30" x14ac:dyDescent="0.25">
      <c r="AD23550"/>
    </row>
    <row r="23551" spans="30:30" x14ac:dyDescent="0.25">
      <c r="AD23551"/>
    </row>
    <row r="23552" spans="30:30" x14ac:dyDescent="0.25">
      <c r="AD23552"/>
    </row>
    <row r="23553" spans="30:30" x14ac:dyDescent="0.25">
      <c r="AD23553"/>
    </row>
    <row r="23554" spans="30:30" x14ac:dyDescent="0.25">
      <c r="AD23554"/>
    </row>
    <row r="23555" spans="30:30" x14ac:dyDescent="0.25">
      <c r="AD23555"/>
    </row>
    <row r="23556" spans="30:30" x14ac:dyDescent="0.25">
      <c r="AD23556"/>
    </row>
    <row r="23557" spans="30:30" x14ac:dyDescent="0.25">
      <c r="AD23557"/>
    </row>
    <row r="23558" spans="30:30" x14ac:dyDescent="0.25">
      <c r="AD23558"/>
    </row>
    <row r="23559" spans="30:30" x14ac:dyDescent="0.25">
      <c r="AD23559"/>
    </row>
    <row r="23560" spans="30:30" x14ac:dyDescent="0.25">
      <c r="AD23560"/>
    </row>
    <row r="23561" spans="30:30" x14ac:dyDescent="0.25">
      <c r="AD23561"/>
    </row>
    <row r="23562" spans="30:30" x14ac:dyDescent="0.25">
      <c r="AD23562"/>
    </row>
    <row r="23563" spans="30:30" x14ac:dyDescent="0.25">
      <c r="AD23563"/>
    </row>
    <row r="23564" spans="30:30" x14ac:dyDescent="0.25">
      <c r="AD23564"/>
    </row>
    <row r="23565" spans="30:30" x14ac:dyDescent="0.25">
      <c r="AD23565"/>
    </row>
    <row r="23566" spans="30:30" x14ac:dyDescent="0.25">
      <c r="AD23566"/>
    </row>
    <row r="23567" spans="30:30" x14ac:dyDescent="0.25">
      <c r="AD23567"/>
    </row>
    <row r="23568" spans="30:30" x14ac:dyDescent="0.25">
      <c r="AD23568"/>
    </row>
    <row r="23569" spans="30:30" x14ac:dyDescent="0.25">
      <c r="AD23569"/>
    </row>
    <row r="23570" spans="30:30" x14ac:dyDescent="0.25">
      <c r="AD23570"/>
    </row>
    <row r="23571" spans="30:30" x14ac:dyDescent="0.25">
      <c r="AD23571"/>
    </row>
    <row r="23572" spans="30:30" x14ac:dyDescent="0.25">
      <c r="AD23572"/>
    </row>
    <row r="23573" spans="30:30" x14ac:dyDescent="0.25">
      <c r="AD23573"/>
    </row>
    <row r="23574" spans="30:30" x14ac:dyDescent="0.25">
      <c r="AD23574"/>
    </row>
    <row r="23575" spans="30:30" x14ac:dyDescent="0.25">
      <c r="AD23575"/>
    </row>
    <row r="23576" spans="30:30" x14ac:dyDescent="0.25">
      <c r="AD23576"/>
    </row>
    <row r="23577" spans="30:30" x14ac:dyDescent="0.25">
      <c r="AD23577"/>
    </row>
    <row r="23578" spans="30:30" x14ac:dyDescent="0.25">
      <c r="AD23578"/>
    </row>
    <row r="23579" spans="30:30" x14ac:dyDescent="0.25">
      <c r="AD23579"/>
    </row>
    <row r="23580" spans="30:30" x14ac:dyDescent="0.25">
      <c r="AD23580"/>
    </row>
    <row r="23581" spans="30:30" x14ac:dyDescent="0.25">
      <c r="AD23581"/>
    </row>
    <row r="23582" spans="30:30" x14ac:dyDescent="0.25">
      <c r="AD23582"/>
    </row>
    <row r="23583" spans="30:30" x14ac:dyDescent="0.25">
      <c r="AD23583"/>
    </row>
    <row r="23584" spans="30:30" x14ac:dyDescent="0.25">
      <c r="AD23584"/>
    </row>
    <row r="23585" spans="30:30" x14ac:dyDescent="0.25">
      <c r="AD23585"/>
    </row>
    <row r="23586" spans="30:30" x14ac:dyDescent="0.25">
      <c r="AD23586"/>
    </row>
    <row r="23587" spans="30:30" x14ac:dyDescent="0.25">
      <c r="AD23587"/>
    </row>
    <row r="23588" spans="30:30" x14ac:dyDescent="0.25">
      <c r="AD23588"/>
    </row>
    <row r="23589" spans="30:30" x14ac:dyDescent="0.25">
      <c r="AD23589"/>
    </row>
    <row r="23590" spans="30:30" x14ac:dyDescent="0.25">
      <c r="AD23590"/>
    </row>
    <row r="23591" spans="30:30" x14ac:dyDescent="0.25">
      <c r="AD23591"/>
    </row>
    <row r="23592" spans="30:30" x14ac:dyDescent="0.25">
      <c r="AD23592"/>
    </row>
    <row r="23593" spans="30:30" x14ac:dyDescent="0.25">
      <c r="AD23593"/>
    </row>
    <row r="23594" spans="30:30" x14ac:dyDescent="0.25">
      <c r="AD23594"/>
    </row>
    <row r="23595" spans="30:30" x14ac:dyDescent="0.25">
      <c r="AD23595"/>
    </row>
    <row r="23596" spans="30:30" x14ac:dyDescent="0.25">
      <c r="AD23596"/>
    </row>
    <row r="23597" spans="30:30" x14ac:dyDescent="0.25">
      <c r="AD23597"/>
    </row>
    <row r="23598" spans="30:30" x14ac:dyDescent="0.25">
      <c r="AD23598"/>
    </row>
    <row r="23599" spans="30:30" x14ac:dyDescent="0.25">
      <c r="AD23599"/>
    </row>
    <row r="23600" spans="30:30" x14ac:dyDescent="0.25">
      <c r="AD23600"/>
    </row>
    <row r="23601" spans="30:30" x14ac:dyDescent="0.25">
      <c r="AD23601"/>
    </row>
    <row r="23602" spans="30:30" x14ac:dyDescent="0.25">
      <c r="AD23602"/>
    </row>
    <row r="23603" spans="30:30" x14ac:dyDescent="0.25">
      <c r="AD23603"/>
    </row>
    <row r="23604" spans="30:30" x14ac:dyDescent="0.25">
      <c r="AD23604"/>
    </row>
    <row r="23605" spans="30:30" x14ac:dyDescent="0.25">
      <c r="AD23605"/>
    </row>
    <row r="23606" spans="30:30" x14ac:dyDescent="0.25">
      <c r="AD23606"/>
    </row>
    <row r="23607" spans="30:30" x14ac:dyDescent="0.25">
      <c r="AD23607"/>
    </row>
    <row r="23608" spans="30:30" x14ac:dyDescent="0.25">
      <c r="AD23608"/>
    </row>
    <row r="23609" spans="30:30" x14ac:dyDescent="0.25">
      <c r="AD23609"/>
    </row>
    <row r="23610" spans="30:30" x14ac:dyDescent="0.25">
      <c r="AD23610"/>
    </row>
    <row r="23611" spans="30:30" x14ac:dyDescent="0.25">
      <c r="AD23611"/>
    </row>
    <row r="23612" spans="30:30" x14ac:dyDescent="0.25">
      <c r="AD23612"/>
    </row>
    <row r="23613" spans="30:30" x14ac:dyDescent="0.25">
      <c r="AD23613"/>
    </row>
    <row r="23614" spans="30:30" x14ac:dyDescent="0.25">
      <c r="AD23614"/>
    </row>
    <row r="23615" spans="30:30" x14ac:dyDescent="0.25">
      <c r="AD23615"/>
    </row>
    <row r="23616" spans="30:30" x14ac:dyDescent="0.25">
      <c r="AD23616"/>
    </row>
    <row r="23617" spans="30:30" x14ac:dyDescent="0.25">
      <c r="AD23617"/>
    </row>
    <row r="23618" spans="30:30" x14ac:dyDescent="0.25">
      <c r="AD23618"/>
    </row>
    <row r="23619" spans="30:30" x14ac:dyDescent="0.25">
      <c r="AD23619"/>
    </row>
    <row r="23620" spans="30:30" x14ac:dyDescent="0.25">
      <c r="AD23620"/>
    </row>
    <row r="23621" spans="30:30" x14ac:dyDescent="0.25">
      <c r="AD23621"/>
    </row>
    <row r="23622" spans="30:30" x14ac:dyDescent="0.25">
      <c r="AD23622"/>
    </row>
    <row r="23623" spans="30:30" x14ac:dyDescent="0.25">
      <c r="AD23623"/>
    </row>
    <row r="23624" spans="30:30" x14ac:dyDescent="0.25">
      <c r="AD23624"/>
    </row>
    <row r="23625" spans="30:30" x14ac:dyDescent="0.25">
      <c r="AD23625"/>
    </row>
    <row r="23626" spans="30:30" x14ac:dyDescent="0.25">
      <c r="AD23626"/>
    </row>
    <row r="23627" spans="30:30" x14ac:dyDescent="0.25">
      <c r="AD23627"/>
    </row>
    <row r="23628" spans="30:30" x14ac:dyDescent="0.25">
      <c r="AD23628"/>
    </row>
    <row r="23629" spans="30:30" x14ac:dyDescent="0.25">
      <c r="AD23629"/>
    </row>
    <row r="23630" spans="30:30" x14ac:dyDescent="0.25">
      <c r="AD23630"/>
    </row>
    <row r="23631" spans="30:30" x14ac:dyDescent="0.25">
      <c r="AD23631"/>
    </row>
    <row r="23632" spans="30:30" x14ac:dyDescent="0.25">
      <c r="AD23632"/>
    </row>
    <row r="23633" spans="30:30" x14ac:dyDescent="0.25">
      <c r="AD23633"/>
    </row>
    <row r="23634" spans="30:30" x14ac:dyDescent="0.25">
      <c r="AD23634"/>
    </row>
    <row r="23635" spans="30:30" x14ac:dyDescent="0.25">
      <c r="AD23635"/>
    </row>
    <row r="23636" spans="30:30" x14ac:dyDescent="0.25">
      <c r="AD23636"/>
    </row>
    <row r="23637" spans="30:30" x14ac:dyDescent="0.25">
      <c r="AD23637"/>
    </row>
    <row r="23638" spans="30:30" x14ac:dyDescent="0.25">
      <c r="AD23638"/>
    </row>
    <row r="23639" spans="30:30" x14ac:dyDescent="0.25">
      <c r="AD23639"/>
    </row>
    <row r="23640" spans="30:30" x14ac:dyDescent="0.25">
      <c r="AD23640"/>
    </row>
    <row r="23641" spans="30:30" x14ac:dyDescent="0.25">
      <c r="AD23641"/>
    </row>
    <row r="23642" spans="30:30" x14ac:dyDescent="0.25">
      <c r="AD23642"/>
    </row>
    <row r="23643" spans="30:30" x14ac:dyDescent="0.25">
      <c r="AD23643"/>
    </row>
    <row r="23644" spans="30:30" x14ac:dyDescent="0.25">
      <c r="AD23644"/>
    </row>
    <row r="23645" spans="30:30" x14ac:dyDescent="0.25">
      <c r="AD23645"/>
    </row>
    <row r="23646" spans="30:30" x14ac:dyDescent="0.25">
      <c r="AD23646"/>
    </row>
    <row r="23647" spans="30:30" x14ac:dyDescent="0.25">
      <c r="AD23647"/>
    </row>
    <row r="23648" spans="30:30" x14ac:dyDescent="0.25">
      <c r="AD23648"/>
    </row>
    <row r="23649" spans="30:30" x14ac:dyDescent="0.25">
      <c r="AD23649"/>
    </row>
    <row r="23650" spans="30:30" x14ac:dyDescent="0.25">
      <c r="AD23650"/>
    </row>
    <row r="23651" spans="30:30" x14ac:dyDescent="0.25">
      <c r="AD23651"/>
    </row>
    <row r="23652" spans="30:30" x14ac:dyDescent="0.25">
      <c r="AD23652"/>
    </row>
    <row r="23653" spans="30:30" x14ac:dyDescent="0.25">
      <c r="AD23653"/>
    </row>
    <row r="23654" spans="30:30" x14ac:dyDescent="0.25">
      <c r="AD23654"/>
    </row>
    <row r="23655" spans="30:30" x14ac:dyDescent="0.25">
      <c r="AD23655"/>
    </row>
    <row r="23656" spans="30:30" x14ac:dyDescent="0.25">
      <c r="AD23656"/>
    </row>
    <row r="23657" spans="30:30" x14ac:dyDescent="0.25">
      <c r="AD23657"/>
    </row>
    <row r="23658" spans="30:30" x14ac:dyDescent="0.25">
      <c r="AD23658"/>
    </row>
    <row r="23659" spans="30:30" x14ac:dyDescent="0.25">
      <c r="AD23659"/>
    </row>
    <row r="23660" spans="30:30" x14ac:dyDescent="0.25">
      <c r="AD23660"/>
    </row>
    <row r="23661" spans="30:30" x14ac:dyDescent="0.25">
      <c r="AD23661"/>
    </row>
    <row r="23662" spans="30:30" x14ac:dyDescent="0.25">
      <c r="AD23662"/>
    </row>
    <row r="23663" spans="30:30" x14ac:dyDescent="0.25">
      <c r="AD23663"/>
    </row>
    <row r="23664" spans="30:30" x14ac:dyDescent="0.25">
      <c r="AD23664"/>
    </row>
    <row r="23665" spans="30:30" x14ac:dyDescent="0.25">
      <c r="AD23665"/>
    </row>
    <row r="23666" spans="30:30" x14ac:dyDescent="0.25">
      <c r="AD23666"/>
    </row>
    <row r="23667" spans="30:30" x14ac:dyDescent="0.25">
      <c r="AD23667"/>
    </row>
    <row r="23668" spans="30:30" x14ac:dyDescent="0.25">
      <c r="AD23668"/>
    </row>
    <row r="23669" spans="30:30" x14ac:dyDescent="0.25">
      <c r="AD23669"/>
    </row>
    <row r="23670" spans="30:30" x14ac:dyDescent="0.25">
      <c r="AD23670"/>
    </row>
    <row r="23671" spans="30:30" x14ac:dyDescent="0.25">
      <c r="AD23671"/>
    </row>
    <row r="23672" spans="30:30" x14ac:dyDescent="0.25">
      <c r="AD23672"/>
    </row>
    <row r="23673" spans="30:30" x14ac:dyDescent="0.25">
      <c r="AD23673"/>
    </row>
    <row r="23674" spans="30:30" x14ac:dyDescent="0.25">
      <c r="AD23674"/>
    </row>
    <row r="23675" spans="30:30" x14ac:dyDescent="0.25">
      <c r="AD23675"/>
    </row>
    <row r="23676" spans="30:30" x14ac:dyDescent="0.25">
      <c r="AD23676"/>
    </row>
    <row r="23677" spans="30:30" x14ac:dyDescent="0.25">
      <c r="AD23677"/>
    </row>
    <row r="23678" spans="30:30" x14ac:dyDescent="0.25">
      <c r="AD23678"/>
    </row>
    <row r="23679" spans="30:30" x14ac:dyDescent="0.25">
      <c r="AD23679"/>
    </row>
    <row r="23680" spans="30:30" x14ac:dyDescent="0.25">
      <c r="AD23680"/>
    </row>
    <row r="23681" spans="30:30" x14ac:dyDescent="0.25">
      <c r="AD23681"/>
    </row>
    <row r="23682" spans="30:30" x14ac:dyDescent="0.25">
      <c r="AD23682"/>
    </row>
    <row r="23683" spans="30:30" x14ac:dyDescent="0.25">
      <c r="AD23683"/>
    </row>
    <row r="23684" spans="30:30" x14ac:dyDescent="0.25">
      <c r="AD23684"/>
    </row>
    <row r="23685" spans="30:30" x14ac:dyDescent="0.25">
      <c r="AD23685"/>
    </row>
    <row r="23686" spans="30:30" x14ac:dyDescent="0.25">
      <c r="AD23686"/>
    </row>
    <row r="23687" spans="30:30" x14ac:dyDescent="0.25">
      <c r="AD23687"/>
    </row>
    <row r="23688" spans="30:30" x14ac:dyDescent="0.25">
      <c r="AD23688"/>
    </row>
    <row r="23689" spans="30:30" x14ac:dyDescent="0.25">
      <c r="AD23689"/>
    </row>
    <row r="23690" spans="30:30" x14ac:dyDescent="0.25">
      <c r="AD23690"/>
    </row>
    <row r="23691" spans="30:30" x14ac:dyDescent="0.25">
      <c r="AD23691"/>
    </row>
    <row r="23692" spans="30:30" x14ac:dyDescent="0.25">
      <c r="AD23692"/>
    </row>
    <row r="23693" spans="30:30" x14ac:dyDescent="0.25">
      <c r="AD23693"/>
    </row>
    <row r="23694" spans="30:30" x14ac:dyDescent="0.25">
      <c r="AD23694"/>
    </row>
    <row r="23695" spans="30:30" x14ac:dyDescent="0.25">
      <c r="AD23695"/>
    </row>
    <row r="23696" spans="30:30" x14ac:dyDescent="0.25">
      <c r="AD23696"/>
    </row>
    <row r="23697" spans="30:30" x14ac:dyDescent="0.25">
      <c r="AD23697"/>
    </row>
    <row r="23698" spans="30:30" x14ac:dyDescent="0.25">
      <c r="AD23698"/>
    </row>
    <row r="23699" spans="30:30" x14ac:dyDescent="0.25">
      <c r="AD23699"/>
    </row>
    <row r="23700" spans="30:30" x14ac:dyDescent="0.25">
      <c r="AD23700"/>
    </row>
    <row r="23701" spans="30:30" x14ac:dyDescent="0.25">
      <c r="AD23701"/>
    </row>
    <row r="23702" spans="30:30" x14ac:dyDescent="0.25">
      <c r="AD23702"/>
    </row>
    <row r="23703" spans="30:30" x14ac:dyDescent="0.25">
      <c r="AD23703"/>
    </row>
    <row r="23704" spans="30:30" x14ac:dyDescent="0.25">
      <c r="AD23704"/>
    </row>
    <row r="23705" spans="30:30" x14ac:dyDescent="0.25">
      <c r="AD23705"/>
    </row>
    <row r="23706" spans="30:30" x14ac:dyDescent="0.25">
      <c r="AD23706"/>
    </row>
    <row r="23707" spans="30:30" x14ac:dyDescent="0.25">
      <c r="AD23707"/>
    </row>
    <row r="23708" spans="30:30" x14ac:dyDescent="0.25">
      <c r="AD23708"/>
    </row>
    <row r="23709" spans="30:30" x14ac:dyDescent="0.25">
      <c r="AD23709"/>
    </row>
    <row r="23710" spans="30:30" x14ac:dyDescent="0.25">
      <c r="AD23710"/>
    </row>
    <row r="23711" spans="30:30" x14ac:dyDescent="0.25">
      <c r="AD23711"/>
    </row>
    <row r="23712" spans="30:30" x14ac:dyDescent="0.25">
      <c r="AD23712"/>
    </row>
    <row r="23713" spans="30:30" x14ac:dyDescent="0.25">
      <c r="AD23713"/>
    </row>
    <row r="23714" spans="30:30" x14ac:dyDescent="0.25">
      <c r="AD23714"/>
    </row>
    <row r="23715" spans="30:30" x14ac:dyDescent="0.25">
      <c r="AD23715"/>
    </row>
    <row r="23716" spans="30:30" x14ac:dyDescent="0.25">
      <c r="AD23716"/>
    </row>
    <row r="23717" spans="30:30" x14ac:dyDescent="0.25">
      <c r="AD23717"/>
    </row>
    <row r="23718" spans="30:30" x14ac:dyDescent="0.25">
      <c r="AD23718"/>
    </row>
    <row r="23719" spans="30:30" x14ac:dyDescent="0.25">
      <c r="AD23719"/>
    </row>
    <row r="23720" spans="30:30" x14ac:dyDescent="0.25">
      <c r="AD23720"/>
    </row>
    <row r="23721" spans="30:30" x14ac:dyDescent="0.25">
      <c r="AD23721"/>
    </row>
    <row r="23722" spans="30:30" x14ac:dyDescent="0.25">
      <c r="AD23722"/>
    </row>
    <row r="23723" spans="30:30" x14ac:dyDescent="0.25">
      <c r="AD23723"/>
    </row>
    <row r="23724" spans="30:30" x14ac:dyDescent="0.25">
      <c r="AD23724"/>
    </row>
    <row r="23725" spans="30:30" x14ac:dyDescent="0.25">
      <c r="AD23725"/>
    </row>
    <row r="23726" spans="30:30" x14ac:dyDescent="0.25">
      <c r="AD23726"/>
    </row>
    <row r="23727" spans="30:30" x14ac:dyDescent="0.25">
      <c r="AD23727"/>
    </row>
    <row r="23728" spans="30:30" x14ac:dyDescent="0.25">
      <c r="AD23728"/>
    </row>
    <row r="23729" spans="30:30" x14ac:dyDescent="0.25">
      <c r="AD23729"/>
    </row>
    <row r="23730" spans="30:30" x14ac:dyDescent="0.25">
      <c r="AD23730"/>
    </row>
    <row r="23731" spans="30:30" x14ac:dyDescent="0.25">
      <c r="AD23731"/>
    </row>
    <row r="23732" spans="30:30" x14ac:dyDescent="0.25">
      <c r="AD23732"/>
    </row>
    <row r="23733" spans="30:30" x14ac:dyDescent="0.25">
      <c r="AD23733"/>
    </row>
    <row r="23734" spans="30:30" x14ac:dyDescent="0.25">
      <c r="AD23734"/>
    </row>
    <row r="23735" spans="30:30" x14ac:dyDescent="0.25">
      <c r="AD23735"/>
    </row>
    <row r="23736" spans="30:30" x14ac:dyDescent="0.25">
      <c r="AD23736"/>
    </row>
    <row r="23737" spans="30:30" x14ac:dyDescent="0.25">
      <c r="AD23737"/>
    </row>
    <row r="23738" spans="30:30" x14ac:dyDescent="0.25">
      <c r="AD23738"/>
    </row>
    <row r="23739" spans="30:30" x14ac:dyDescent="0.25">
      <c r="AD23739"/>
    </row>
    <row r="23740" spans="30:30" x14ac:dyDescent="0.25">
      <c r="AD23740"/>
    </row>
    <row r="23741" spans="30:30" x14ac:dyDescent="0.25">
      <c r="AD23741"/>
    </row>
    <row r="23742" spans="30:30" x14ac:dyDescent="0.25">
      <c r="AD23742"/>
    </row>
    <row r="23743" spans="30:30" x14ac:dyDescent="0.25">
      <c r="AD23743"/>
    </row>
    <row r="23744" spans="30:30" x14ac:dyDescent="0.25">
      <c r="AD23744"/>
    </row>
    <row r="23745" spans="30:30" x14ac:dyDescent="0.25">
      <c r="AD23745"/>
    </row>
    <row r="23746" spans="30:30" x14ac:dyDescent="0.25">
      <c r="AD23746"/>
    </row>
    <row r="23747" spans="30:30" x14ac:dyDescent="0.25">
      <c r="AD23747"/>
    </row>
    <row r="23748" spans="30:30" x14ac:dyDescent="0.25">
      <c r="AD23748"/>
    </row>
    <row r="23749" spans="30:30" x14ac:dyDescent="0.25">
      <c r="AD23749"/>
    </row>
    <row r="23750" spans="30:30" x14ac:dyDescent="0.25">
      <c r="AD23750"/>
    </row>
    <row r="23751" spans="30:30" x14ac:dyDescent="0.25">
      <c r="AD23751"/>
    </row>
    <row r="23752" spans="30:30" x14ac:dyDescent="0.25">
      <c r="AD23752"/>
    </row>
    <row r="23753" spans="30:30" x14ac:dyDescent="0.25">
      <c r="AD23753"/>
    </row>
    <row r="23754" spans="30:30" x14ac:dyDescent="0.25">
      <c r="AD23754"/>
    </row>
    <row r="23755" spans="30:30" x14ac:dyDescent="0.25">
      <c r="AD23755"/>
    </row>
    <row r="23756" spans="30:30" x14ac:dyDescent="0.25">
      <c r="AD23756"/>
    </row>
    <row r="23757" spans="30:30" x14ac:dyDescent="0.25">
      <c r="AD23757"/>
    </row>
    <row r="23758" spans="30:30" x14ac:dyDescent="0.25">
      <c r="AD23758"/>
    </row>
    <row r="23759" spans="30:30" x14ac:dyDescent="0.25">
      <c r="AD23759"/>
    </row>
    <row r="23760" spans="30:30" x14ac:dyDescent="0.25">
      <c r="AD23760"/>
    </row>
    <row r="23761" spans="30:30" x14ac:dyDescent="0.25">
      <c r="AD23761"/>
    </row>
    <row r="23762" spans="30:30" x14ac:dyDescent="0.25">
      <c r="AD23762"/>
    </row>
    <row r="23763" spans="30:30" x14ac:dyDescent="0.25">
      <c r="AD23763"/>
    </row>
    <row r="23764" spans="30:30" x14ac:dyDescent="0.25">
      <c r="AD23764"/>
    </row>
    <row r="23765" spans="30:30" x14ac:dyDescent="0.25">
      <c r="AD23765"/>
    </row>
    <row r="23766" spans="30:30" x14ac:dyDescent="0.25">
      <c r="AD23766"/>
    </row>
    <row r="23767" spans="30:30" x14ac:dyDescent="0.25">
      <c r="AD23767"/>
    </row>
    <row r="23768" spans="30:30" x14ac:dyDescent="0.25">
      <c r="AD23768"/>
    </row>
    <row r="23769" spans="30:30" x14ac:dyDescent="0.25">
      <c r="AD23769"/>
    </row>
    <row r="23770" spans="30:30" x14ac:dyDescent="0.25">
      <c r="AD23770"/>
    </row>
    <row r="23771" spans="30:30" x14ac:dyDescent="0.25">
      <c r="AD23771"/>
    </row>
    <row r="23772" spans="30:30" x14ac:dyDescent="0.25">
      <c r="AD23772"/>
    </row>
    <row r="23773" spans="30:30" x14ac:dyDescent="0.25">
      <c r="AD23773"/>
    </row>
    <row r="23774" spans="30:30" x14ac:dyDescent="0.25">
      <c r="AD23774"/>
    </row>
    <row r="23775" spans="30:30" x14ac:dyDescent="0.25">
      <c r="AD23775"/>
    </row>
    <row r="23776" spans="30:30" x14ac:dyDescent="0.25">
      <c r="AD23776"/>
    </row>
    <row r="23777" spans="30:30" x14ac:dyDescent="0.25">
      <c r="AD23777"/>
    </row>
    <row r="23778" spans="30:30" x14ac:dyDescent="0.25">
      <c r="AD23778"/>
    </row>
    <row r="23779" spans="30:30" x14ac:dyDescent="0.25">
      <c r="AD23779"/>
    </row>
    <row r="23780" spans="30:30" x14ac:dyDescent="0.25">
      <c r="AD23780"/>
    </row>
    <row r="23781" spans="30:30" x14ac:dyDescent="0.25">
      <c r="AD23781"/>
    </row>
    <row r="23782" spans="30:30" x14ac:dyDescent="0.25">
      <c r="AD23782"/>
    </row>
    <row r="23783" spans="30:30" x14ac:dyDescent="0.25">
      <c r="AD23783"/>
    </row>
    <row r="23784" spans="30:30" x14ac:dyDescent="0.25">
      <c r="AD23784"/>
    </row>
    <row r="23785" spans="30:30" x14ac:dyDescent="0.25">
      <c r="AD23785"/>
    </row>
    <row r="23786" spans="30:30" x14ac:dyDescent="0.25">
      <c r="AD23786"/>
    </row>
    <row r="23787" spans="30:30" x14ac:dyDescent="0.25">
      <c r="AD23787"/>
    </row>
    <row r="23788" spans="30:30" x14ac:dyDescent="0.25">
      <c r="AD23788"/>
    </row>
    <row r="23789" spans="30:30" x14ac:dyDescent="0.25">
      <c r="AD23789"/>
    </row>
    <row r="23790" spans="30:30" x14ac:dyDescent="0.25">
      <c r="AD23790"/>
    </row>
    <row r="23791" spans="30:30" x14ac:dyDescent="0.25">
      <c r="AD23791"/>
    </row>
    <row r="23792" spans="30:30" x14ac:dyDescent="0.25">
      <c r="AD23792"/>
    </row>
    <row r="23793" spans="30:30" x14ac:dyDescent="0.25">
      <c r="AD23793"/>
    </row>
    <row r="23794" spans="30:30" x14ac:dyDescent="0.25">
      <c r="AD23794"/>
    </row>
    <row r="23795" spans="30:30" x14ac:dyDescent="0.25">
      <c r="AD23795"/>
    </row>
    <row r="23796" spans="30:30" x14ac:dyDescent="0.25">
      <c r="AD23796"/>
    </row>
    <row r="23797" spans="30:30" x14ac:dyDescent="0.25">
      <c r="AD23797"/>
    </row>
    <row r="23798" spans="30:30" x14ac:dyDescent="0.25">
      <c r="AD23798"/>
    </row>
    <row r="23799" spans="30:30" x14ac:dyDescent="0.25">
      <c r="AD23799"/>
    </row>
    <row r="23800" spans="30:30" x14ac:dyDescent="0.25">
      <c r="AD23800"/>
    </row>
    <row r="23801" spans="30:30" x14ac:dyDescent="0.25">
      <c r="AD23801"/>
    </row>
    <row r="23802" spans="30:30" x14ac:dyDescent="0.25">
      <c r="AD23802"/>
    </row>
    <row r="23803" spans="30:30" x14ac:dyDescent="0.25">
      <c r="AD23803"/>
    </row>
    <row r="23804" spans="30:30" x14ac:dyDescent="0.25">
      <c r="AD23804"/>
    </row>
    <row r="23805" spans="30:30" x14ac:dyDescent="0.25">
      <c r="AD23805"/>
    </row>
    <row r="23806" spans="30:30" x14ac:dyDescent="0.25">
      <c r="AD23806"/>
    </row>
    <row r="23807" spans="30:30" x14ac:dyDescent="0.25">
      <c r="AD23807"/>
    </row>
    <row r="23808" spans="30:30" x14ac:dyDescent="0.25">
      <c r="AD23808"/>
    </row>
    <row r="23809" spans="30:30" x14ac:dyDescent="0.25">
      <c r="AD23809"/>
    </row>
    <row r="23810" spans="30:30" x14ac:dyDescent="0.25">
      <c r="AD23810"/>
    </row>
    <row r="23811" spans="30:30" x14ac:dyDescent="0.25">
      <c r="AD23811"/>
    </row>
    <row r="23812" spans="30:30" x14ac:dyDescent="0.25">
      <c r="AD23812"/>
    </row>
    <row r="23813" spans="30:30" x14ac:dyDescent="0.25">
      <c r="AD23813"/>
    </row>
    <row r="23814" spans="30:30" x14ac:dyDescent="0.25">
      <c r="AD23814"/>
    </row>
    <row r="23815" spans="30:30" x14ac:dyDescent="0.25">
      <c r="AD23815"/>
    </row>
    <row r="23816" spans="30:30" x14ac:dyDescent="0.25">
      <c r="AD23816"/>
    </row>
    <row r="23817" spans="30:30" x14ac:dyDescent="0.25">
      <c r="AD23817"/>
    </row>
    <row r="23818" spans="30:30" x14ac:dyDescent="0.25">
      <c r="AD23818"/>
    </row>
    <row r="23819" spans="30:30" x14ac:dyDescent="0.25">
      <c r="AD23819"/>
    </row>
    <row r="23820" spans="30:30" x14ac:dyDescent="0.25">
      <c r="AD23820"/>
    </row>
    <row r="23821" spans="30:30" x14ac:dyDescent="0.25">
      <c r="AD23821"/>
    </row>
    <row r="23822" spans="30:30" x14ac:dyDescent="0.25">
      <c r="AD23822"/>
    </row>
    <row r="23823" spans="30:30" x14ac:dyDescent="0.25">
      <c r="AD23823"/>
    </row>
    <row r="23824" spans="30:30" x14ac:dyDescent="0.25">
      <c r="AD23824"/>
    </row>
    <row r="23825" spans="30:30" x14ac:dyDescent="0.25">
      <c r="AD23825"/>
    </row>
    <row r="23826" spans="30:30" x14ac:dyDescent="0.25">
      <c r="AD23826"/>
    </row>
    <row r="23827" spans="30:30" x14ac:dyDescent="0.25">
      <c r="AD23827"/>
    </row>
    <row r="23828" spans="30:30" x14ac:dyDescent="0.25">
      <c r="AD23828"/>
    </row>
    <row r="23829" spans="30:30" x14ac:dyDescent="0.25">
      <c r="AD23829"/>
    </row>
    <row r="23830" spans="30:30" x14ac:dyDescent="0.25">
      <c r="AD23830"/>
    </row>
    <row r="23831" spans="30:30" x14ac:dyDescent="0.25">
      <c r="AD23831"/>
    </row>
    <row r="23832" spans="30:30" x14ac:dyDescent="0.25">
      <c r="AD23832"/>
    </row>
    <row r="23833" spans="30:30" x14ac:dyDescent="0.25">
      <c r="AD23833"/>
    </row>
    <row r="23834" spans="30:30" x14ac:dyDescent="0.25">
      <c r="AD23834"/>
    </row>
    <row r="23835" spans="30:30" x14ac:dyDescent="0.25">
      <c r="AD23835"/>
    </row>
    <row r="23836" spans="30:30" x14ac:dyDescent="0.25">
      <c r="AD23836"/>
    </row>
    <row r="23837" spans="30:30" x14ac:dyDescent="0.25">
      <c r="AD23837"/>
    </row>
    <row r="23838" spans="30:30" x14ac:dyDescent="0.25">
      <c r="AD23838"/>
    </row>
    <row r="23839" spans="30:30" x14ac:dyDescent="0.25">
      <c r="AD23839"/>
    </row>
    <row r="23840" spans="30:30" x14ac:dyDescent="0.25">
      <c r="AD23840"/>
    </row>
    <row r="23841" spans="30:30" x14ac:dyDescent="0.25">
      <c r="AD23841"/>
    </row>
    <row r="23842" spans="30:30" x14ac:dyDescent="0.25">
      <c r="AD23842"/>
    </row>
    <row r="23843" spans="30:30" x14ac:dyDescent="0.25">
      <c r="AD23843"/>
    </row>
    <row r="23844" spans="30:30" x14ac:dyDescent="0.25">
      <c r="AD23844"/>
    </row>
    <row r="23845" spans="30:30" x14ac:dyDescent="0.25">
      <c r="AD23845"/>
    </row>
    <row r="23846" spans="30:30" x14ac:dyDescent="0.25">
      <c r="AD23846"/>
    </row>
    <row r="23847" spans="30:30" x14ac:dyDescent="0.25">
      <c r="AD23847"/>
    </row>
    <row r="23848" spans="30:30" x14ac:dyDescent="0.25">
      <c r="AD23848"/>
    </row>
    <row r="23849" spans="30:30" x14ac:dyDescent="0.25">
      <c r="AD23849"/>
    </row>
    <row r="23850" spans="30:30" x14ac:dyDescent="0.25">
      <c r="AD23850"/>
    </row>
    <row r="23851" spans="30:30" x14ac:dyDescent="0.25">
      <c r="AD23851"/>
    </row>
    <row r="23852" spans="30:30" x14ac:dyDescent="0.25">
      <c r="AD23852"/>
    </row>
    <row r="23853" spans="30:30" x14ac:dyDescent="0.25">
      <c r="AD23853"/>
    </row>
    <row r="23854" spans="30:30" x14ac:dyDescent="0.25">
      <c r="AD23854"/>
    </row>
    <row r="23855" spans="30:30" x14ac:dyDescent="0.25">
      <c r="AD23855"/>
    </row>
    <row r="23856" spans="30:30" x14ac:dyDescent="0.25">
      <c r="AD23856"/>
    </row>
    <row r="23857" spans="30:30" x14ac:dyDescent="0.25">
      <c r="AD23857"/>
    </row>
    <row r="23858" spans="30:30" x14ac:dyDescent="0.25">
      <c r="AD23858"/>
    </row>
    <row r="23859" spans="30:30" x14ac:dyDescent="0.25">
      <c r="AD23859"/>
    </row>
    <row r="23860" spans="30:30" x14ac:dyDescent="0.25">
      <c r="AD23860"/>
    </row>
    <row r="23861" spans="30:30" x14ac:dyDescent="0.25">
      <c r="AD23861"/>
    </row>
    <row r="23862" spans="30:30" x14ac:dyDescent="0.25">
      <c r="AD23862"/>
    </row>
    <row r="23863" spans="30:30" x14ac:dyDescent="0.25">
      <c r="AD23863"/>
    </row>
    <row r="23864" spans="30:30" x14ac:dyDescent="0.25">
      <c r="AD23864"/>
    </row>
    <row r="23865" spans="30:30" x14ac:dyDescent="0.25">
      <c r="AD23865"/>
    </row>
    <row r="23866" spans="30:30" x14ac:dyDescent="0.25">
      <c r="AD23866"/>
    </row>
    <row r="23867" spans="30:30" x14ac:dyDescent="0.25">
      <c r="AD23867"/>
    </row>
    <row r="23868" spans="30:30" x14ac:dyDescent="0.25">
      <c r="AD23868"/>
    </row>
    <row r="23869" spans="30:30" x14ac:dyDescent="0.25">
      <c r="AD23869"/>
    </row>
    <row r="23870" spans="30:30" x14ac:dyDescent="0.25">
      <c r="AD23870"/>
    </row>
    <row r="23871" spans="30:30" x14ac:dyDescent="0.25">
      <c r="AD23871"/>
    </row>
    <row r="23872" spans="30:30" x14ac:dyDescent="0.25">
      <c r="AD23872"/>
    </row>
    <row r="23873" spans="30:30" x14ac:dyDescent="0.25">
      <c r="AD23873"/>
    </row>
    <row r="23874" spans="30:30" x14ac:dyDescent="0.25">
      <c r="AD23874"/>
    </row>
    <row r="23875" spans="30:30" x14ac:dyDescent="0.25">
      <c r="AD23875"/>
    </row>
    <row r="23876" spans="30:30" x14ac:dyDescent="0.25">
      <c r="AD23876"/>
    </row>
    <row r="23877" spans="30:30" x14ac:dyDescent="0.25">
      <c r="AD23877"/>
    </row>
    <row r="23878" spans="30:30" x14ac:dyDescent="0.25">
      <c r="AD23878"/>
    </row>
    <row r="23879" spans="30:30" x14ac:dyDescent="0.25">
      <c r="AD23879"/>
    </row>
    <row r="23880" spans="30:30" x14ac:dyDescent="0.25">
      <c r="AD23880"/>
    </row>
    <row r="23881" spans="30:30" x14ac:dyDescent="0.25">
      <c r="AD23881"/>
    </row>
    <row r="23882" spans="30:30" x14ac:dyDescent="0.25">
      <c r="AD23882"/>
    </row>
    <row r="23883" spans="30:30" x14ac:dyDescent="0.25">
      <c r="AD23883"/>
    </row>
    <row r="23884" spans="30:30" x14ac:dyDescent="0.25">
      <c r="AD23884"/>
    </row>
    <row r="23885" spans="30:30" x14ac:dyDescent="0.25">
      <c r="AD23885"/>
    </row>
    <row r="23886" spans="30:30" x14ac:dyDescent="0.25">
      <c r="AD23886"/>
    </row>
    <row r="23887" spans="30:30" x14ac:dyDescent="0.25">
      <c r="AD23887"/>
    </row>
    <row r="23888" spans="30:30" x14ac:dyDescent="0.25">
      <c r="AD23888"/>
    </row>
    <row r="23889" spans="30:30" x14ac:dyDescent="0.25">
      <c r="AD23889"/>
    </row>
    <row r="23890" spans="30:30" x14ac:dyDescent="0.25">
      <c r="AD23890"/>
    </row>
    <row r="23891" spans="30:30" x14ac:dyDescent="0.25">
      <c r="AD23891"/>
    </row>
    <row r="23892" spans="30:30" x14ac:dyDescent="0.25">
      <c r="AD23892"/>
    </row>
    <row r="23893" spans="30:30" x14ac:dyDescent="0.25">
      <c r="AD23893"/>
    </row>
    <row r="23894" spans="30:30" x14ac:dyDescent="0.25">
      <c r="AD23894"/>
    </row>
    <row r="23895" spans="30:30" x14ac:dyDescent="0.25">
      <c r="AD23895"/>
    </row>
    <row r="23896" spans="30:30" x14ac:dyDescent="0.25">
      <c r="AD23896"/>
    </row>
    <row r="23897" spans="30:30" x14ac:dyDescent="0.25">
      <c r="AD23897"/>
    </row>
    <row r="23898" spans="30:30" x14ac:dyDescent="0.25">
      <c r="AD23898"/>
    </row>
    <row r="23899" spans="30:30" x14ac:dyDescent="0.25">
      <c r="AD23899"/>
    </row>
    <row r="23900" spans="30:30" x14ac:dyDescent="0.25">
      <c r="AD23900"/>
    </row>
    <row r="23901" spans="30:30" x14ac:dyDescent="0.25">
      <c r="AD23901"/>
    </row>
    <row r="23902" spans="30:30" x14ac:dyDescent="0.25">
      <c r="AD23902"/>
    </row>
    <row r="23903" spans="30:30" x14ac:dyDescent="0.25">
      <c r="AD23903"/>
    </row>
    <row r="23904" spans="30:30" x14ac:dyDescent="0.25">
      <c r="AD23904"/>
    </row>
    <row r="23905" spans="30:30" x14ac:dyDescent="0.25">
      <c r="AD23905"/>
    </row>
    <row r="23906" spans="30:30" x14ac:dyDescent="0.25">
      <c r="AD23906"/>
    </row>
    <row r="23907" spans="30:30" x14ac:dyDescent="0.25">
      <c r="AD23907"/>
    </row>
    <row r="23908" spans="30:30" x14ac:dyDescent="0.25">
      <c r="AD23908"/>
    </row>
    <row r="23909" spans="30:30" x14ac:dyDescent="0.25">
      <c r="AD23909"/>
    </row>
    <row r="23910" spans="30:30" x14ac:dyDescent="0.25">
      <c r="AD23910"/>
    </row>
    <row r="23911" spans="30:30" x14ac:dyDescent="0.25">
      <c r="AD23911"/>
    </row>
    <row r="23912" spans="30:30" x14ac:dyDescent="0.25">
      <c r="AD23912"/>
    </row>
    <row r="23913" spans="30:30" x14ac:dyDescent="0.25">
      <c r="AD23913"/>
    </row>
    <row r="23914" spans="30:30" x14ac:dyDescent="0.25">
      <c r="AD23914"/>
    </row>
    <row r="23915" spans="30:30" x14ac:dyDescent="0.25">
      <c r="AD23915"/>
    </row>
    <row r="23916" spans="30:30" x14ac:dyDescent="0.25">
      <c r="AD23916"/>
    </row>
    <row r="23917" spans="30:30" x14ac:dyDescent="0.25">
      <c r="AD23917"/>
    </row>
    <row r="23918" spans="30:30" x14ac:dyDescent="0.25">
      <c r="AD23918"/>
    </row>
    <row r="23919" spans="30:30" x14ac:dyDescent="0.25">
      <c r="AD23919"/>
    </row>
    <row r="23920" spans="30:30" x14ac:dyDescent="0.25">
      <c r="AD23920"/>
    </row>
    <row r="23921" spans="30:30" x14ac:dyDescent="0.25">
      <c r="AD23921"/>
    </row>
    <row r="23922" spans="30:30" x14ac:dyDescent="0.25">
      <c r="AD23922"/>
    </row>
    <row r="23923" spans="30:30" x14ac:dyDescent="0.25">
      <c r="AD23923"/>
    </row>
    <row r="23924" spans="30:30" x14ac:dyDescent="0.25">
      <c r="AD23924"/>
    </row>
    <row r="23925" spans="30:30" x14ac:dyDescent="0.25">
      <c r="AD23925"/>
    </row>
    <row r="23926" spans="30:30" x14ac:dyDescent="0.25">
      <c r="AD23926"/>
    </row>
    <row r="23927" spans="30:30" x14ac:dyDescent="0.25">
      <c r="AD23927"/>
    </row>
    <row r="23928" spans="30:30" x14ac:dyDescent="0.25">
      <c r="AD23928"/>
    </row>
    <row r="23929" spans="30:30" x14ac:dyDescent="0.25">
      <c r="AD23929"/>
    </row>
    <row r="23930" spans="30:30" x14ac:dyDescent="0.25">
      <c r="AD23930"/>
    </row>
    <row r="23931" spans="30:30" x14ac:dyDescent="0.25">
      <c r="AD23931"/>
    </row>
    <row r="23932" spans="30:30" x14ac:dyDescent="0.25">
      <c r="AD23932"/>
    </row>
    <row r="23933" spans="30:30" x14ac:dyDescent="0.25">
      <c r="AD23933"/>
    </row>
    <row r="23934" spans="30:30" x14ac:dyDescent="0.25">
      <c r="AD23934"/>
    </row>
    <row r="23935" spans="30:30" x14ac:dyDescent="0.25">
      <c r="AD23935"/>
    </row>
    <row r="23936" spans="30:30" x14ac:dyDescent="0.25">
      <c r="AD23936"/>
    </row>
    <row r="23937" spans="30:30" x14ac:dyDescent="0.25">
      <c r="AD23937"/>
    </row>
    <row r="23938" spans="30:30" x14ac:dyDescent="0.25">
      <c r="AD23938"/>
    </row>
    <row r="23939" spans="30:30" x14ac:dyDescent="0.25">
      <c r="AD23939"/>
    </row>
    <row r="23940" spans="30:30" x14ac:dyDescent="0.25">
      <c r="AD23940"/>
    </row>
    <row r="23941" spans="30:30" x14ac:dyDescent="0.25">
      <c r="AD23941"/>
    </row>
    <row r="23942" spans="30:30" x14ac:dyDescent="0.25">
      <c r="AD23942"/>
    </row>
    <row r="23943" spans="30:30" x14ac:dyDescent="0.25">
      <c r="AD23943"/>
    </row>
    <row r="23944" spans="30:30" x14ac:dyDescent="0.25">
      <c r="AD23944"/>
    </row>
    <row r="23945" spans="30:30" x14ac:dyDescent="0.25">
      <c r="AD23945"/>
    </row>
    <row r="23946" spans="30:30" x14ac:dyDescent="0.25">
      <c r="AD23946"/>
    </row>
    <row r="23947" spans="30:30" x14ac:dyDescent="0.25">
      <c r="AD23947"/>
    </row>
    <row r="23948" spans="30:30" x14ac:dyDescent="0.25">
      <c r="AD23948"/>
    </row>
    <row r="23949" spans="30:30" x14ac:dyDescent="0.25">
      <c r="AD23949"/>
    </row>
    <row r="23950" spans="30:30" x14ac:dyDescent="0.25">
      <c r="AD23950"/>
    </row>
    <row r="23951" spans="30:30" x14ac:dyDescent="0.25">
      <c r="AD23951"/>
    </row>
    <row r="23952" spans="30:30" x14ac:dyDescent="0.25">
      <c r="AD23952"/>
    </row>
    <row r="23953" spans="30:30" x14ac:dyDescent="0.25">
      <c r="AD23953"/>
    </row>
    <row r="23954" spans="30:30" x14ac:dyDescent="0.25">
      <c r="AD23954"/>
    </row>
    <row r="23955" spans="30:30" x14ac:dyDescent="0.25">
      <c r="AD23955"/>
    </row>
    <row r="23956" spans="30:30" x14ac:dyDescent="0.25">
      <c r="AD23956"/>
    </row>
    <row r="23957" spans="30:30" x14ac:dyDescent="0.25">
      <c r="AD23957"/>
    </row>
    <row r="23958" spans="30:30" x14ac:dyDescent="0.25">
      <c r="AD23958"/>
    </row>
    <row r="23959" spans="30:30" x14ac:dyDescent="0.25">
      <c r="AD23959"/>
    </row>
    <row r="23960" spans="30:30" x14ac:dyDescent="0.25">
      <c r="AD23960"/>
    </row>
    <row r="23961" spans="30:30" x14ac:dyDescent="0.25">
      <c r="AD23961"/>
    </row>
    <row r="23962" spans="30:30" x14ac:dyDescent="0.25">
      <c r="AD23962"/>
    </row>
    <row r="23963" spans="30:30" x14ac:dyDescent="0.25">
      <c r="AD23963"/>
    </row>
    <row r="23964" spans="30:30" x14ac:dyDescent="0.25">
      <c r="AD23964"/>
    </row>
    <row r="23965" spans="30:30" x14ac:dyDescent="0.25">
      <c r="AD23965"/>
    </row>
    <row r="23966" spans="30:30" x14ac:dyDescent="0.25">
      <c r="AD23966"/>
    </row>
    <row r="23967" spans="30:30" x14ac:dyDescent="0.25">
      <c r="AD23967"/>
    </row>
    <row r="23968" spans="30:30" x14ac:dyDescent="0.25">
      <c r="AD23968"/>
    </row>
    <row r="23969" spans="30:30" x14ac:dyDescent="0.25">
      <c r="AD23969"/>
    </row>
    <row r="23970" spans="30:30" x14ac:dyDescent="0.25">
      <c r="AD23970"/>
    </row>
    <row r="23971" spans="30:30" x14ac:dyDescent="0.25">
      <c r="AD23971"/>
    </row>
    <row r="23972" spans="30:30" x14ac:dyDescent="0.25">
      <c r="AD23972"/>
    </row>
    <row r="23973" spans="30:30" x14ac:dyDescent="0.25">
      <c r="AD23973"/>
    </row>
    <row r="23974" spans="30:30" x14ac:dyDescent="0.25">
      <c r="AD23974"/>
    </row>
    <row r="23975" spans="30:30" x14ac:dyDescent="0.25">
      <c r="AD23975"/>
    </row>
    <row r="23976" spans="30:30" x14ac:dyDescent="0.25">
      <c r="AD23976"/>
    </row>
    <row r="23977" spans="30:30" x14ac:dyDescent="0.25">
      <c r="AD23977"/>
    </row>
    <row r="23978" spans="30:30" x14ac:dyDescent="0.25">
      <c r="AD23978"/>
    </row>
    <row r="23979" spans="30:30" x14ac:dyDescent="0.25">
      <c r="AD23979"/>
    </row>
    <row r="23980" spans="30:30" x14ac:dyDescent="0.25">
      <c r="AD23980"/>
    </row>
    <row r="23981" spans="30:30" x14ac:dyDescent="0.25">
      <c r="AD23981"/>
    </row>
    <row r="23982" spans="30:30" x14ac:dyDescent="0.25">
      <c r="AD23982"/>
    </row>
    <row r="23983" spans="30:30" x14ac:dyDescent="0.25">
      <c r="AD23983"/>
    </row>
    <row r="23984" spans="30:30" x14ac:dyDescent="0.25">
      <c r="AD23984"/>
    </row>
    <row r="23985" spans="30:30" x14ac:dyDescent="0.25">
      <c r="AD23985"/>
    </row>
    <row r="23986" spans="30:30" x14ac:dyDescent="0.25">
      <c r="AD23986"/>
    </row>
    <row r="23987" spans="30:30" x14ac:dyDescent="0.25">
      <c r="AD23987"/>
    </row>
    <row r="23988" spans="30:30" x14ac:dyDescent="0.25">
      <c r="AD23988"/>
    </row>
    <row r="23989" spans="30:30" x14ac:dyDescent="0.25">
      <c r="AD23989"/>
    </row>
    <row r="23990" spans="30:30" x14ac:dyDescent="0.25">
      <c r="AD23990"/>
    </row>
    <row r="23991" spans="30:30" x14ac:dyDescent="0.25">
      <c r="AD23991"/>
    </row>
    <row r="23992" spans="30:30" x14ac:dyDescent="0.25">
      <c r="AD23992"/>
    </row>
    <row r="23993" spans="30:30" x14ac:dyDescent="0.25">
      <c r="AD23993"/>
    </row>
    <row r="23994" spans="30:30" x14ac:dyDescent="0.25">
      <c r="AD23994"/>
    </row>
    <row r="23995" spans="30:30" x14ac:dyDescent="0.25">
      <c r="AD23995"/>
    </row>
    <row r="23996" spans="30:30" x14ac:dyDescent="0.25">
      <c r="AD23996"/>
    </row>
    <row r="23997" spans="30:30" x14ac:dyDescent="0.25">
      <c r="AD23997"/>
    </row>
    <row r="23998" spans="30:30" x14ac:dyDescent="0.25">
      <c r="AD23998"/>
    </row>
    <row r="23999" spans="30:30" x14ac:dyDescent="0.25">
      <c r="AD23999"/>
    </row>
    <row r="24000" spans="30:30" x14ac:dyDescent="0.25">
      <c r="AD24000"/>
    </row>
    <row r="24001" spans="30:30" x14ac:dyDescent="0.25">
      <c r="AD24001"/>
    </row>
    <row r="24002" spans="30:30" x14ac:dyDescent="0.25">
      <c r="AD24002"/>
    </row>
    <row r="24003" spans="30:30" x14ac:dyDescent="0.25">
      <c r="AD24003"/>
    </row>
    <row r="24004" spans="30:30" x14ac:dyDescent="0.25">
      <c r="AD24004"/>
    </row>
    <row r="24005" spans="30:30" x14ac:dyDescent="0.25">
      <c r="AD24005"/>
    </row>
    <row r="24006" spans="30:30" x14ac:dyDescent="0.25">
      <c r="AD24006"/>
    </row>
    <row r="24007" spans="30:30" x14ac:dyDescent="0.25">
      <c r="AD24007"/>
    </row>
    <row r="24008" spans="30:30" x14ac:dyDescent="0.25">
      <c r="AD24008"/>
    </row>
    <row r="24009" spans="30:30" x14ac:dyDescent="0.25">
      <c r="AD24009"/>
    </row>
    <row r="24010" spans="30:30" x14ac:dyDescent="0.25">
      <c r="AD24010"/>
    </row>
    <row r="24011" spans="30:30" x14ac:dyDescent="0.25">
      <c r="AD24011"/>
    </row>
    <row r="24012" spans="30:30" x14ac:dyDescent="0.25">
      <c r="AD24012"/>
    </row>
    <row r="24013" spans="30:30" x14ac:dyDescent="0.25">
      <c r="AD24013"/>
    </row>
    <row r="24014" spans="30:30" x14ac:dyDescent="0.25">
      <c r="AD24014"/>
    </row>
    <row r="24015" spans="30:30" x14ac:dyDescent="0.25">
      <c r="AD24015"/>
    </row>
    <row r="24016" spans="30:30" x14ac:dyDescent="0.25">
      <c r="AD24016"/>
    </row>
    <row r="24017" spans="30:30" x14ac:dyDescent="0.25">
      <c r="AD24017"/>
    </row>
    <row r="24018" spans="30:30" x14ac:dyDescent="0.25">
      <c r="AD24018"/>
    </row>
    <row r="24019" spans="30:30" x14ac:dyDescent="0.25">
      <c r="AD24019"/>
    </row>
    <row r="24020" spans="30:30" x14ac:dyDescent="0.25">
      <c r="AD24020"/>
    </row>
    <row r="24021" spans="30:30" x14ac:dyDescent="0.25">
      <c r="AD24021"/>
    </row>
    <row r="24022" spans="30:30" x14ac:dyDescent="0.25">
      <c r="AD24022"/>
    </row>
    <row r="24023" spans="30:30" x14ac:dyDescent="0.25">
      <c r="AD24023"/>
    </row>
    <row r="24024" spans="30:30" x14ac:dyDescent="0.25">
      <c r="AD24024"/>
    </row>
    <row r="24025" spans="30:30" x14ac:dyDescent="0.25">
      <c r="AD24025"/>
    </row>
    <row r="24026" spans="30:30" x14ac:dyDescent="0.25">
      <c r="AD24026"/>
    </row>
    <row r="24027" spans="30:30" x14ac:dyDescent="0.25">
      <c r="AD24027"/>
    </row>
    <row r="24028" spans="30:30" x14ac:dyDescent="0.25">
      <c r="AD24028"/>
    </row>
    <row r="24029" spans="30:30" x14ac:dyDescent="0.25">
      <c r="AD24029"/>
    </row>
    <row r="24030" spans="30:30" x14ac:dyDescent="0.25">
      <c r="AD24030"/>
    </row>
    <row r="24031" spans="30:30" x14ac:dyDescent="0.25">
      <c r="AD24031"/>
    </row>
    <row r="24032" spans="30:30" x14ac:dyDescent="0.25">
      <c r="AD24032"/>
    </row>
    <row r="24033" spans="30:30" x14ac:dyDescent="0.25">
      <c r="AD24033"/>
    </row>
    <row r="24034" spans="30:30" x14ac:dyDescent="0.25">
      <c r="AD24034"/>
    </row>
    <row r="24035" spans="30:30" x14ac:dyDescent="0.25">
      <c r="AD24035"/>
    </row>
    <row r="24036" spans="30:30" x14ac:dyDescent="0.25">
      <c r="AD24036"/>
    </row>
    <row r="24037" spans="30:30" x14ac:dyDescent="0.25">
      <c r="AD24037"/>
    </row>
    <row r="24038" spans="30:30" x14ac:dyDescent="0.25">
      <c r="AD24038"/>
    </row>
    <row r="24039" spans="30:30" x14ac:dyDescent="0.25">
      <c r="AD24039"/>
    </row>
    <row r="24040" spans="30:30" x14ac:dyDescent="0.25">
      <c r="AD24040"/>
    </row>
    <row r="24041" spans="30:30" x14ac:dyDescent="0.25">
      <c r="AD24041"/>
    </row>
    <row r="24042" spans="30:30" x14ac:dyDescent="0.25">
      <c r="AD24042"/>
    </row>
    <row r="24043" spans="30:30" x14ac:dyDescent="0.25">
      <c r="AD24043"/>
    </row>
    <row r="24044" spans="30:30" x14ac:dyDescent="0.25">
      <c r="AD24044"/>
    </row>
    <row r="24045" spans="30:30" x14ac:dyDescent="0.25">
      <c r="AD24045"/>
    </row>
    <row r="24046" spans="30:30" x14ac:dyDescent="0.25">
      <c r="AD24046"/>
    </row>
    <row r="24047" spans="30:30" x14ac:dyDescent="0.25">
      <c r="AD24047"/>
    </row>
    <row r="24048" spans="30:30" x14ac:dyDescent="0.25">
      <c r="AD24048"/>
    </row>
    <row r="24049" spans="30:30" x14ac:dyDescent="0.25">
      <c r="AD24049"/>
    </row>
    <row r="24050" spans="30:30" x14ac:dyDescent="0.25">
      <c r="AD24050"/>
    </row>
    <row r="24051" spans="30:30" x14ac:dyDescent="0.25">
      <c r="AD24051"/>
    </row>
    <row r="24052" spans="30:30" x14ac:dyDescent="0.25">
      <c r="AD24052"/>
    </row>
    <row r="24053" spans="30:30" x14ac:dyDescent="0.25">
      <c r="AD24053"/>
    </row>
    <row r="24054" spans="30:30" x14ac:dyDescent="0.25">
      <c r="AD24054"/>
    </row>
    <row r="24055" spans="30:30" x14ac:dyDescent="0.25">
      <c r="AD24055"/>
    </row>
    <row r="24056" spans="30:30" x14ac:dyDescent="0.25">
      <c r="AD24056"/>
    </row>
    <row r="24057" spans="30:30" x14ac:dyDescent="0.25">
      <c r="AD24057"/>
    </row>
    <row r="24058" spans="30:30" x14ac:dyDescent="0.25">
      <c r="AD24058"/>
    </row>
    <row r="24059" spans="30:30" x14ac:dyDescent="0.25">
      <c r="AD24059"/>
    </row>
    <row r="24060" spans="30:30" x14ac:dyDescent="0.25">
      <c r="AD24060"/>
    </row>
    <row r="24061" spans="30:30" x14ac:dyDescent="0.25">
      <c r="AD24061"/>
    </row>
    <row r="24062" spans="30:30" x14ac:dyDescent="0.25">
      <c r="AD24062"/>
    </row>
    <row r="24063" spans="30:30" x14ac:dyDescent="0.25">
      <c r="AD24063"/>
    </row>
    <row r="24064" spans="30:30" x14ac:dyDescent="0.25">
      <c r="AD24064"/>
    </row>
    <row r="24065" spans="30:30" x14ac:dyDescent="0.25">
      <c r="AD24065"/>
    </row>
    <row r="24066" spans="30:30" x14ac:dyDescent="0.25">
      <c r="AD24066"/>
    </row>
    <row r="24067" spans="30:30" x14ac:dyDescent="0.25">
      <c r="AD24067"/>
    </row>
    <row r="24068" spans="30:30" x14ac:dyDescent="0.25">
      <c r="AD24068"/>
    </row>
    <row r="24069" spans="30:30" x14ac:dyDescent="0.25">
      <c r="AD24069"/>
    </row>
    <row r="24070" spans="30:30" x14ac:dyDescent="0.25">
      <c r="AD24070"/>
    </row>
    <row r="24071" spans="30:30" x14ac:dyDescent="0.25">
      <c r="AD24071"/>
    </row>
    <row r="24072" spans="30:30" x14ac:dyDescent="0.25">
      <c r="AD24072"/>
    </row>
    <row r="24073" spans="30:30" x14ac:dyDescent="0.25">
      <c r="AD24073"/>
    </row>
    <row r="24074" spans="30:30" x14ac:dyDescent="0.25">
      <c r="AD24074"/>
    </row>
    <row r="24075" spans="30:30" x14ac:dyDescent="0.25">
      <c r="AD24075"/>
    </row>
    <row r="24076" spans="30:30" x14ac:dyDescent="0.25">
      <c r="AD24076"/>
    </row>
    <row r="24077" spans="30:30" x14ac:dyDescent="0.25">
      <c r="AD24077"/>
    </row>
    <row r="24078" spans="30:30" x14ac:dyDescent="0.25">
      <c r="AD24078"/>
    </row>
    <row r="24079" spans="30:30" x14ac:dyDescent="0.25">
      <c r="AD24079"/>
    </row>
    <row r="24080" spans="30:30" x14ac:dyDescent="0.25">
      <c r="AD24080"/>
    </row>
    <row r="24081" spans="30:30" x14ac:dyDescent="0.25">
      <c r="AD24081"/>
    </row>
    <row r="24082" spans="30:30" x14ac:dyDescent="0.25">
      <c r="AD24082"/>
    </row>
    <row r="24083" spans="30:30" x14ac:dyDescent="0.25">
      <c r="AD24083"/>
    </row>
    <row r="24084" spans="30:30" x14ac:dyDescent="0.25">
      <c r="AD24084"/>
    </row>
    <row r="24085" spans="30:30" x14ac:dyDescent="0.25">
      <c r="AD24085"/>
    </row>
    <row r="24086" spans="30:30" x14ac:dyDescent="0.25">
      <c r="AD24086"/>
    </row>
    <row r="24087" spans="30:30" x14ac:dyDescent="0.25">
      <c r="AD24087"/>
    </row>
    <row r="24088" spans="30:30" x14ac:dyDescent="0.25">
      <c r="AD24088"/>
    </row>
    <row r="24089" spans="30:30" x14ac:dyDescent="0.25">
      <c r="AD24089"/>
    </row>
    <row r="24090" spans="30:30" x14ac:dyDescent="0.25">
      <c r="AD24090"/>
    </row>
    <row r="24091" spans="30:30" x14ac:dyDescent="0.25">
      <c r="AD24091"/>
    </row>
    <row r="24092" spans="30:30" x14ac:dyDescent="0.25">
      <c r="AD24092"/>
    </row>
    <row r="24093" spans="30:30" x14ac:dyDescent="0.25">
      <c r="AD24093"/>
    </row>
    <row r="24094" spans="30:30" x14ac:dyDescent="0.25">
      <c r="AD24094"/>
    </row>
    <row r="24095" spans="30:30" x14ac:dyDescent="0.25">
      <c r="AD24095"/>
    </row>
    <row r="24096" spans="30:30" x14ac:dyDescent="0.25">
      <c r="AD24096"/>
    </row>
    <row r="24097" spans="30:30" x14ac:dyDescent="0.25">
      <c r="AD24097"/>
    </row>
    <row r="24098" spans="30:30" x14ac:dyDescent="0.25">
      <c r="AD24098"/>
    </row>
    <row r="24099" spans="30:30" x14ac:dyDescent="0.25">
      <c r="AD24099"/>
    </row>
    <row r="24100" spans="30:30" x14ac:dyDescent="0.25">
      <c r="AD24100"/>
    </row>
    <row r="24101" spans="30:30" x14ac:dyDescent="0.25">
      <c r="AD24101"/>
    </row>
    <row r="24102" spans="30:30" x14ac:dyDescent="0.25">
      <c r="AD24102"/>
    </row>
    <row r="24103" spans="30:30" x14ac:dyDescent="0.25">
      <c r="AD24103"/>
    </row>
    <row r="24104" spans="30:30" x14ac:dyDescent="0.25">
      <c r="AD24104"/>
    </row>
    <row r="24105" spans="30:30" x14ac:dyDescent="0.25">
      <c r="AD24105"/>
    </row>
    <row r="24106" spans="30:30" x14ac:dyDescent="0.25">
      <c r="AD24106"/>
    </row>
    <row r="24107" spans="30:30" x14ac:dyDescent="0.25">
      <c r="AD24107"/>
    </row>
    <row r="24108" spans="30:30" x14ac:dyDescent="0.25">
      <c r="AD24108"/>
    </row>
    <row r="24109" spans="30:30" x14ac:dyDescent="0.25">
      <c r="AD24109"/>
    </row>
    <row r="24110" spans="30:30" x14ac:dyDescent="0.25">
      <c r="AD24110"/>
    </row>
    <row r="24111" spans="30:30" x14ac:dyDescent="0.25">
      <c r="AD24111"/>
    </row>
    <row r="24112" spans="30:30" x14ac:dyDescent="0.25">
      <c r="AD24112"/>
    </row>
    <row r="24113" spans="30:30" x14ac:dyDescent="0.25">
      <c r="AD24113"/>
    </row>
    <row r="24114" spans="30:30" x14ac:dyDescent="0.25">
      <c r="AD24114"/>
    </row>
    <row r="24115" spans="30:30" x14ac:dyDescent="0.25">
      <c r="AD24115"/>
    </row>
    <row r="24116" spans="30:30" x14ac:dyDescent="0.25">
      <c r="AD24116"/>
    </row>
    <row r="24117" spans="30:30" x14ac:dyDescent="0.25">
      <c r="AD24117"/>
    </row>
    <row r="24118" spans="30:30" x14ac:dyDescent="0.25">
      <c r="AD24118"/>
    </row>
    <row r="24119" spans="30:30" x14ac:dyDescent="0.25">
      <c r="AD24119"/>
    </row>
    <row r="24120" spans="30:30" x14ac:dyDescent="0.25">
      <c r="AD24120"/>
    </row>
    <row r="24121" spans="30:30" x14ac:dyDescent="0.25">
      <c r="AD24121"/>
    </row>
    <row r="24122" spans="30:30" x14ac:dyDescent="0.25">
      <c r="AD24122"/>
    </row>
    <row r="24123" spans="30:30" x14ac:dyDescent="0.25">
      <c r="AD24123"/>
    </row>
    <row r="24124" spans="30:30" x14ac:dyDescent="0.25">
      <c r="AD24124"/>
    </row>
    <row r="24125" spans="30:30" x14ac:dyDescent="0.25">
      <c r="AD24125"/>
    </row>
    <row r="24126" spans="30:30" x14ac:dyDescent="0.25">
      <c r="AD24126"/>
    </row>
    <row r="24127" spans="30:30" x14ac:dyDescent="0.25">
      <c r="AD24127"/>
    </row>
    <row r="24128" spans="30:30" x14ac:dyDescent="0.25">
      <c r="AD24128"/>
    </row>
    <row r="24129" spans="30:30" x14ac:dyDescent="0.25">
      <c r="AD24129"/>
    </row>
    <row r="24130" spans="30:30" x14ac:dyDescent="0.25">
      <c r="AD24130"/>
    </row>
    <row r="24131" spans="30:30" x14ac:dyDescent="0.25">
      <c r="AD24131"/>
    </row>
    <row r="24132" spans="30:30" x14ac:dyDescent="0.25">
      <c r="AD24132"/>
    </row>
    <row r="24133" spans="30:30" x14ac:dyDescent="0.25">
      <c r="AD24133"/>
    </row>
    <row r="24134" spans="30:30" x14ac:dyDescent="0.25">
      <c r="AD24134"/>
    </row>
    <row r="24135" spans="30:30" x14ac:dyDescent="0.25">
      <c r="AD24135"/>
    </row>
    <row r="24136" spans="30:30" x14ac:dyDescent="0.25">
      <c r="AD24136"/>
    </row>
    <row r="24137" spans="30:30" x14ac:dyDescent="0.25">
      <c r="AD24137"/>
    </row>
    <row r="24138" spans="30:30" x14ac:dyDescent="0.25">
      <c r="AD24138"/>
    </row>
    <row r="24139" spans="30:30" x14ac:dyDescent="0.25">
      <c r="AD24139"/>
    </row>
    <row r="24140" spans="30:30" x14ac:dyDescent="0.25">
      <c r="AD24140"/>
    </row>
    <row r="24141" spans="30:30" x14ac:dyDescent="0.25">
      <c r="AD24141"/>
    </row>
    <row r="24142" spans="30:30" x14ac:dyDescent="0.25">
      <c r="AD24142"/>
    </row>
    <row r="24143" spans="30:30" x14ac:dyDescent="0.25">
      <c r="AD24143"/>
    </row>
    <row r="24144" spans="30:30" x14ac:dyDescent="0.25">
      <c r="AD24144"/>
    </row>
    <row r="24145" spans="30:30" x14ac:dyDescent="0.25">
      <c r="AD24145"/>
    </row>
    <row r="24146" spans="30:30" x14ac:dyDescent="0.25">
      <c r="AD24146"/>
    </row>
    <row r="24147" spans="30:30" x14ac:dyDescent="0.25">
      <c r="AD24147"/>
    </row>
    <row r="24148" spans="30:30" x14ac:dyDescent="0.25">
      <c r="AD24148"/>
    </row>
    <row r="24149" spans="30:30" x14ac:dyDescent="0.25">
      <c r="AD24149"/>
    </row>
    <row r="24150" spans="30:30" x14ac:dyDescent="0.25">
      <c r="AD24150"/>
    </row>
    <row r="24151" spans="30:30" x14ac:dyDescent="0.25">
      <c r="AD24151"/>
    </row>
    <row r="24152" spans="30:30" x14ac:dyDescent="0.25">
      <c r="AD24152"/>
    </row>
    <row r="24153" spans="30:30" x14ac:dyDescent="0.25">
      <c r="AD24153"/>
    </row>
    <row r="24154" spans="30:30" x14ac:dyDescent="0.25">
      <c r="AD24154"/>
    </row>
    <row r="24155" spans="30:30" x14ac:dyDescent="0.25">
      <c r="AD24155"/>
    </row>
    <row r="24156" spans="30:30" x14ac:dyDescent="0.25">
      <c r="AD24156"/>
    </row>
    <row r="24157" spans="30:30" x14ac:dyDescent="0.25">
      <c r="AD24157"/>
    </row>
    <row r="24158" spans="30:30" x14ac:dyDescent="0.25">
      <c r="AD24158"/>
    </row>
    <row r="24159" spans="30:30" x14ac:dyDescent="0.25">
      <c r="AD24159"/>
    </row>
    <row r="24160" spans="30:30" x14ac:dyDescent="0.25">
      <c r="AD24160"/>
    </row>
    <row r="24161" spans="30:30" x14ac:dyDescent="0.25">
      <c r="AD24161"/>
    </row>
    <row r="24162" spans="30:30" x14ac:dyDescent="0.25">
      <c r="AD24162"/>
    </row>
    <row r="24163" spans="30:30" x14ac:dyDescent="0.25">
      <c r="AD24163"/>
    </row>
    <row r="24164" spans="30:30" x14ac:dyDescent="0.25">
      <c r="AD24164"/>
    </row>
    <row r="24165" spans="30:30" x14ac:dyDescent="0.25">
      <c r="AD24165"/>
    </row>
    <row r="24166" spans="30:30" x14ac:dyDescent="0.25">
      <c r="AD24166"/>
    </row>
    <row r="24167" spans="30:30" x14ac:dyDescent="0.25">
      <c r="AD24167"/>
    </row>
    <row r="24168" spans="30:30" x14ac:dyDescent="0.25">
      <c r="AD24168"/>
    </row>
    <row r="24169" spans="30:30" x14ac:dyDescent="0.25">
      <c r="AD24169"/>
    </row>
    <row r="24170" spans="30:30" x14ac:dyDescent="0.25">
      <c r="AD24170"/>
    </row>
    <row r="24171" spans="30:30" x14ac:dyDescent="0.25">
      <c r="AD24171"/>
    </row>
    <row r="24172" spans="30:30" x14ac:dyDescent="0.25">
      <c r="AD24172"/>
    </row>
    <row r="24173" spans="30:30" x14ac:dyDescent="0.25">
      <c r="AD24173"/>
    </row>
    <row r="24174" spans="30:30" x14ac:dyDescent="0.25">
      <c r="AD24174"/>
    </row>
    <row r="24175" spans="30:30" x14ac:dyDescent="0.25">
      <c r="AD24175"/>
    </row>
    <row r="24176" spans="30:30" x14ac:dyDescent="0.25">
      <c r="AD24176"/>
    </row>
    <row r="24177" spans="30:30" x14ac:dyDescent="0.25">
      <c r="AD24177"/>
    </row>
    <row r="24178" spans="30:30" x14ac:dyDescent="0.25">
      <c r="AD24178"/>
    </row>
    <row r="24179" spans="30:30" x14ac:dyDescent="0.25">
      <c r="AD24179"/>
    </row>
    <row r="24180" spans="30:30" x14ac:dyDescent="0.25">
      <c r="AD24180"/>
    </row>
    <row r="24181" spans="30:30" x14ac:dyDescent="0.25">
      <c r="AD24181"/>
    </row>
    <row r="24182" spans="30:30" x14ac:dyDescent="0.25">
      <c r="AD24182"/>
    </row>
    <row r="24183" spans="30:30" x14ac:dyDescent="0.25">
      <c r="AD24183"/>
    </row>
    <row r="24184" spans="30:30" x14ac:dyDescent="0.25">
      <c r="AD24184"/>
    </row>
    <row r="24185" spans="30:30" x14ac:dyDescent="0.25">
      <c r="AD24185"/>
    </row>
    <row r="24186" spans="30:30" x14ac:dyDescent="0.25">
      <c r="AD24186"/>
    </row>
    <row r="24187" spans="30:30" x14ac:dyDescent="0.25">
      <c r="AD24187"/>
    </row>
    <row r="24188" spans="30:30" x14ac:dyDescent="0.25">
      <c r="AD24188"/>
    </row>
    <row r="24189" spans="30:30" x14ac:dyDescent="0.25">
      <c r="AD24189"/>
    </row>
    <row r="24190" spans="30:30" x14ac:dyDescent="0.25">
      <c r="AD24190"/>
    </row>
    <row r="24191" spans="30:30" x14ac:dyDescent="0.25">
      <c r="AD24191"/>
    </row>
    <row r="24192" spans="30:30" x14ac:dyDescent="0.25">
      <c r="AD24192"/>
    </row>
    <row r="24193" spans="30:30" x14ac:dyDescent="0.25">
      <c r="AD24193"/>
    </row>
    <row r="24194" spans="30:30" x14ac:dyDescent="0.25">
      <c r="AD24194"/>
    </row>
    <row r="24195" spans="30:30" x14ac:dyDescent="0.25">
      <c r="AD24195"/>
    </row>
    <row r="24196" spans="30:30" x14ac:dyDescent="0.25">
      <c r="AD24196"/>
    </row>
    <row r="24197" spans="30:30" x14ac:dyDescent="0.25">
      <c r="AD24197"/>
    </row>
    <row r="24198" spans="30:30" x14ac:dyDescent="0.25">
      <c r="AD24198"/>
    </row>
    <row r="24199" spans="30:30" x14ac:dyDescent="0.25">
      <c r="AD24199"/>
    </row>
    <row r="24200" spans="30:30" x14ac:dyDescent="0.25">
      <c r="AD24200"/>
    </row>
    <row r="24201" spans="30:30" x14ac:dyDescent="0.25">
      <c r="AD24201"/>
    </row>
    <row r="24202" spans="30:30" x14ac:dyDescent="0.25">
      <c r="AD24202"/>
    </row>
    <row r="24203" spans="30:30" x14ac:dyDescent="0.25">
      <c r="AD24203"/>
    </row>
    <row r="24204" spans="30:30" x14ac:dyDescent="0.25">
      <c r="AD24204"/>
    </row>
    <row r="24205" spans="30:30" x14ac:dyDescent="0.25">
      <c r="AD24205"/>
    </row>
    <row r="24206" spans="30:30" x14ac:dyDescent="0.25">
      <c r="AD24206"/>
    </row>
    <row r="24207" spans="30:30" x14ac:dyDescent="0.25">
      <c r="AD24207"/>
    </row>
    <row r="24208" spans="30:30" x14ac:dyDescent="0.25">
      <c r="AD24208"/>
    </row>
    <row r="24209" spans="30:30" x14ac:dyDescent="0.25">
      <c r="AD24209"/>
    </row>
    <row r="24210" spans="30:30" x14ac:dyDescent="0.25">
      <c r="AD24210"/>
    </row>
    <row r="24211" spans="30:30" x14ac:dyDescent="0.25">
      <c r="AD24211"/>
    </row>
    <row r="24212" spans="30:30" x14ac:dyDescent="0.25">
      <c r="AD24212"/>
    </row>
    <row r="24213" spans="30:30" x14ac:dyDescent="0.25">
      <c r="AD24213"/>
    </row>
    <row r="24214" spans="30:30" x14ac:dyDescent="0.25">
      <c r="AD24214"/>
    </row>
    <row r="24215" spans="30:30" x14ac:dyDescent="0.25">
      <c r="AD24215"/>
    </row>
    <row r="24216" spans="30:30" x14ac:dyDescent="0.25">
      <c r="AD24216"/>
    </row>
    <row r="24217" spans="30:30" x14ac:dyDescent="0.25">
      <c r="AD24217"/>
    </row>
    <row r="24218" spans="30:30" x14ac:dyDescent="0.25">
      <c r="AD24218"/>
    </row>
    <row r="24219" spans="30:30" x14ac:dyDescent="0.25">
      <c r="AD24219"/>
    </row>
    <row r="24220" spans="30:30" x14ac:dyDescent="0.25">
      <c r="AD24220"/>
    </row>
    <row r="24221" spans="30:30" x14ac:dyDescent="0.25">
      <c r="AD24221"/>
    </row>
    <row r="24222" spans="30:30" x14ac:dyDescent="0.25">
      <c r="AD24222"/>
    </row>
    <row r="24223" spans="30:30" x14ac:dyDescent="0.25">
      <c r="AD24223"/>
    </row>
    <row r="24224" spans="30:30" x14ac:dyDescent="0.25">
      <c r="AD24224"/>
    </row>
    <row r="24225" spans="30:30" x14ac:dyDescent="0.25">
      <c r="AD24225"/>
    </row>
    <row r="24226" spans="30:30" x14ac:dyDescent="0.25">
      <c r="AD24226"/>
    </row>
    <row r="24227" spans="30:30" x14ac:dyDescent="0.25">
      <c r="AD24227"/>
    </row>
    <row r="24228" spans="30:30" x14ac:dyDescent="0.25">
      <c r="AD24228"/>
    </row>
    <row r="24229" spans="30:30" x14ac:dyDescent="0.25">
      <c r="AD24229"/>
    </row>
    <row r="24230" spans="30:30" x14ac:dyDescent="0.25">
      <c r="AD24230"/>
    </row>
    <row r="24231" spans="30:30" x14ac:dyDescent="0.25">
      <c r="AD24231"/>
    </row>
    <row r="24232" spans="30:30" x14ac:dyDescent="0.25">
      <c r="AD24232"/>
    </row>
    <row r="24233" spans="30:30" x14ac:dyDescent="0.25">
      <c r="AD24233"/>
    </row>
    <row r="24234" spans="30:30" x14ac:dyDescent="0.25">
      <c r="AD24234"/>
    </row>
    <row r="24235" spans="30:30" x14ac:dyDescent="0.25">
      <c r="AD24235"/>
    </row>
    <row r="24236" spans="30:30" x14ac:dyDescent="0.25">
      <c r="AD24236"/>
    </row>
    <row r="24237" spans="30:30" x14ac:dyDescent="0.25">
      <c r="AD24237"/>
    </row>
    <row r="24238" spans="30:30" x14ac:dyDescent="0.25">
      <c r="AD24238"/>
    </row>
    <row r="24239" spans="30:30" x14ac:dyDescent="0.25">
      <c r="AD24239"/>
    </row>
    <row r="24240" spans="30:30" x14ac:dyDescent="0.25">
      <c r="AD24240"/>
    </row>
    <row r="24241" spans="30:30" x14ac:dyDescent="0.25">
      <c r="AD24241"/>
    </row>
    <row r="24242" spans="30:30" x14ac:dyDescent="0.25">
      <c r="AD24242"/>
    </row>
    <row r="24243" spans="30:30" x14ac:dyDescent="0.25">
      <c r="AD24243"/>
    </row>
    <row r="24244" spans="30:30" x14ac:dyDescent="0.25">
      <c r="AD24244"/>
    </row>
    <row r="24245" spans="30:30" x14ac:dyDescent="0.25">
      <c r="AD24245"/>
    </row>
    <row r="24246" spans="30:30" x14ac:dyDescent="0.25">
      <c r="AD24246"/>
    </row>
    <row r="24247" spans="30:30" x14ac:dyDescent="0.25">
      <c r="AD24247"/>
    </row>
    <row r="24248" spans="30:30" x14ac:dyDescent="0.25">
      <c r="AD24248"/>
    </row>
    <row r="24249" spans="30:30" x14ac:dyDescent="0.25">
      <c r="AD24249"/>
    </row>
    <row r="24250" spans="30:30" x14ac:dyDescent="0.25">
      <c r="AD24250"/>
    </row>
    <row r="24251" spans="30:30" x14ac:dyDescent="0.25">
      <c r="AD24251"/>
    </row>
    <row r="24252" spans="30:30" x14ac:dyDescent="0.25">
      <c r="AD24252"/>
    </row>
    <row r="24253" spans="30:30" x14ac:dyDescent="0.25">
      <c r="AD24253"/>
    </row>
    <row r="24254" spans="30:30" x14ac:dyDescent="0.25">
      <c r="AD24254"/>
    </row>
    <row r="24255" spans="30:30" x14ac:dyDescent="0.25">
      <c r="AD24255"/>
    </row>
    <row r="24256" spans="30:30" x14ac:dyDescent="0.25">
      <c r="AD24256"/>
    </row>
    <row r="24257" spans="30:30" x14ac:dyDescent="0.25">
      <c r="AD24257"/>
    </row>
    <row r="24258" spans="30:30" x14ac:dyDescent="0.25">
      <c r="AD24258"/>
    </row>
    <row r="24259" spans="30:30" x14ac:dyDescent="0.25">
      <c r="AD24259"/>
    </row>
    <row r="24260" spans="30:30" x14ac:dyDescent="0.25">
      <c r="AD24260"/>
    </row>
    <row r="24261" spans="30:30" x14ac:dyDescent="0.25">
      <c r="AD24261"/>
    </row>
    <row r="24262" spans="30:30" x14ac:dyDescent="0.25">
      <c r="AD24262"/>
    </row>
    <row r="24263" spans="30:30" x14ac:dyDescent="0.25">
      <c r="AD24263"/>
    </row>
    <row r="24264" spans="30:30" x14ac:dyDescent="0.25">
      <c r="AD24264"/>
    </row>
    <row r="24265" spans="30:30" x14ac:dyDescent="0.25">
      <c r="AD24265"/>
    </row>
    <row r="24266" spans="30:30" x14ac:dyDescent="0.25">
      <c r="AD24266"/>
    </row>
    <row r="24267" spans="30:30" x14ac:dyDescent="0.25">
      <c r="AD24267"/>
    </row>
    <row r="24268" spans="30:30" x14ac:dyDescent="0.25">
      <c r="AD24268"/>
    </row>
    <row r="24269" spans="30:30" x14ac:dyDescent="0.25">
      <c r="AD24269"/>
    </row>
    <row r="24270" spans="30:30" x14ac:dyDescent="0.25">
      <c r="AD24270"/>
    </row>
    <row r="24271" spans="30:30" x14ac:dyDescent="0.25">
      <c r="AD24271"/>
    </row>
    <row r="24272" spans="30:30" x14ac:dyDescent="0.25">
      <c r="AD24272"/>
    </row>
    <row r="24273" spans="30:30" x14ac:dyDescent="0.25">
      <c r="AD24273"/>
    </row>
    <row r="24274" spans="30:30" x14ac:dyDescent="0.25">
      <c r="AD24274"/>
    </row>
    <row r="24275" spans="30:30" x14ac:dyDescent="0.25">
      <c r="AD24275"/>
    </row>
    <row r="24276" spans="30:30" x14ac:dyDescent="0.25">
      <c r="AD24276"/>
    </row>
    <row r="24277" spans="30:30" x14ac:dyDescent="0.25">
      <c r="AD24277"/>
    </row>
    <row r="24278" spans="30:30" x14ac:dyDescent="0.25">
      <c r="AD24278"/>
    </row>
    <row r="24279" spans="30:30" x14ac:dyDescent="0.25">
      <c r="AD24279"/>
    </row>
    <row r="24280" spans="30:30" x14ac:dyDescent="0.25">
      <c r="AD24280"/>
    </row>
    <row r="24281" spans="30:30" x14ac:dyDescent="0.25">
      <c r="AD24281"/>
    </row>
    <row r="24282" spans="30:30" x14ac:dyDescent="0.25">
      <c r="AD24282"/>
    </row>
    <row r="24283" spans="30:30" x14ac:dyDescent="0.25">
      <c r="AD24283"/>
    </row>
    <row r="24284" spans="30:30" x14ac:dyDescent="0.25">
      <c r="AD24284"/>
    </row>
    <row r="24285" spans="30:30" x14ac:dyDescent="0.25">
      <c r="AD24285"/>
    </row>
    <row r="24286" spans="30:30" x14ac:dyDescent="0.25">
      <c r="AD24286"/>
    </row>
    <row r="24287" spans="30:30" x14ac:dyDescent="0.25">
      <c r="AD24287"/>
    </row>
    <row r="24288" spans="30:30" x14ac:dyDescent="0.25">
      <c r="AD24288"/>
    </row>
    <row r="24289" spans="30:30" x14ac:dyDescent="0.25">
      <c r="AD24289"/>
    </row>
    <row r="24290" spans="30:30" x14ac:dyDescent="0.25">
      <c r="AD24290"/>
    </row>
    <row r="24291" spans="30:30" x14ac:dyDescent="0.25">
      <c r="AD24291"/>
    </row>
    <row r="24292" spans="30:30" x14ac:dyDescent="0.25">
      <c r="AD24292"/>
    </row>
    <row r="24293" spans="30:30" x14ac:dyDescent="0.25">
      <c r="AD24293"/>
    </row>
    <row r="24294" spans="30:30" x14ac:dyDescent="0.25">
      <c r="AD24294"/>
    </row>
    <row r="24295" spans="30:30" x14ac:dyDescent="0.25">
      <c r="AD24295"/>
    </row>
    <row r="24296" spans="30:30" x14ac:dyDescent="0.25">
      <c r="AD24296"/>
    </row>
    <row r="24297" spans="30:30" x14ac:dyDescent="0.25">
      <c r="AD24297"/>
    </row>
    <row r="24298" spans="30:30" x14ac:dyDescent="0.25">
      <c r="AD24298"/>
    </row>
    <row r="24299" spans="30:30" x14ac:dyDescent="0.25">
      <c r="AD24299"/>
    </row>
    <row r="24300" spans="30:30" x14ac:dyDescent="0.25">
      <c r="AD24300"/>
    </row>
    <row r="24301" spans="30:30" x14ac:dyDescent="0.25">
      <c r="AD24301"/>
    </row>
    <row r="24302" spans="30:30" x14ac:dyDescent="0.25">
      <c r="AD24302"/>
    </row>
    <row r="24303" spans="30:30" x14ac:dyDescent="0.25">
      <c r="AD24303"/>
    </row>
    <row r="24304" spans="30:30" x14ac:dyDescent="0.25">
      <c r="AD24304"/>
    </row>
    <row r="24305" spans="30:30" x14ac:dyDescent="0.25">
      <c r="AD24305"/>
    </row>
    <row r="24306" spans="30:30" x14ac:dyDescent="0.25">
      <c r="AD24306"/>
    </row>
    <row r="24307" spans="30:30" x14ac:dyDescent="0.25">
      <c r="AD24307"/>
    </row>
    <row r="24308" spans="30:30" x14ac:dyDescent="0.25">
      <c r="AD24308"/>
    </row>
    <row r="24309" spans="30:30" x14ac:dyDescent="0.25">
      <c r="AD24309"/>
    </row>
    <row r="24310" spans="30:30" x14ac:dyDescent="0.25">
      <c r="AD24310"/>
    </row>
    <row r="24311" spans="30:30" x14ac:dyDescent="0.25">
      <c r="AD24311"/>
    </row>
    <row r="24312" spans="30:30" x14ac:dyDescent="0.25">
      <c r="AD24312"/>
    </row>
    <row r="24313" spans="30:30" x14ac:dyDescent="0.25">
      <c r="AD24313"/>
    </row>
    <row r="24314" spans="30:30" x14ac:dyDescent="0.25">
      <c r="AD24314"/>
    </row>
    <row r="24315" spans="30:30" x14ac:dyDescent="0.25">
      <c r="AD24315"/>
    </row>
    <row r="24316" spans="30:30" x14ac:dyDescent="0.25">
      <c r="AD24316"/>
    </row>
    <row r="24317" spans="30:30" x14ac:dyDescent="0.25">
      <c r="AD24317"/>
    </row>
    <row r="24318" spans="30:30" x14ac:dyDescent="0.25">
      <c r="AD24318"/>
    </row>
    <row r="24319" spans="30:30" x14ac:dyDescent="0.25">
      <c r="AD24319"/>
    </row>
    <row r="24320" spans="30:30" x14ac:dyDescent="0.25">
      <c r="AD24320"/>
    </row>
    <row r="24321" spans="30:30" x14ac:dyDescent="0.25">
      <c r="AD24321"/>
    </row>
    <row r="24322" spans="30:30" x14ac:dyDescent="0.25">
      <c r="AD24322"/>
    </row>
    <row r="24323" spans="30:30" x14ac:dyDescent="0.25">
      <c r="AD24323"/>
    </row>
    <row r="24324" spans="30:30" x14ac:dyDescent="0.25">
      <c r="AD24324"/>
    </row>
    <row r="24325" spans="30:30" x14ac:dyDescent="0.25">
      <c r="AD24325"/>
    </row>
    <row r="24326" spans="30:30" x14ac:dyDescent="0.25">
      <c r="AD24326"/>
    </row>
    <row r="24327" spans="30:30" x14ac:dyDescent="0.25">
      <c r="AD24327"/>
    </row>
    <row r="24328" spans="30:30" x14ac:dyDescent="0.25">
      <c r="AD24328"/>
    </row>
    <row r="24329" spans="30:30" x14ac:dyDescent="0.25">
      <c r="AD24329"/>
    </row>
    <row r="24330" spans="30:30" x14ac:dyDescent="0.25">
      <c r="AD24330"/>
    </row>
    <row r="24331" spans="30:30" x14ac:dyDescent="0.25">
      <c r="AD24331"/>
    </row>
    <row r="24332" spans="30:30" x14ac:dyDescent="0.25">
      <c r="AD24332"/>
    </row>
    <row r="24333" spans="30:30" x14ac:dyDescent="0.25">
      <c r="AD24333"/>
    </row>
    <row r="24334" spans="30:30" x14ac:dyDescent="0.25">
      <c r="AD24334"/>
    </row>
    <row r="24335" spans="30:30" x14ac:dyDescent="0.25">
      <c r="AD24335"/>
    </row>
    <row r="24336" spans="30:30" x14ac:dyDescent="0.25">
      <c r="AD24336"/>
    </row>
    <row r="24337" spans="30:30" x14ac:dyDescent="0.25">
      <c r="AD24337"/>
    </row>
    <row r="24338" spans="30:30" x14ac:dyDescent="0.25">
      <c r="AD24338"/>
    </row>
    <row r="24339" spans="30:30" x14ac:dyDescent="0.25">
      <c r="AD24339"/>
    </row>
    <row r="24340" spans="30:30" x14ac:dyDescent="0.25">
      <c r="AD24340"/>
    </row>
    <row r="24341" spans="30:30" x14ac:dyDescent="0.25">
      <c r="AD24341"/>
    </row>
    <row r="24342" spans="30:30" x14ac:dyDescent="0.25">
      <c r="AD24342"/>
    </row>
    <row r="24343" spans="30:30" x14ac:dyDescent="0.25">
      <c r="AD24343"/>
    </row>
    <row r="24344" spans="30:30" x14ac:dyDescent="0.25">
      <c r="AD24344"/>
    </row>
    <row r="24345" spans="30:30" x14ac:dyDescent="0.25">
      <c r="AD24345"/>
    </row>
    <row r="24346" spans="30:30" x14ac:dyDescent="0.25">
      <c r="AD24346"/>
    </row>
    <row r="24347" spans="30:30" x14ac:dyDescent="0.25">
      <c r="AD24347"/>
    </row>
    <row r="24348" spans="30:30" x14ac:dyDescent="0.25">
      <c r="AD24348"/>
    </row>
    <row r="24349" spans="30:30" x14ac:dyDescent="0.25">
      <c r="AD24349"/>
    </row>
    <row r="24350" spans="30:30" x14ac:dyDescent="0.25">
      <c r="AD24350"/>
    </row>
    <row r="24351" spans="30:30" x14ac:dyDescent="0.25">
      <c r="AD24351"/>
    </row>
    <row r="24352" spans="30:30" x14ac:dyDescent="0.25">
      <c r="AD24352"/>
    </row>
    <row r="24353" spans="30:30" x14ac:dyDescent="0.25">
      <c r="AD24353"/>
    </row>
    <row r="24354" spans="30:30" x14ac:dyDescent="0.25">
      <c r="AD24354"/>
    </row>
    <row r="24355" spans="30:30" x14ac:dyDescent="0.25">
      <c r="AD24355"/>
    </row>
    <row r="24356" spans="30:30" x14ac:dyDescent="0.25">
      <c r="AD24356"/>
    </row>
    <row r="24357" spans="30:30" x14ac:dyDescent="0.25">
      <c r="AD24357"/>
    </row>
    <row r="24358" spans="30:30" x14ac:dyDescent="0.25">
      <c r="AD24358"/>
    </row>
    <row r="24359" spans="30:30" x14ac:dyDescent="0.25">
      <c r="AD24359"/>
    </row>
    <row r="24360" spans="30:30" x14ac:dyDescent="0.25">
      <c r="AD24360"/>
    </row>
    <row r="24361" spans="30:30" x14ac:dyDescent="0.25">
      <c r="AD24361"/>
    </row>
    <row r="24362" spans="30:30" x14ac:dyDescent="0.25">
      <c r="AD24362"/>
    </row>
    <row r="24363" spans="30:30" x14ac:dyDescent="0.25">
      <c r="AD24363"/>
    </row>
    <row r="24364" spans="30:30" x14ac:dyDescent="0.25">
      <c r="AD24364"/>
    </row>
    <row r="24365" spans="30:30" x14ac:dyDescent="0.25">
      <c r="AD24365"/>
    </row>
    <row r="24366" spans="30:30" x14ac:dyDescent="0.25">
      <c r="AD24366"/>
    </row>
    <row r="24367" spans="30:30" x14ac:dyDescent="0.25">
      <c r="AD24367"/>
    </row>
    <row r="24368" spans="30:30" x14ac:dyDescent="0.25">
      <c r="AD24368"/>
    </row>
    <row r="24369" spans="30:30" x14ac:dyDescent="0.25">
      <c r="AD24369"/>
    </row>
    <row r="24370" spans="30:30" x14ac:dyDescent="0.25">
      <c r="AD24370"/>
    </row>
    <row r="24371" spans="30:30" x14ac:dyDescent="0.25">
      <c r="AD24371"/>
    </row>
    <row r="24372" spans="30:30" x14ac:dyDescent="0.25">
      <c r="AD24372"/>
    </row>
    <row r="24373" spans="30:30" x14ac:dyDescent="0.25">
      <c r="AD24373"/>
    </row>
    <row r="24374" spans="30:30" x14ac:dyDescent="0.25">
      <c r="AD24374"/>
    </row>
    <row r="24375" spans="30:30" x14ac:dyDescent="0.25">
      <c r="AD24375"/>
    </row>
    <row r="24376" spans="30:30" x14ac:dyDescent="0.25">
      <c r="AD24376"/>
    </row>
    <row r="24377" spans="30:30" x14ac:dyDescent="0.25">
      <c r="AD24377"/>
    </row>
    <row r="24378" spans="30:30" x14ac:dyDescent="0.25">
      <c r="AD24378"/>
    </row>
    <row r="24379" spans="30:30" x14ac:dyDescent="0.25">
      <c r="AD24379"/>
    </row>
    <row r="24380" spans="30:30" x14ac:dyDescent="0.25">
      <c r="AD24380"/>
    </row>
    <row r="24381" spans="30:30" x14ac:dyDescent="0.25">
      <c r="AD24381"/>
    </row>
    <row r="24382" spans="30:30" x14ac:dyDescent="0.25">
      <c r="AD24382"/>
    </row>
    <row r="24383" spans="30:30" x14ac:dyDescent="0.25">
      <c r="AD24383"/>
    </row>
    <row r="24384" spans="30:30" x14ac:dyDescent="0.25">
      <c r="AD24384"/>
    </row>
    <row r="24385" spans="30:30" x14ac:dyDescent="0.25">
      <c r="AD24385"/>
    </row>
    <row r="24386" spans="30:30" x14ac:dyDescent="0.25">
      <c r="AD24386"/>
    </row>
    <row r="24387" spans="30:30" x14ac:dyDescent="0.25">
      <c r="AD24387"/>
    </row>
    <row r="24388" spans="30:30" x14ac:dyDescent="0.25">
      <c r="AD24388"/>
    </row>
    <row r="24389" spans="30:30" x14ac:dyDescent="0.25">
      <c r="AD24389"/>
    </row>
    <row r="24390" spans="30:30" x14ac:dyDescent="0.25">
      <c r="AD24390"/>
    </row>
    <row r="24391" spans="30:30" x14ac:dyDescent="0.25">
      <c r="AD24391"/>
    </row>
    <row r="24392" spans="30:30" x14ac:dyDescent="0.25">
      <c r="AD24392"/>
    </row>
    <row r="24393" spans="30:30" x14ac:dyDescent="0.25">
      <c r="AD24393"/>
    </row>
    <row r="24394" spans="30:30" x14ac:dyDescent="0.25">
      <c r="AD24394"/>
    </row>
    <row r="24395" spans="30:30" x14ac:dyDescent="0.25">
      <c r="AD24395"/>
    </row>
    <row r="24396" spans="30:30" x14ac:dyDescent="0.25">
      <c r="AD24396"/>
    </row>
    <row r="24397" spans="30:30" x14ac:dyDescent="0.25">
      <c r="AD24397"/>
    </row>
    <row r="24398" spans="30:30" x14ac:dyDescent="0.25">
      <c r="AD24398"/>
    </row>
    <row r="24399" spans="30:30" x14ac:dyDescent="0.25">
      <c r="AD24399"/>
    </row>
    <row r="24400" spans="30:30" x14ac:dyDescent="0.25">
      <c r="AD24400"/>
    </row>
    <row r="24401" spans="30:30" x14ac:dyDescent="0.25">
      <c r="AD24401"/>
    </row>
    <row r="24402" spans="30:30" x14ac:dyDescent="0.25">
      <c r="AD24402"/>
    </row>
    <row r="24403" spans="30:30" x14ac:dyDescent="0.25">
      <c r="AD24403"/>
    </row>
    <row r="24404" spans="30:30" x14ac:dyDescent="0.25">
      <c r="AD24404"/>
    </row>
    <row r="24405" spans="30:30" x14ac:dyDescent="0.25">
      <c r="AD24405"/>
    </row>
    <row r="24406" spans="30:30" x14ac:dyDescent="0.25">
      <c r="AD24406"/>
    </row>
    <row r="24407" spans="30:30" x14ac:dyDescent="0.25">
      <c r="AD24407"/>
    </row>
    <row r="24408" spans="30:30" x14ac:dyDescent="0.25">
      <c r="AD24408"/>
    </row>
    <row r="24409" spans="30:30" x14ac:dyDescent="0.25">
      <c r="AD24409"/>
    </row>
    <row r="24410" spans="30:30" x14ac:dyDescent="0.25">
      <c r="AD24410"/>
    </row>
    <row r="24411" spans="30:30" x14ac:dyDescent="0.25">
      <c r="AD24411"/>
    </row>
    <row r="24412" spans="30:30" x14ac:dyDescent="0.25">
      <c r="AD24412"/>
    </row>
    <row r="24413" spans="30:30" x14ac:dyDescent="0.25">
      <c r="AD24413"/>
    </row>
    <row r="24414" spans="30:30" x14ac:dyDescent="0.25">
      <c r="AD24414"/>
    </row>
    <row r="24415" spans="30:30" x14ac:dyDescent="0.25">
      <c r="AD24415"/>
    </row>
    <row r="24416" spans="30:30" x14ac:dyDescent="0.25">
      <c r="AD24416"/>
    </row>
    <row r="24417" spans="30:30" x14ac:dyDescent="0.25">
      <c r="AD24417"/>
    </row>
    <row r="24418" spans="30:30" x14ac:dyDescent="0.25">
      <c r="AD24418"/>
    </row>
    <row r="24419" spans="30:30" x14ac:dyDescent="0.25">
      <c r="AD24419"/>
    </row>
    <row r="24420" spans="30:30" x14ac:dyDescent="0.25">
      <c r="AD24420"/>
    </row>
    <row r="24421" spans="30:30" x14ac:dyDescent="0.25">
      <c r="AD24421"/>
    </row>
    <row r="24422" spans="30:30" x14ac:dyDescent="0.25">
      <c r="AD24422"/>
    </row>
    <row r="24423" spans="30:30" x14ac:dyDescent="0.25">
      <c r="AD24423"/>
    </row>
    <row r="24424" spans="30:30" x14ac:dyDescent="0.25">
      <c r="AD24424"/>
    </row>
    <row r="24425" spans="30:30" x14ac:dyDescent="0.25">
      <c r="AD24425"/>
    </row>
    <row r="24426" spans="30:30" x14ac:dyDescent="0.25">
      <c r="AD24426"/>
    </row>
    <row r="24427" spans="30:30" x14ac:dyDescent="0.25">
      <c r="AD24427"/>
    </row>
    <row r="24428" spans="30:30" x14ac:dyDescent="0.25">
      <c r="AD24428"/>
    </row>
    <row r="24429" spans="30:30" x14ac:dyDescent="0.25">
      <c r="AD24429"/>
    </row>
    <row r="24430" spans="30:30" x14ac:dyDescent="0.25">
      <c r="AD24430"/>
    </row>
    <row r="24431" spans="30:30" x14ac:dyDescent="0.25">
      <c r="AD24431"/>
    </row>
    <row r="24432" spans="30:30" x14ac:dyDescent="0.25">
      <c r="AD24432"/>
    </row>
    <row r="24433" spans="30:30" x14ac:dyDescent="0.25">
      <c r="AD24433"/>
    </row>
    <row r="24434" spans="30:30" x14ac:dyDescent="0.25">
      <c r="AD24434"/>
    </row>
    <row r="24435" spans="30:30" x14ac:dyDescent="0.25">
      <c r="AD24435"/>
    </row>
    <row r="24436" spans="30:30" x14ac:dyDescent="0.25">
      <c r="AD24436"/>
    </row>
    <row r="24437" spans="30:30" x14ac:dyDescent="0.25">
      <c r="AD24437"/>
    </row>
    <row r="24438" spans="30:30" x14ac:dyDescent="0.25">
      <c r="AD24438"/>
    </row>
    <row r="24439" spans="30:30" x14ac:dyDescent="0.25">
      <c r="AD24439"/>
    </row>
    <row r="24440" spans="30:30" x14ac:dyDescent="0.25">
      <c r="AD24440"/>
    </row>
    <row r="24441" spans="30:30" x14ac:dyDescent="0.25">
      <c r="AD24441"/>
    </row>
    <row r="24442" spans="30:30" x14ac:dyDescent="0.25">
      <c r="AD24442"/>
    </row>
    <row r="24443" spans="30:30" x14ac:dyDescent="0.25">
      <c r="AD24443"/>
    </row>
    <row r="24444" spans="30:30" x14ac:dyDescent="0.25">
      <c r="AD24444"/>
    </row>
    <row r="24445" spans="30:30" x14ac:dyDescent="0.25">
      <c r="AD24445"/>
    </row>
    <row r="24446" spans="30:30" x14ac:dyDescent="0.25">
      <c r="AD24446"/>
    </row>
    <row r="24447" spans="30:30" x14ac:dyDescent="0.25">
      <c r="AD24447"/>
    </row>
    <row r="24448" spans="30:30" x14ac:dyDescent="0.25">
      <c r="AD24448"/>
    </row>
    <row r="24449" spans="30:30" x14ac:dyDescent="0.25">
      <c r="AD24449"/>
    </row>
    <row r="24450" spans="30:30" x14ac:dyDescent="0.25">
      <c r="AD24450"/>
    </row>
    <row r="24451" spans="30:30" x14ac:dyDescent="0.25">
      <c r="AD24451"/>
    </row>
    <row r="24452" spans="30:30" x14ac:dyDescent="0.25">
      <c r="AD24452"/>
    </row>
    <row r="24453" spans="30:30" x14ac:dyDescent="0.25">
      <c r="AD24453"/>
    </row>
    <row r="24454" spans="30:30" x14ac:dyDescent="0.25">
      <c r="AD24454"/>
    </row>
    <row r="24455" spans="30:30" x14ac:dyDescent="0.25">
      <c r="AD24455"/>
    </row>
    <row r="24456" spans="30:30" x14ac:dyDescent="0.25">
      <c r="AD24456"/>
    </row>
    <row r="24457" spans="30:30" x14ac:dyDescent="0.25">
      <c r="AD24457"/>
    </row>
    <row r="24458" spans="30:30" x14ac:dyDescent="0.25">
      <c r="AD24458"/>
    </row>
    <row r="24459" spans="30:30" x14ac:dyDescent="0.25">
      <c r="AD24459"/>
    </row>
    <row r="24460" spans="30:30" x14ac:dyDescent="0.25">
      <c r="AD24460"/>
    </row>
    <row r="24461" spans="30:30" x14ac:dyDescent="0.25">
      <c r="AD24461"/>
    </row>
    <row r="24462" spans="30:30" x14ac:dyDescent="0.25">
      <c r="AD24462"/>
    </row>
    <row r="24463" spans="30:30" x14ac:dyDescent="0.25">
      <c r="AD24463"/>
    </row>
    <row r="24464" spans="30:30" x14ac:dyDescent="0.25">
      <c r="AD24464"/>
    </row>
    <row r="24465" spans="30:30" x14ac:dyDescent="0.25">
      <c r="AD24465"/>
    </row>
    <row r="24466" spans="30:30" x14ac:dyDescent="0.25">
      <c r="AD24466"/>
    </row>
    <row r="24467" spans="30:30" x14ac:dyDescent="0.25">
      <c r="AD24467"/>
    </row>
    <row r="24468" spans="30:30" x14ac:dyDescent="0.25">
      <c r="AD24468"/>
    </row>
    <row r="24469" spans="30:30" x14ac:dyDescent="0.25">
      <c r="AD24469"/>
    </row>
    <row r="24470" spans="30:30" x14ac:dyDescent="0.25">
      <c r="AD24470"/>
    </row>
    <row r="24471" spans="30:30" x14ac:dyDescent="0.25">
      <c r="AD24471"/>
    </row>
    <row r="24472" spans="30:30" x14ac:dyDescent="0.25">
      <c r="AD24472"/>
    </row>
    <row r="24473" spans="30:30" x14ac:dyDescent="0.25">
      <c r="AD24473"/>
    </row>
    <row r="24474" spans="30:30" x14ac:dyDescent="0.25">
      <c r="AD24474"/>
    </row>
    <row r="24475" spans="30:30" x14ac:dyDescent="0.25">
      <c r="AD24475"/>
    </row>
    <row r="24476" spans="30:30" x14ac:dyDescent="0.25">
      <c r="AD24476"/>
    </row>
    <row r="24477" spans="30:30" x14ac:dyDescent="0.25">
      <c r="AD24477"/>
    </row>
    <row r="24478" spans="30:30" x14ac:dyDescent="0.25">
      <c r="AD24478"/>
    </row>
    <row r="24479" spans="30:30" x14ac:dyDescent="0.25">
      <c r="AD24479"/>
    </row>
    <row r="24480" spans="30:30" x14ac:dyDescent="0.25">
      <c r="AD24480"/>
    </row>
    <row r="24481" spans="30:30" x14ac:dyDescent="0.25">
      <c r="AD24481"/>
    </row>
    <row r="24482" spans="30:30" x14ac:dyDescent="0.25">
      <c r="AD24482"/>
    </row>
    <row r="24483" spans="30:30" x14ac:dyDescent="0.25">
      <c r="AD24483"/>
    </row>
    <row r="24484" spans="30:30" x14ac:dyDescent="0.25">
      <c r="AD24484"/>
    </row>
    <row r="24485" spans="30:30" x14ac:dyDescent="0.25">
      <c r="AD24485"/>
    </row>
    <row r="24486" spans="30:30" x14ac:dyDescent="0.25">
      <c r="AD24486"/>
    </row>
    <row r="24487" spans="30:30" x14ac:dyDescent="0.25">
      <c r="AD24487"/>
    </row>
    <row r="24488" spans="30:30" x14ac:dyDescent="0.25">
      <c r="AD24488"/>
    </row>
    <row r="24489" spans="30:30" x14ac:dyDescent="0.25">
      <c r="AD24489"/>
    </row>
    <row r="24490" spans="30:30" x14ac:dyDescent="0.25">
      <c r="AD24490"/>
    </row>
    <row r="24491" spans="30:30" x14ac:dyDescent="0.25">
      <c r="AD24491"/>
    </row>
    <row r="24492" spans="30:30" x14ac:dyDescent="0.25">
      <c r="AD24492"/>
    </row>
    <row r="24493" spans="30:30" x14ac:dyDescent="0.25">
      <c r="AD24493"/>
    </row>
    <row r="24494" spans="30:30" x14ac:dyDescent="0.25">
      <c r="AD24494"/>
    </row>
    <row r="24495" spans="30:30" x14ac:dyDescent="0.25">
      <c r="AD24495"/>
    </row>
    <row r="24496" spans="30:30" x14ac:dyDescent="0.25">
      <c r="AD24496"/>
    </row>
    <row r="24497" spans="30:30" x14ac:dyDescent="0.25">
      <c r="AD24497"/>
    </row>
    <row r="24498" spans="30:30" x14ac:dyDescent="0.25">
      <c r="AD24498"/>
    </row>
    <row r="24499" spans="30:30" x14ac:dyDescent="0.25">
      <c r="AD24499"/>
    </row>
    <row r="24500" spans="30:30" x14ac:dyDescent="0.25">
      <c r="AD24500"/>
    </row>
    <row r="24501" spans="30:30" x14ac:dyDescent="0.25">
      <c r="AD24501"/>
    </row>
    <row r="24502" spans="30:30" x14ac:dyDescent="0.25">
      <c r="AD24502"/>
    </row>
    <row r="24503" spans="30:30" x14ac:dyDescent="0.25">
      <c r="AD24503"/>
    </row>
    <row r="24504" spans="30:30" x14ac:dyDescent="0.25">
      <c r="AD24504"/>
    </row>
    <row r="24505" spans="30:30" x14ac:dyDescent="0.25">
      <c r="AD24505"/>
    </row>
    <row r="24506" spans="30:30" x14ac:dyDescent="0.25">
      <c r="AD24506"/>
    </row>
    <row r="24507" spans="30:30" x14ac:dyDescent="0.25">
      <c r="AD24507"/>
    </row>
    <row r="24508" spans="30:30" x14ac:dyDescent="0.25">
      <c r="AD24508"/>
    </row>
    <row r="24509" spans="30:30" x14ac:dyDescent="0.25">
      <c r="AD24509"/>
    </row>
    <row r="24510" spans="30:30" x14ac:dyDescent="0.25">
      <c r="AD24510"/>
    </row>
    <row r="24511" spans="30:30" x14ac:dyDescent="0.25">
      <c r="AD24511"/>
    </row>
    <row r="24512" spans="30:30" x14ac:dyDescent="0.25">
      <c r="AD24512"/>
    </row>
    <row r="24513" spans="30:30" x14ac:dyDescent="0.25">
      <c r="AD24513"/>
    </row>
    <row r="24514" spans="30:30" x14ac:dyDescent="0.25">
      <c r="AD24514"/>
    </row>
    <row r="24515" spans="30:30" x14ac:dyDescent="0.25">
      <c r="AD24515"/>
    </row>
    <row r="24516" spans="30:30" x14ac:dyDescent="0.25">
      <c r="AD24516"/>
    </row>
    <row r="24517" spans="30:30" x14ac:dyDescent="0.25">
      <c r="AD24517"/>
    </row>
    <row r="24518" spans="30:30" x14ac:dyDescent="0.25">
      <c r="AD24518"/>
    </row>
    <row r="24519" spans="30:30" x14ac:dyDescent="0.25">
      <c r="AD24519"/>
    </row>
    <row r="24520" spans="30:30" x14ac:dyDescent="0.25">
      <c r="AD24520"/>
    </row>
    <row r="24521" spans="30:30" x14ac:dyDescent="0.25">
      <c r="AD24521"/>
    </row>
    <row r="24522" spans="30:30" x14ac:dyDescent="0.25">
      <c r="AD24522"/>
    </row>
    <row r="24523" spans="30:30" x14ac:dyDescent="0.25">
      <c r="AD24523"/>
    </row>
    <row r="24524" spans="30:30" x14ac:dyDescent="0.25">
      <c r="AD24524"/>
    </row>
    <row r="24525" spans="30:30" x14ac:dyDescent="0.25">
      <c r="AD24525"/>
    </row>
    <row r="24526" spans="30:30" x14ac:dyDescent="0.25">
      <c r="AD24526"/>
    </row>
    <row r="24527" spans="30:30" x14ac:dyDescent="0.25">
      <c r="AD24527"/>
    </row>
    <row r="24528" spans="30:30" x14ac:dyDescent="0.25">
      <c r="AD24528"/>
    </row>
    <row r="24529" spans="30:30" x14ac:dyDescent="0.25">
      <c r="AD24529"/>
    </row>
    <row r="24530" spans="30:30" x14ac:dyDescent="0.25">
      <c r="AD24530"/>
    </row>
    <row r="24531" spans="30:30" x14ac:dyDescent="0.25">
      <c r="AD24531"/>
    </row>
    <row r="24532" spans="30:30" x14ac:dyDescent="0.25">
      <c r="AD24532"/>
    </row>
    <row r="24533" spans="30:30" x14ac:dyDescent="0.25">
      <c r="AD24533"/>
    </row>
    <row r="24534" spans="30:30" x14ac:dyDescent="0.25">
      <c r="AD24534"/>
    </row>
    <row r="24535" spans="30:30" x14ac:dyDescent="0.25">
      <c r="AD24535"/>
    </row>
    <row r="24536" spans="30:30" x14ac:dyDescent="0.25">
      <c r="AD24536"/>
    </row>
    <row r="24537" spans="30:30" x14ac:dyDescent="0.25">
      <c r="AD24537"/>
    </row>
    <row r="24538" spans="30:30" x14ac:dyDescent="0.25">
      <c r="AD24538"/>
    </row>
    <row r="24539" spans="30:30" x14ac:dyDescent="0.25">
      <c r="AD24539"/>
    </row>
    <row r="24540" spans="30:30" x14ac:dyDescent="0.25">
      <c r="AD24540"/>
    </row>
    <row r="24541" spans="30:30" x14ac:dyDescent="0.25">
      <c r="AD24541"/>
    </row>
    <row r="24542" spans="30:30" x14ac:dyDescent="0.25">
      <c r="AD24542"/>
    </row>
    <row r="24543" spans="30:30" x14ac:dyDescent="0.25">
      <c r="AD24543"/>
    </row>
    <row r="24544" spans="30:30" x14ac:dyDescent="0.25">
      <c r="AD24544"/>
    </row>
    <row r="24545" spans="30:30" x14ac:dyDescent="0.25">
      <c r="AD24545"/>
    </row>
    <row r="24546" spans="30:30" x14ac:dyDescent="0.25">
      <c r="AD24546"/>
    </row>
    <row r="24547" spans="30:30" x14ac:dyDescent="0.25">
      <c r="AD24547"/>
    </row>
    <row r="24548" spans="30:30" x14ac:dyDescent="0.25">
      <c r="AD24548"/>
    </row>
    <row r="24549" spans="30:30" x14ac:dyDescent="0.25">
      <c r="AD24549"/>
    </row>
    <row r="24550" spans="30:30" x14ac:dyDescent="0.25">
      <c r="AD24550"/>
    </row>
    <row r="24551" spans="30:30" x14ac:dyDescent="0.25">
      <c r="AD24551"/>
    </row>
    <row r="24552" spans="30:30" x14ac:dyDescent="0.25">
      <c r="AD24552"/>
    </row>
    <row r="24553" spans="30:30" x14ac:dyDescent="0.25">
      <c r="AD24553"/>
    </row>
    <row r="24554" spans="30:30" x14ac:dyDescent="0.25">
      <c r="AD24554"/>
    </row>
    <row r="24555" spans="30:30" x14ac:dyDescent="0.25">
      <c r="AD24555"/>
    </row>
    <row r="24556" spans="30:30" x14ac:dyDescent="0.25">
      <c r="AD24556"/>
    </row>
    <row r="24557" spans="30:30" x14ac:dyDescent="0.25">
      <c r="AD24557"/>
    </row>
    <row r="24558" spans="30:30" x14ac:dyDescent="0.25">
      <c r="AD24558"/>
    </row>
    <row r="24559" spans="30:30" x14ac:dyDescent="0.25">
      <c r="AD24559"/>
    </row>
    <row r="24560" spans="30:30" x14ac:dyDescent="0.25">
      <c r="AD24560"/>
    </row>
    <row r="24561" spans="30:30" x14ac:dyDescent="0.25">
      <c r="AD24561"/>
    </row>
    <row r="24562" spans="30:30" x14ac:dyDescent="0.25">
      <c r="AD24562"/>
    </row>
    <row r="24563" spans="30:30" x14ac:dyDescent="0.25">
      <c r="AD24563"/>
    </row>
    <row r="24564" spans="30:30" x14ac:dyDescent="0.25">
      <c r="AD24564"/>
    </row>
    <row r="24565" spans="30:30" x14ac:dyDescent="0.25">
      <c r="AD24565"/>
    </row>
    <row r="24566" spans="30:30" x14ac:dyDescent="0.25">
      <c r="AD24566"/>
    </row>
    <row r="24567" spans="30:30" x14ac:dyDescent="0.25">
      <c r="AD24567"/>
    </row>
    <row r="24568" spans="30:30" x14ac:dyDescent="0.25">
      <c r="AD24568"/>
    </row>
    <row r="24569" spans="30:30" x14ac:dyDescent="0.25">
      <c r="AD24569"/>
    </row>
    <row r="24570" spans="30:30" x14ac:dyDescent="0.25">
      <c r="AD24570"/>
    </row>
    <row r="24571" spans="30:30" x14ac:dyDescent="0.25">
      <c r="AD24571"/>
    </row>
    <row r="24572" spans="30:30" x14ac:dyDescent="0.25">
      <c r="AD24572"/>
    </row>
    <row r="24573" spans="30:30" x14ac:dyDescent="0.25">
      <c r="AD24573"/>
    </row>
    <row r="24574" spans="30:30" x14ac:dyDescent="0.25">
      <c r="AD24574"/>
    </row>
    <row r="24575" spans="30:30" x14ac:dyDescent="0.25">
      <c r="AD24575"/>
    </row>
    <row r="24576" spans="30:30" x14ac:dyDescent="0.25">
      <c r="AD24576"/>
    </row>
    <row r="24577" spans="30:30" x14ac:dyDescent="0.25">
      <c r="AD24577"/>
    </row>
    <row r="24578" spans="30:30" x14ac:dyDescent="0.25">
      <c r="AD24578"/>
    </row>
    <row r="24579" spans="30:30" x14ac:dyDescent="0.25">
      <c r="AD24579"/>
    </row>
    <row r="24580" spans="30:30" x14ac:dyDescent="0.25">
      <c r="AD24580"/>
    </row>
    <row r="24581" spans="30:30" x14ac:dyDescent="0.25">
      <c r="AD24581"/>
    </row>
    <row r="24582" spans="30:30" x14ac:dyDescent="0.25">
      <c r="AD24582"/>
    </row>
    <row r="24583" spans="30:30" x14ac:dyDescent="0.25">
      <c r="AD24583"/>
    </row>
    <row r="24584" spans="30:30" x14ac:dyDescent="0.25">
      <c r="AD24584"/>
    </row>
    <row r="24585" spans="30:30" x14ac:dyDescent="0.25">
      <c r="AD24585"/>
    </row>
    <row r="24586" spans="30:30" x14ac:dyDescent="0.25">
      <c r="AD24586"/>
    </row>
    <row r="24587" spans="30:30" x14ac:dyDescent="0.25">
      <c r="AD24587"/>
    </row>
    <row r="24588" spans="30:30" x14ac:dyDescent="0.25">
      <c r="AD24588"/>
    </row>
    <row r="24589" spans="30:30" x14ac:dyDescent="0.25">
      <c r="AD24589"/>
    </row>
    <row r="24590" spans="30:30" x14ac:dyDescent="0.25">
      <c r="AD24590"/>
    </row>
    <row r="24591" spans="30:30" x14ac:dyDescent="0.25">
      <c r="AD24591"/>
    </row>
    <row r="24592" spans="30:30" x14ac:dyDescent="0.25">
      <c r="AD24592"/>
    </row>
    <row r="24593" spans="30:30" x14ac:dyDescent="0.25">
      <c r="AD24593"/>
    </row>
    <row r="24594" spans="30:30" x14ac:dyDescent="0.25">
      <c r="AD24594"/>
    </row>
    <row r="24595" spans="30:30" x14ac:dyDescent="0.25">
      <c r="AD24595"/>
    </row>
    <row r="24596" spans="30:30" x14ac:dyDescent="0.25">
      <c r="AD24596"/>
    </row>
    <row r="24597" spans="30:30" x14ac:dyDescent="0.25">
      <c r="AD24597"/>
    </row>
    <row r="24598" spans="30:30" x14ac:dyDescent="0.25">
      <c r="AD24598"/>
    </row>
    <row r="24599" spans="30:30" x14ac:dyDescent="0.25">
      <c r="AD24599"/>
    </row>
    <row r="24600" spans="30:30" x14ac:dyDescent="0.25">
      <c r="AD24600"/>
    </row>
    <row r="24601" spans="30:30" x14ac:dyDescent="0.25">
      <c r="AD24601"/>
    </row>
    <row r="24602" spans="30:30" x14ac:dyDescent="0.25">
      <c r="AD24602"/>
    </row>
    <row r="24603" spans="30:30" x14ac:dyDescent="0.25">
      <c r="AD24603"/>
    </row>
    <row r="24604" spans="30:30" x14ac:dyDescent="0.25">
      <c r="AD24604"/>
    </row>
    <row r="24605" spans="30:30" x14ac:dyDescent="0.25">
      <c r="AD24605"/>
    </row>
    <row r="24606" spans="30:30" x14ac:dyDescent="0.25">
      <c r="AD24606"/>
    </row>
    <row r="24607" spans="30:30" x14ac:dyDescent="0.25">
      <c r="AD24607"/>
    </row>
    <row r="24608" spans="30:30" x14ac:dyDescent="0.25">
      <c r="AD24608"/>
    </row>
    <row r="24609" spans="30:30" x14ac:dyDescent="0.25">
      <c r="AD24609"/>
    </row>
    <row r="24610" spans="30:30" x14ac:dyDescent="0.25">
      <c r="AD24610"/>
    </row>
    <row r="24611" spans="30:30" x14ac:dyDescent="0.25">
      <c r="AD24611"/>
    </row>
    <row r="24612" spans="30:30" x14ac:dyDescent="0.25">
      <c r="AD24612"/>
    </row>
    <row r="24613" spans="30:30" x14ac:dyDescent="0.25">
      <c r="AD24613"/>
    </row>
    <row r="24614" spans="30:30" x14ac:dyDescent="0.25">
      <c r="AD24614"/>
    </row>
    <row r="24615" spans="30:30" x14ac:dyDescent="0.25">
      <c r="AD24615"/>
    </row>
    <row r="24616" spans="30:30" x14ac:dyDescent="0.25">
      <c r="AD24616"/>
    </row>
    <row r="24617" spans="30:30" x14ac:dyDescent="0.25">
      <c r="AD24617"/>
    </row>
    <row r="24618" spans="30:30" x14ac:dyDescent="0.25">
      <c r="AD24618"/>
    </row>
    <row r="24619" spans="30:30" x14ac:dyDescent="0.25">
      <c r="AD24619"/>
    </row>
    <row r="24620" spans="30:30" x14ac:dyDescent="0.25">
      <c r="AD24620"/>
    </row>
    <row r="24621" spans="30:30" x14ac:dyDescent="0.25">
      <c r="AD24621"/>
    </row>
    <row r="24622" spans="30:30" x14ac:dyDescent="0.25">
      <c r="AD24622"/>
    </row>
    <row r="24623" spans="30:30" x14ac:dyDescent="0.25">
      <c r="AD24623"/>
    </row>
    <row r="24624" spans="30:30" x14ac:dyDescent="0.25">
      <c r="AD24624"/>
    </row>
    <row r="24625" spans="30:30" x14ac:dyDescent="0.25">
      <c r="AD24625"/>
    </row>
    <row r="24626" spans="30:30" x14ac:dyDescent="0.25">
      <c r="AD24626"/>
    </row>
    <row r="24627" spans="30:30" x14ac:dyDescent="0.25">
      <c r="AD24627"/>
    </row>
    <row r="24628" spans="30:30" x14ac:dyDescent="0.25">
      <c r="AD24628"/>
    </row>
    <row r="24629" spans="30:30" x14ac:dyDescent="0.25">
      <c r="AD24629"/>
    </row>
    <row r="24630" spans="30:30" x14ac:dyDescent="0.25">
      <c r="AD24630"/>
    </row>
    <row r="24631" spans="30:30" x14ac:dyDescent="0.25">
      <c r="AD24631"/>
    </row>
    <row r="24632" spans="30:30" x14ac:dyDescent="0.25">
      <c r="AD24632"/>
    </row>
    <row r="24633" spans="30:30" x14ac:dyDescent="0.25">
      <c r="AD24633"/>
    </row>
    <row r="24634" spans="30:30" x14ac:dyDescent="0.25">
      <c r="AD24634"/>
    </row>
    <row r="24635" spans="30:30" x14ac:dyDescent="0.25">
      <c r="AD24635"/>
    </row>
    <row r="24636" spans="30:30" x14ac:dyDescent="0.25">
      <c r="AD24636"/>
    </row>
    <row r="24637" spans="30:30" x14ac:dyDescent="0.25">
      <c r="AD24637"/>
    </row>
    <row r="24638" spans="30:30" x14ac:dyDescent="0.25">
      <c r="AD24638"/>
    </row>
    <row r="24639" spans="30:30" x14ac:dyDescent="0.25">
      <c r="AD24639"/>
    </row>
    <row r="24640" spans="30:30" x14ac:dyDescent="0.25">
      <c r="AD24640"/>
    </row>
    <row r="24641" spans="30:30" x14ac:dyDescent="0.25">
      <c r="AD24641"/>
    </row>
    <row r="24642" spans="30:30" x14ac:dyDescent="0.25">
      <c r="AD24642"/>
    </row>
    <row r="24643" spans="30:30" x14ac:dyDescent="0.25">
      <c r="AD24643"/>
    </row>
    <row r="24644" spans="30:30" x14ac:dyDescent="0.25">
      <c r="AD24644"/>
    </row>
    <row r="24645" spans="30:30" x14ac:dyDescent="0.25">
      <c r="AD24645"/>
    </row>
    <row r="24646" spans="30:30" x14ac:dyDescent="0.25">
      <c r="AD24646"/>
    </row>
    <row r="24647" spans="30:30" x14ac:dyDescent="0.25">
      <c r="AD24647"/>
    </row>
    <row r="24648" spans="30:30" x14ac:dyDescent="0.25">
      <c r="AD24648"/>
    </row>
    <row r="24649" spans="30:30" x14ac:dyDescent="0.25">
      <c r="AD24649"/>
    </row>
    <row r="24650" spans="30:30" x14ac:dyDescent="0.25">
      <c r="AD24650"/>
    </row>
    <row r="24651" spans="30:30" x14ac:dyDescent="0.25">
      <c r="AD24651"/>
    </row>
    <row r="24652" spans="30:30" x14ac:dyDescent="0.25">
      <c r="AD24652"/>
    </row>
    <row r="24653" spans="30:30" x14ac:dyDescent="0.25">
      <c r="AD24653"/>
    </row>
    <row r="24654" spans="30:30" x14ac:dyDescent="0.25">
      <c r="AD24654"/>
    </row>
    <row r="24655" spans="30:30" x14ac:dyDescent="0.25">
      <c r="AD24655"/>
    </row>
    <row r="24656" spans="30:30" x14ac:dyDescent="0.25">
      <c r="AD24656"/>
    </row>
    <row r="24657" spans="30:30" x14ac:dyDescent="0.25">
      <c r="AD24657"/>
    </row>
    <row r="24658" spans="30:30" x14ac:dyDescent="0.25">
      <c r="AD24658"/>
    </row>
    <row r="24659" spans="30:30" x14ac:dyDescent="0.25">
      <c r="AD24659"/>
    </row>
    <row r="24660" spans="30:30" x14ac:dyDescent="0.25">
      <c r="AD24660"/>
    </row>
    <row r="24661" spans="30:30" x14ac:dyDescent="0.25">
      <c r="AD24661"/>
    </row>
    <row r="24662" spans="30:30" x14ac:dyDescent="0.25">
      <c r="AD24662"/>
    </row>
    <row r="24663" spans="30:30" x14ac:dyDescent="0.25">
      <c r="AD24663"/>
    </row>
    <row r="24664" spans="30:30" x14ac:dyDescent="0.25">
      <c r="AD24664"/>
    </row>
    <row r="24665" spans="30:30" x14ac:dyDescent="0.25">
      <c r="AD24665"/>
    </row>
    <row r="24666" spans="30:30" x14ac:dyDescent="0.25">
      <c r="AD24666"/>
    </row>
    <row r="24667" spans="30:30" x14ac:dyDescent="0.25">
      <c r="AD24667"/>
    </row>
    <row r="24668" spans="30:30" x14ac:dyDescent="0.25">
      <c r="AD24668"/>
    </row>
    <row r="24669" spans="30:30" x14ac:dyDescent="0.25">
      <c r="AD24669"/>
    </row>
    <row r="24670" spans="30:30" x14ac:dyDescent="0.25">
      <c r="AD24670"/>
    </row>
    <row r="24671" spans="30:30" x14ac:dyDescent="0.25">
      <c r="AD24671"/>
    </row>
    <row r="24672" spans="30:30" x14ac:dyDescent="0.25">
      <c r="AD24672"/>
    </row>
    <row r="24673" spans="30:30" x14ac:dyDescent="0.25">
      <c r="AD24673"/>
    </row>
    <row r="24674" spans="30:30" x14ac:dyDescent="0.25">
      <c r="AD24674"/>
    </row>
    <row r="24675" spans="30:30" x14ac:dyDescent="0.25">
      <c r="AD24675"/>
    </row>
    <row r="24676" spans="30:30" x14ac:dyDescent="0.25">
      <c r="AD24676"/>
    </row>
    <row r="24677" spans="30:30" x14ac:dyDescent="0.25">
      <c r="AD24677"/>
    </row>
    <row r="24678" spans="30:30" x14ac:dyDescent="0.25">
      <c r="AD24678"/>
    </row>
    <row r="24679" spans="30:30" x14ac:dyDescent="0.25">
      <c r="AD24679"/>
    </row>
    <row r="24680" spans="30:30" x14ac:dyDescent="0.25">
      <c r="AD24680"/>
    </row>
    <row r="24681" spans="30:30" x14ac:dyDescent="0.25">
      <c r="AD24681"/>
    </row>
    <row r="24682" spans="30:30" x14ac:dyDescent="0.25">
      <c r="AD24682"/>
    </row>
    <row r="24683" spans="30:30" x14ac:dyDescent="0.25">
      <c r="AD24683"/>
    </row>
    <row r="24684" spans="30:30" x14ac:dyDescent="0.25">
      <c r="AD24684"/>
    </row>
    <row r="24685" spans="30:30" x14ac:dyDescent="0.25">
      <c r="AD24685"/>
    </row>
    <row r="24686" spans="30:30" x14ac:dyDescent="0.25">
      <c r="AD24686"/>
    </row>
    <row r="24687" spans="30:30" x14ac:dyDescent="0.25">
      <c r="AD24687"/>
    </row>
    <row r="24688" spans="30:30" x14ac:dyDescent="0.25">
      <c r="AD24688"/>
    </row>
    <row r="24689" spans="30:30" x14ac:dyDescent="0.25">
      <c r="AD24689"/>
    </row>
    <row r="24690" spans="30:30" x14ac:dyDescent="0.25">
      <c r="AD24690"/>
    </row>
    <row r="24691" spans="30:30" x14ac:dyDescent="0.25">
      <c r="AD24691"/>
    </row>
    <row r="24692" spans="30:30" x14ac:dyDescent="0.25">
      <c r="AD24692"/>
    </row>
    <row r="24693" spans="30:30" x14ac:dyDescent="0.25">
      <c r="AD24693"/>
    </row>
    <row r="24694" spans="30:30" x14ac:dyDescent="0.25">
      <c r="AD24694"/>
    </row>
    <row r="24695" spans="30:30" x14ac:dyDescent="0.25">
      <c r="AD24695"/>
    </row>
    <row r="24696" spans="30:30" x14ac:dyDescent="0.25">
      <c r="AD24696"/>
    </row>
    <row r="24697" spans="30:30" x14ac:dyDescent="0.25">
      <c r="AD24697"/>
    </row>
    <row r="24698" spans="30:30" x14ac:dyDescent="0.25">
      <c r="AD24698"/>
    </row>
    <row r="24699" spans="30:30" x14ac:dyDescent="0.25">
      <c r="AD24699"/>
    </row>
    <row r="24700" spans="30:30" x14ac:dyDescent="0.25">
      <c r="AD24700"/>
    </row>
    <row r="24701" spans="30:30" x14ac:dyDescent="0.25">
      <c r="AD24701"/>
    </row>
    <row r="24702" spans="30:30" x14ac:dyDescent="0.25">
      <c r="AD24702"/>
    </row>
    <row r="24703" spans="30:30" x14ac:dyDescent="0.25">
      <c r="AD24703"/>
    </row>
    <row r="24704" spans="30:30" x14ac:dyDescent="0.25">
      <c r="AD24704"/>
    </row>
    <row r="24705" spans="30:30" x14ac:dyDescent="0.25">
      <c r="AD24705"/>
    </row>
    <row r="24706" spans="30:30" x14ac:dyDescent="0.25">
      <c r="AD24706"/>
    </row>
    <row r="24707" spans="30:30" x14ac:dyDescent="0.25">
      <c r="AD24707"/>
    </row>
    <row r="24708" spans="30:30" x14ac:dyDescent="0.25">
      <c r="AD24708"/>
    </row>
    <row r="24709" spans="30:30" x14ac:dyDescent="0.25">
      <c r="AD24709"/>
    </row>
    <row r="24710" spans="30:30" x14ac:dyDescent="0.25">
      <c r="AD24710"/>
    </row>
    <row r="24711" spans="30:30" x14ac:dyDescent="0.25">
      <c r="AD24711"/>
    </row>
    <row r="24712" spans="30:30" x14ac:dyDescent="0.25">
      <c r="AD24712"/>
    </row>
    <row r="24713" spans="30:30" x14ac:dyDescent="0.25">
      <c r="AD24713"/>
    </row>
    <row r="24714" spans="30:30" x14ac:dyDescent="0.25">
      <c r="AD24714"/>
    </row>
    <row r="24715" spans="30:30" x14ac:dyDescent="0.25">
      <c r="AD24715"/>
    </row>
    <row r="24716" spans="30:30" x14ac:dyDescent="0.25">
      <c r="AD24716"/>
    </row>
    <row r="24717" spans="30:30" x14ac:dyDescent="0.25">
      <c r="AD24717"/>
    </row>
    <row r="24718" spans="30:30" x14ac:dyDescent="0.25">
      <c r="AD24718"/>
    </row>
    <row r="24719" spans="30:30" x14ac:dyDescent="0.25">
      <c r="AD24719"/>
    </row>
    <row r="24720" spans="30:30" x14ac:dyDescent="0.25">
      <c r="AD24720"/>
    </row>
    <row r="24721" spans="30:30" x14ac:dyDescent="0.25">
      <c r="AD24721"/>
    </row>
    <row r="24722" spans="30:30" x14ac:dyDescent="0.25">
      <c r="AD24722"/>
    </row>
    <row r="24723" spans="30:30" x14ac:dyDescent="0.25">
      <c r="AD24723"/>
    </row>
    <row r="24724" spans="30:30" x14ac:dyDescent="0.25">
      <c r="AD24724"/>
    </row>
    <row r="24725" spans="30:30" x14ac:dyDescent="0.25">
      <c r="AD24725"/>
    </row>
    <row r="24726" spans="30:30" x14ac:dyDescent="0.25">
      <c r="AD24726"/>
    </row>
    <row r="24727" spans="30:30" x14ac:dyDescent="0.25">
      <c r="AD24727"/>
    </row>
    <row r="24728" spans="30:30" x14ac:dyDescent="0.25">
      <c r="AD24728"/>
    </row>
    <row r="24729" spans="30:30" x14ac:dyDescent="0.25">
      <c r="AD24729"/>
    </row>
    <row r="24730" spans="30:30" x14ac:dyDescent="0.25">
      <c r="AD24730"/>
    </row>
    <row r="24731" spans="30:30" x14ac:dyDescent="0.25">
      <c r="AD24731"/>
    </row>
    <row r="24732" spans="30:30" x14ac:dyDescent="0.25">
      <c r="AD24732"/>
    </row>
    <row r="24733" spans="30:30" x14ac:dyDescent="0.25">
      <c r="AD24733"/>
    </row>
    <row r="24734" spans="30:30" x14ac:dyDescent="0.25">
      <c r="AD24734"/>
    </row>
    <row r="24735" spans="30:30" x14ac:dyDescent="0.25">
      <c r="AD24735"/>
    </row>
    <row r="24736" spans="30:30" x14ac:dyDescent="0.25">
      <c r="AD24736"/>
    </row>
    <row r="24737" spans="30:30" x14ac:dyDescent="0.25">
      <c r="AD24737"/>
    </row>
    <row r="24738" spans="30:30" x14ac:dyDescent="0.25">
      <c r="AD24738"/>
    </row>
    <row r="24739" spans="30:30" x14ac:dyDescent="0.25">
      <c r="AD24739"/>
    </row>
    <row r="24740" spans="30:30" x14ac:dyDescent="0.25">
      <c r="AD24740"/>
    </row>
    <row r="24741" spans="30:30" x14ac:dyDescent="0.25">
      <c r="AD24741"/>
    </row>
    <row r="24742" spans="30:30" x14ac:dyDescent="0.25">
      <c r="AD24742"/>
    </row>
    <row r="24743" spans="30:30" x14ac:dyDescent="0.25">
      <c r="AD24743"/>
    </row>
    <row r="24744" spans="30:30" x14ac:dyDescent="0.25">
      <c r="AD24744"/>
    </row>
    <row r="24745" spans="30:30" x14ac:dyDescent="0.25">
      <c r="AD24745"/>
    </row>
    <row r="24746" spans="30:30" x14ac:dyDescent="0.25">
      <c r="AD24746"/>
    </row>
    <row r="24747" spans="30:30" x14ac:dyDescent="0.25">
      <c r="AD24747"/>
    </row>
    <row r="24748" spans="30:30" x14ac:dyDescent="0.25">
      <c r="AD24748"/>
    </row>
    <row r="24749" spans="30:30" x14ac:dyDescent="0.25">
      <c r="AD24749"/>
    </row>
    <row r="24750" spans="30:30" x14ac:dyDescent="0.25">
      <c r="AD24750"/>
    </row>
    <row r="24751" spans="30:30" x14ac:dyDescent="0.25">
      <c r="AD24751"/>
    </row>
    <row r="24752" spans="30:30" x14ac:dyDescent="0.25">
      <c r="AD24752"/>
    </row>
    <row r="24753" spans="30:30" x14ac:dyDescent="0.25">
      <c r="AD24753"/>
    </row>
    <row r="24754" spans="30:30" x14ac:dyDescent="0.25">
      <c r="AD24754"/>
    </row>
    <row r="24755" spans="30:30" x14ac:dyDescent="0.25">
      <c r="AD24755"/>
    </row>
    <row r="24756" spans="30:30" x14ac:dyDescent="0.25">
      <c r="AD24756"/>
    </row>
    <row r="24757" spans="30:30" x14ac:dyDescent="0.25">
      <c r="AD24757"/>
    </row>
    <row r="24758" spans="30:30" x14ac:dyDescent="0.25">
      <c r="AD24758"/>
    </row>
    <row r="24759" spans="30:30" x14ac:dyDescent="0.25">
      <c r="AD24759"/>
    </row>
    <row r="24760" spans="30:30" x14ac:dyDescent="0.25">
      <c r="AD24760"/>
    </row>
    <row r="24761" spans="30:30" x14ac:dyDescent="0.25">
      <c r="AD24761"/>
    </row>
    <row r="24762" spans="30:30" x14ac:dyDescent="0.25">
      <c r="AD24762"/>
    </row>
    <row r="24763" spans="30:30" x14ac:dyDescent="0.25">
      <c r="AD24763"/>
    </row>
    <row r="24764" spans="30:30" x14ac:dyDescent="0.25">
      <c r="AD24764"/>
    </row>
    <row r="24765" spans="30:30" x14ac:dyDescent="0.25">
      <c r="AD24765"/>
    </row>
    <row r="24766" spans="30:30" x14ac:dyDescent="0.25">
      <c r="AD24766"/>
    </row>
    <row r="24767" spans="30:30" x14ac:dyDescent="0.25">
      <c r="AD24767"/>
    </row>
    <row r="24768" spans="30:30" x14ac:dyDescent="0.25">
      <c r="AD24768"/>
    </row>
    <row r="24769" spans="30:30" x14ac:dyDescent="0.25">
      <c r="AD24769"/>
    </row>
    <row r="24770" spans="30:30" x14ac:dyDescent="0.25">
      <c r="AD24770"/>
    </row>
    <row r="24771" spans="30:30" x14ac:dyDescent="0.25">
      <c r="AD24771"/>
    </row>
    <row r="24772" spans="30:30" x14ac:dyDescent="0.25">
      <c r="AD24772"/>
    </row>
    <row r="24773" spans="30:30" x14ac:dyDescent="0.25">
      <c r="AD24773"/>
    </row>
    <row r="24774" spans="30:30" x14ac:dyDescent="0.25">
      <c r="AD24774"/>
    </row>
    <row r="24775" spans="30:30" x14ac:dyDescent="0.25">
      <c r="AD24775"/>
    </row>
    <row r="24776" spans="30:30" x14ac:dyDescent="0.25">
      <c r="AD24776"/>
    </row>
    <row r="24777" spans="30:30" x14ac:dyDescent="0.25">
      <c r="AD24777"/>
    </row>
    <row r="24778" spans="30:30" x14ac:dyDescent="0.25">
      <c r="AD24778"/>
    </row>
    <row r="24779" spans="30:30" x14ac:dyDescent="0.25">
      <c r="AD24779"/>
    </row>
    <row r="24780" spans="30:30" x14ac:dyDescent="0.25">
      <c r="AD24780"/>
    </row>
    <row r="24781" spans="30:30" x14ac:dyDescent="0.25">
      <c r="AD24781"/>
    </row>
    <row r="24782" spans="30:30" x14ac:dyDescent="0.25">
      <c r="AD24782"/>
    </row>
    <row r="24783" spans="30:30" x14ac:dyDescent="0.25">
      <c r="AD24783"/>
    </row>
    <row r="24784" spans="30:30" x14ac:dyDescent="0.25">
      <c r="AD24784"/>
    </row>
    <row r="24785" spans="30:30" x14ac:dyDescent="0.25">
      <c r="AD24785"/>
    </row>
    <row r="24786" spans="30:30" x14ac:dyDescent="0.25">
      <c r="AD24786"/>
    </row>
    <row r="24787" spans="30:30" x14ac:dyDescent="0.25">
      <c r="AD24787"/>
    </row>
    <row r="24788" spans="30:30" x14ac:dyDescent="0.25">
      <c r="AD24788"/>
    </row>
    <row r="24789" spans="30:30" x14ac:dyDescent="0.25">
      <c r="AD24789"/>
    </row>
    <row r="24790" spans="30:30" x14ac:dyDescent="0.25">
      <c r="AD24790"/>
    </row>
    <row r="24791" spans="30:30" x14ac:dyDescent="0.25">
      <c r="AD24791"/>
    </row>
    <row r="24792" spans="30:30" x14ac:dyDescent="0.25">
      <c r="AD24792"/>
    </row>
    <row r="24793" spans="30:30" x14ac:dyDescent="0.25">
      <c r="AD24793"/>
    </row>
    <row r="24794" spans="30:30" x14ac:dyDescent="0.25">
      <c r="AD24794"/>
    </row>
    <row r="24795" spans="30:30" x14ac:dyDescent="0.25">
      <c r="AD24795"/>
    </row>
    <row r="24796" spans="30:30" x14ac:dyDescent="0.25">
      <c r="AD24796"/>
    </row>
    <row r="24797" spans="30:30" x14ac:dyDescent="0.25">
      <c r="AD24797"/>
    </row>
    <row r="24798" spans="30:30" x14ac:dyDescent="0.25">
      <c r="AD24798"/>
    </row>
    <row r="24799" spans="30:30" x14ac:dyDescent="0.25">
      <c r="AD24799"/>
    </row>
    <row r="24800" spans="30:30" x14ac:dyDescent="0.25">
      <c r="AD24800"/>
    </row>
    <row r="24801" spans="30:30" x14ac:dyDescent="0.25">
      <c r="AD24801"/>
    </row>
    <row r="24802" spans="30:30" x14ac:dyDescent="0.25">
      <c r="AD24802"/>
    </row>
    <row r="24803" spans="30:30" x14ac:dyDescent="0.25">
      <c r="AD24803"/>
    </row>
    <row r="24804" spans="30:30" x14ac:dyDescent="0.25">
      <c r="AD24804"/>
    </row>
    <row r="24805" spans="30:30" x14ac:dyDescent="0.25">
      <c r="AD24805"/>
    </row>
    <row r="24806" spans="30:30" x14ac:dyDescent="0.25">
      <c r="AD24806"/>
    </row>
    <row r="24807" spans="30:30" x14ac:dyDescent="0.25">
      <c r="AD24807"/>
    </row>
    <row r="24808" spans="30:30" x14ac:dyDescent="0.25">
      <c r="AD24808"/>
    </row>
    <row r="24809" spans="30:30" x14ac:dyDescent="0.25">
      <c r="AD24809"/>
    </row>
    <row r="24810" spans="30:30" x14ac:dyDescent="0.25">
      <c r="AD24810"/>
    </row>
    <row r="24811" spans="30:30" x14ac:dyDescent="0.25">
      <c r="AD24811"/>
    </row>
    <row r="24812" spans="30:30" x14ac:dyDescent="0.25">
      <c r="AD24812"/>
    </row>
    <row r="24813" spans="30:30" x14ac:dyDescent="0.25">
      <c r="AD24813"/>
    </row>
    <row r="24814" spans="30:30" x14ac:dyDescent="0.25">
      <c r="AD24814"/>
    </row>
    <row r="24815" spans="30:30" x14ac:dyDescent="0.25">
      <c r="AD24815"/>
    </row>
    <row r="24816" spans="30:30" x14ac:dyDescent="0.25">
      <c r="AD24816"/>
    </row>
    <row r="24817" spans="30:30" x14ac:dyDescent="0.25">
      <c r="AD24817"/>
    </row>
    <row r="24818" spans="30:30" x14ac:dyDescent="0.25">
      <c r="AD24818"/>
    </row>
    <row r="24819" spans="30:30" x14ac:dyDescent="0.25">
      <c r="AD24819"/>
    </row>
    <row r="24820" spans="30:30" x14ac:dyDescent="0.25">
      <c r="AD24820"/>
    </row>
    <row r="24821" spans="30:30" x14ac:dyDescent="0.25">
      <c r="AD24821"/>
    </row>
    <row r="24822" spans="30:30" x14ac:dyDescent="0.25">
      <c r="AD24822"/>
    </row>
    <row r="24823" spans="30:30" x14ac:dyDescent="0.25">
      <c r="AD24823"/>
    </row>
    <row r="24824" spans="30:30" x14ac:dyDescent="0.25">
      <c r="AD24824"/>
    </row>
    <row r="24825" spans="30:30" x14ac:dyDescent="0.25">
      <c r="AD24825"/>
    </row>
    <row r="24826" spans="30:30" x14ac:dyDescent="0.25">
      <c r="AD24826"/>
    </row>
    <row r="24827" spans="30:30" x14ac:dyDescent="0.25">
      <c r="AD24827"/>
    </row>
    <row r="24828" spans="30:30" x14ac:dyDescent="0.25">
      <c r="AD24828"/>
    </row>
    <row r="24829" spans="30:30" x14ac:dyDescent="0.25">
      <c r="AD24829"/>
    </row>
    <row r="24830" spans="30:30" x14ac:dyDescent="0.25">
      <c r="AD24830"/>
    </row>
    <row r="24831" spans="30:30" x14ac:dyDescent="0.25">
      <c r="AD24831"/>
    </row>
    <row r="24832" spans="30:30" x14ac:dyDescent="0.25">
      <c r="AD24832"/>
    </row>
    <row r="24833" spans="30:30" x14ac:dyDescent="0.25">
      <c r="AD24833"/>
    </row>
    <row r="24834" spans="30:30" x14ac:dyDescent="0.25">
      <c r="AD24834"/>
    </row>
    <row r="24835" spans="30:30" x14ac:dyDescent="0.25">
      <c r="AD24835"/>
    </row>
    <row r="24836" spans="30:30" x14ac:dyDescent="0.25">
      <c r="AD24836"/>
    </row>
    <row r="24837" spans="30:30" x14ac:dyDescent="0.25">
      <c r="AD24837"/>
    </row>
    <row r="24838" spans="30:30" x14ac:dyDescent="0.25">
      <c r="AD24838"/>
    </row>
    <row r="24839" spans="30:30" x14ac:dyDescent="0.25">
      <c r="AD24839"/>
    </row>
    <row r="24840" spans="30:30" x14ac:dyDescent="0.25">
      <c r="AD24840"/>
    </row>
    <row r="24841" spans="30:30" x14ac:dyDescent="0.25">
      <c r="AD24841"/>
    </row>
    <row r="24842" spans="30:30" x14ac:dyDescent="0.25">
      <c r="AD24842"/>
    </row>
    <row r="24843" spans="30:30" x14ac:dyDescent="0.25">
      <c r="AD24843"/>
    </row>
    <row r="24844" spans="30:30" x14ac:dyDescent="0.25">
      <c r="AD24844"/>
    </row>
    <row r="24845" spans="30:30" x14ac:dyDescent="0.25">
      <c r="AD24845"/>
    </row>
    <row r="24846" spans="30:30" x14ac:dyDescent="0.25">
      <c r="AD24846"/>
    </row>
    <row r="24847" spans="30:30" x14ac:dyDescent="0.25">
      <c r="AD24847"/>
    </row>
    <row r="24848" spans="30:30" x14ac:dyDescent="0.25">
      <c r="AD24848"/>
    </row>
    <row r="24849" spans="30:30" x14ac:dyDescent="0.25">
      <c r="AD24849"/>
    </row>
    <row r="24850" spans="30:30" x14ac:dyDescent="0.25">
      <c r="AD24850"/>
    </row>
    <row r="24851" spans="30:30" x14ac:dyDescent="0.25">
      <c r="AD24851"/>
    </row>
    <row r="24852" spans="30:30" x14ac:dyDescent="0.25">
      <c r="AD24852"/>
    </row>
    <row r="24853" spans="30:30" x14ac:dyDescent="0.25">
      <c r="AD24853"/>
    </row>
    <row r="24854" spans="30:30" x14ac:dyDescent="0.25">
      <c r="AD24854"/>
    </row>
    <row r="24855" spans="30:30" x14ac:dyDescent="0.25">
      <c r="AD24855"/>
    </row>
    <row r="24856" spans="30:30" x14ac:dyDescent="0.25">
      <c r="AD24856"/>
    </row>
    <row r="24857" spans="30:30" x14ac:dyDescent="0.25">
      <c r="AD24857"/>
    </row>
    <row r="24858" spans="30:30" x14ac:dyDescent="0.25">
      <c r="AD24858"/>
    </row>
    <row r="24859" spans="30:30" x14ac:dyDescent="0.25">
      <c r="AD24859"/>
    </row>
    <row r="24860" spans="30:30" x14ac:dyDescent="0.25">
      <c r="AD24860"/>
    </row>
    <row r="24861" spans="30:30" x14ac:dyDescent="0.25">
      <c r="AD24861"/>
    </row>
    <row r="24862" spans="30:30" x14ac:dyDescent="0.25">
      <c r="AD24862"/>
    </row>
    <row r="24863" spans="30:30" x14ac:dyDescent="0.25">
      <c r="AD24863"/>
    </row>
    <row r="24864" spans="30:30" x14ac:dyDescent="0.25">
      <c r="AD24864"/>
    </row>
    <row r="24865" spans="30:30" x14ac:dyDescent="0.25">
      <c r="AD24865"/>
    </row>
    <row r="24866" spans="30:30" x14ac:dyDescent="0.25">
      <c r="AD24866"/>
    </row>
    <row r="24867" spans="30:30" x14ac:dyDescent="0.25">
      <c r="AD24867"/>
    </row>
    <row r="24868" spans="30:30" x14ac:dyDescent="0.25">
      <c r="AD24868"/>
    </row>
    <row r="24869" spans="30:30" x14ac:dyDescent="0.25">
      <c r="AD24869"/>
    </row>
    <row r="24870" spans="30:30" x14ac:dyDescent="0.25">
      <c r="AD24870"/>
    </row>
    <row r="24871" spans="30:30" x14ac:dyDescent="0.25">
      <c r="AD24871"/>
    </row>
    <row r="24872" spans="30:30" x14ac:dyDescent="0.25">
      <c r="AD24872"/>
    </row>
    <row r="24873" spans="30:30" x14ac:dyDescent="0.25">
      <c r="AD24873"/>
    </row>
    <row r="24874" spans="30:30" x14ac:dyDescent="0.25">
      <c r="AD24874"/>
    </row>
    <row r="24875" spans="30:30" x14ac:dyDescent="0.25">
      <c r="AD24875"/>
    </row>
    <row r="24876" spans="30:30" x14ac:dyDescent="0.25">
      <c r="AD24876"/>
    </row>
    <row r="24877" spans="30:30" x14ac:dyDescent="0.25">
      <c r="AD24877"/>
    </row>
    <row r="24878" spans="30:30" x14ac:dyDescent="0.25">
      <c r="AD24878"/>
    </row>
    <row r="24879" spans="30:30" x14ac:dyDescent="0.25">
      <c r="AD24879"/>
    </row>
    <row r="24880" spans="30:30" x14ac:dyDescent="0.25">
      <c r="AD24880"/>
    </row>
    <row r="24881" spans="30:30" x14ac:dyDescent="0.25">
      <c r="AD24881"/>
    </row>
    <row r="24882" spans="30:30" x14ac:dyDescent="0.25">
      <c r="AD24882"/>
    </row>
    <row r="24883" spans="30:30" x14ac:dyDescent="0.25">
      <c r="AD24883"/>
    </row>
    <row r="24884" spans="30:30" x14ac:dyDescent="0.25">
      <c r="AD24884"/>
    </row>
    <row r="24885" spans="30:30" x14ac:dyDescent="0.25">
      <c r="AD24885"/>
    </row>
    <row r="24886" spans="30:30" x14ac:dyDescent="0.25">
      <c r="AD24886"/>
    </row>
    <row r="24887" spans="30:30" x14ac:dyDescent="0.25">
      <c r="AD24887"/>
    </row>
    <row r="24888" spans="30:30" x14ac:dyDescent="0.25">
      <c r="AD24888"/>
    </row>
    <row r="24889" spans="30:30" x14ac:dyDescent="0.25">
      <c r="AD24889"/>
    </row>
    <row r="24890" spans="30:30" x14ac:dyDescent="0.25">
      <c r="AD24890"/>
    </row>
    <row r="24891" spans="30:30" x14ac:dyDescent="0.25">
      <c r="AD24891"/>
    </row>
    <row r="24892" spans="30:30" x14ac:dyDescent="0.25">
      <c r="AD24892"/>
    </row>
    <row r="24893" spans="30:30" x14ac:dyDescent="0.25">
      <c r="AD24893"/>
    </row>
    <row r="24894" spans="30:30" x14ac:dyDescent="0.25">
      <c r="AD24894"/>
    </row>
    <row r="24895" spans="30:30" x14ac:dyDescent="0.25">
      <c r="AD24895"/>
    </row>
    <row r="24896" spans="30:30" x14ac:dyDescent="0.25">
      <c r="AD24896"/>
    </row>
    <row r="24897" spans="30:30" x14ac:dyDescent="0.25">
      <c r="AD24897"/>
    </row>
    <row r="24898" spans="30:30" x14ac:dyDescent="0.25">
      <c r="AD24898"/>
    </row>
    <row r="24899" spans="30:30" x14ac:dyDescent="0.25">
      <c r="AD24899"/>
    </row>
    <row r="24900" spans="30:30" x14ac:dyDescent="0.25">
      <c r="AD24900"/>
    </row>
    <row r="24901" spans="30:30" x14ac:dyDescent="0.25">
      <c r="AD24901"/>
    </row>
    <row r="24902" spans="30:30" x14ac:dyDescent="0.25">
      <c r="AD24902"/>
    </row>
    <row r="24903" spans="30:30" x14ac:dyDescent="0.25">
      <c r="AD24903"/>
    </row>
    <row r="24904" spans="30:30" x14ac:dyDescent="0.25">
      <c r="AD24904"/>
    </row>
    <row r="24905" spans="30:30" x14ac:dyDescent="0.25">
      <c r="AD24905"/>
    </row>
    <row r="24906" spans="30:30" x14ac:dyDescent="0.25">
      <c r="AD24906"/>
    </row>
    <row r="24907" spans="30:30" x14ac:dyDescent="0.25">
      <c r="AD24907"/>
    </row>
    <row r="24908" spans="30:30" x14ac:dyDescent="0.25">
      <c r="AD24908"/>
    </row>
    <row r="24909" spans="30:30" x14ac:dyDescent="0.25">
      <c r="AD24909"/>
    </row>
    <row r="24910" spans="30:30" x14ac:dyDescent="0.25">
      <c r="AD24910"/>
    </row>
    <row r="24911" spans="30:30" x14ac:dyDescent="0.25">
      <c r="AD24911"/>
    </row>
    <row r="24912" spans="30:30" x14ac:dyDescent="0.25">
      <c r="AD24912"/>
    </row>
    <row r="24913" spans="30:30" x14ac:dyDescent="0.25">
      <c r="AD24913"/>
    </row>
    <row r="24914" spans="30:30" x14ac:dyDescent="0.25">
      <c r="AD24914"/>
    </row>
    <row r="24915" spans="30:30" x14ac:dyDescent="0.25">
      <c r="AD24915"/>
    </row>
    <row r="24916" spans="30:30" x14ac:dyDescent="0.25">
      <c r="AD24916"/>
    </row>
    <row r="24917" spans="30:30" x14ac:dyDescent="0.25">
      <c r="AD24917"/>
    </row>
    <row r="24918" spans="30:30" x14ac:dyDescent="0.25">
      <c r="AD24918"/>
    </row>
    <row r="24919" spans="30:30" x14ac:dyDescent="0.25">
      <c r="AD24919"/>
    </row>
    <row r="24920" spans="30:30" x14ac:dyDescent="0.25">
      <c r="AD24920"/>
    </row>
    <row r="24921" spans="30:30" x14ac:dyDescent="0.25">
      <c r="AD24921"/>
    </row>
    <row r="24922" spans="30:30" x14ac:dyDescent="0.25">
      <c r="AD24922"/>
    </row>
    <row r="24923" spans="30:30" x14ac:dyDescent="0.25">
      <c r="AD24923"/>
    </row>
    <row r="24924" spans="30:30" x14ac:dyDescent="0.25">
      <c r="AD24924"/>
    </row>
    <row r="24925" spans="30:30" x14ac:dyDescent="0.25">
      <c r="AD24925"/>
    </row>
    <row r="24926" spans="30:30" x14ac:dyDescent="0.25">
      <c r="AD24926"/>
    </row>
    <row r="24927" spans="30:30" x14ac:dyDescent="0.25">
      <c r="AD24927"/>
    </row>
    <row r="24928" spans="30:30" x14ac:dyDescent="0.25">
      <c r="AD24928"/>
    </row>
    <row r="24929" spans="30:30" x14ac:dyDescent="0.25">
      <c r="AD24929"/>
    </row>
    <row r="24930" spans="30:30" x14ac:dyDescent="0.25">
      <c r="AD24930"/>
    </row>
    <row r="24931" spans="30:30" x14ac:dyDescent="0.25">
      <c r="AD24931"/>
    </row>
    <row r="24932" spans="30:30" x14ac:dyDescent="0.25">
      <c r="AD24932"/>
    </row>
    <row r="24933" spans="30:30" x14ac:dyDescent="0.25">
      <c r="AD24933"/>
    </row>
    <row r="24934" spans="30:30" x14ac:dyDescent="0.25">
      <c r="AD24934"/>
    </row>
    <row r="24935" spans="30:30" x14ac:dyDescent="0.25">
      <c r="AD24935"/>
    </row>
    <row r="24936" spans="30:30" x14ac:dyDescent="0.25">
      <c r="AD24936"/>
    </row>
    <row r="24937" spans="30:30" x14ac:dyDescent="0.25">
      <c r="AD24937"/>
    </row>
    <row r="24938" spans="30:30" x14ac:dyDescent="0.25">
      <c r="AD24938"/>
    </row>
    <row r="24939" spans="30:30" x14ac:dyDescent="0.25">
      <c r="AD24939"/>
    </row>
    <row r="24940" spans="30:30" x14ac:dyDescent="0.25">
      <c r="AD24940"/>
    </row>
    <row r="24941" spans="30:30" x14ac:dyDescent="0.25">
      <c r="AD24941"/>
    </row>
    <row r="24942" spans="30:30" x14ac:dyDescent="0.25">
      <c r="AD24942"/>
    </row>
    <row r="24943" spans="30:30" x14ac:dyDescent="0.25">
      <c r="AD24943"/>
    </row>
    <row r="24944" spans="30:30" x14ac:dyDescent="0.25">
      <c r="AD24944"/>
    </row>
    <row r="24945" spans="30:30" x14ac:dyDescent="0.25">
      <c r="AD24945"/>
    </row>
    <row r="24946" spans="30:30" x14ac:dyDescent="0.25">
      <c r="AD24946"/>
    </row>
    <row r="24947" spans="30:30" x14ac:dyDescent="0.25">
      <c r="AD24947"/>
    </row>
    <row r="24948" spans="30:30" x14ac:dyDescent="0.25">
      <c r="AD24948"/>
    </row>
    <row r="24949" spans="30:30" x14ac:dyDescent="0.25">
      <c r="AD24949"/>
    </row>
    <row r="24950" spans="30:30" x14ac:dyDescent="0.25">
      <c r="AD24950"/>
    </row>
    <row r="24951" spans="30:30" x14ac:dyDescent="0.25">
      <c r="AD24951"/>
    </row>
    <row r="24952" spans="30:30" x14ac:dyDescent="0.25">
      <c r="AD24952"/>
    </row>
    <row r="24953" spans="30:30" x14ac:dyDescent="0.25">
      <c r="AD24953"/>
    </row>
    <row r="24954" spans="30:30" x14ac:dyDescent="0.25">
      <c r="AD24954"/>
    </row>
    <row r="24955" spans="30:30" x14ac:dyDescent="0.25">
      <c r="AD24955"/>
    </row>
    <row r="24956" spans="30:30" x14ac:dyDescent="0.25">
      <c r="AD24956"/>
    </row>
    <row r="24957" spans="30:30" x14ac:dyDescent="0.25">
      <c r="AD24957"/>
    </row>
    <row r="24958" spans="30:30" x14ac:dyDescent="0.25">
      <c r="AD24958"/>
    </row>
    <row r="24959" spans="30:30" x14ac:dyDescent="0.25">
      <c r="AD24959"/>
    </row>
    <row r="24960" spans="30:30" x14ac:dyDescent="0.25">
      <c r="AD24960"/>
    </row>
    <row r="24961" spans="30:30" x14ac:dyDescent="0.25">
      <c r="AD24961"/>
    </row>
    <row r="24962" spans="30:30" x14ac:dyDescent="0.25">
      <c r="AD24962"/>
    </row>
    <row r="24963" spans="30:30" x14ac:dyDescent="0.25">
      <c r="AD24963"/>
    </row>
    <row r="24964" spans="30:30" x14ac:dyDescent="0.25">
      <c r="AD24964"/>
    </row>
    <row r="24965" spans="30:30" x14ac:dyDescent="0.25">
      <c r="AD24965"/>
    </row>
    <row r="24966" spans="30:30" x14ac:dyDescent="0.25">
      <c r="AD24966"/>
    </row>
    <row r="24967" spans="30:30" x14ac:dyDescent="0.25">
      <c r="AD24967"/>
    </row>
    <row r="24968" spans="30:30" x14ac:dyDescent="0.25">
      <c r="AD24968"/>
    </row>
    <row r="24969" spans="30:30" x14ac:dyDescent="0.25">
      <c r="AD24969"/>
    </row>
    <row r="24970" spans="30:30" x14ac:dyDescent="0.25">
      <c r="AD24970"/>
    </row>
    <row r="24971" spans="30:30" x14ac:dyDescent="0.25">
      <c r="AD24971"/>
    </row>
    <row r="24972" spans="30:30" x14ac:dyDescent="0.25">
      <c r="AD24972"/>
    </row>
    <row r="24973" spans="30:30" x14ac:dyDescent="0.25">
      <c r="AD24973"/>
    </row>
    <row r="24974" spans="30:30" x14ac:dyDescent="0.25">
      <c r="AD24974"/>
    </row>
    <row r="24975" spans="30:30" x14ac:dyDescent="0.25">
      <c r="AD24975"/>
    </row>
    <row r="24976" spans="30:30" x14ac:dyDescent="0.25">
      <c r="AD24976"/>
    </row>
    <row r="24977" spans="30:30" x14ac:dyDescent="0.25">
      <c r="AD24977"/>
    </row>
    <row r="24978" spans="30:30" x14ac:dyDescent="0.25">
      <c r="AD24978"/>
    </row>
    <row r="24979" spans="30:30" x14ac:dyDescent="0.25">
      <c r="AD24979"/>
    </row>
    <row r="24980" spans="30:30" x14ac:dyDescent="0.25">
      <c r="AD24980"/>
    </row>
    <row r="24981" spans="30:30" x14ac:dyDescent="0.25">
      <c r="AD24981"/>
    </row>
    <row r="24982" spans="30:30" x14ac:dyDescent="0.25">
      <c r="AD24982"/>
    </row>
    <row r="24983" spans="30:30" x14ac:dyDescent="0.25">
      <c r="AD24983"/>
    </row>
    <row r="24984" spans="30:30" x14ac:dyDescent="0.25">
      <c r="AD24984"/>
    </row>
    <row r="24985" spans="30:30" x14ac:dyDescent="0.25">
      <c r="AD24985"/>
    </row>
    <row r="24986" spans="30:30" x14ac:dyDescent="0.25">
      <c r="AD24986"/>
    </row>
    <row r="24987" spans="30:30" x14ac:dyDescent="0.25">
      <c r="AD24987"/>
    </row>
    <row r="24988" spans="30:30" x14ac:dyDescent="0.25">
      <c r="AD24988"/>
    </row>
    <row r="24989" spans="30:30" x14ac:dyDescent="0.25">
      <c r="AD24989"/>
    </row>
    <row r="24990" spans="30:30" x14ac:dyDescent="0.25">
      <c r="AD24990"/>
    </row>
    <row r="24991" spans="30:30" x14ac:dyDescent="0.25">
      <c r="AD24991"/>
    </row>
    <row r="24992" spans="30:30" x14ac:dyDescent="0.25">
      <c r="AD24992"/>
    </row>
    <row r="24993" spans="30:30" x14ac:dyDescent="0.25">
      <c r="AD24993"/>
    </row>
    <row r="24994" spans="30:30" x14ac:dyDescent="0.25">
      <c r="AD24994"/>
    </row>
    <row r="24995" spans="30:30" x14ac:dyDescent="0.25">
      <c r="AD24995"/>
    </row>
    <row r="24996" spans="30:30" x14ac:dyDescent="0.25">
      <c r="AD24996"/>
    </row>
    <row r="24997" spans="30:30" x14ac:dyDescent="0.25">
      <c r="AD24997"/>
    </row>
    <row r="24998" spans="30:30" x14ac:dyDescent="0.25">
      <c r="AD24998"/>
    </row>
    <row r="24999" spans="30:30" x14ac:dyDescent="0.25">
      <c r="AD24999"/>
    </row>
    <row r="25000" spans="30:30" x14ac:dyDescent="0.25">
      <c r="AD25000"/>
    </row>
    <row r="25001" spans="30:30" x14ac:dyDescent="0.25">
      <c r="AD25001"/>
    </row>
    <row r="25002" spans="30:30" x14ac:dyDescent="0.25">
      <c r="AD25002"/>
    </row>
    <row r="25003" spans="30:30" x14ac:dyDescent="0.25">
      <c r="AD25003"/>
    </row>
    <row r="25004" spans="30:30" x14ac:dyDescent="0.25">
      <c r="AD25004"/>
    </row>
    <row r="25005" spans="30:30" x14ac:dyDescent="0.25">
      <c r="AD25005"/>
    </row>
    <row r="25006" spans="30:30" x14ac:dyDescent="0.25">
      <c r="AD25006"/>
    </row>
    <row r="25007" spans="30:30" x14ac:dyDescent="0.25">
      <c r="AD25007"/>
    </row>
    <row r="25008" spans="30:30" x14ac:dyDescent="0.25">
      <c r="AD25008"/>
    </row>
    <row r="25009" spans="30:30" x14ac:dyDescent="0.25">
      <c r="AD25009"/>
    </row>
    <row r="25010" spans="30:30" x14ac:dyDescent="0.25">
      <c r="AD25010"/>
    </row>
    <row r="25011" spans="30:30" x14ac:dyDescent="0.25">
      <c r="AD25011"/>
    </row>
    <row r="25012" spans="30:30" x14ac:dyDescent="0.25">
      <c r="AD25012"/>
    </row>
    <row r="25013" spans="30:30" x14ac:dyDescent="0.25">
      <c r="AD25013"/>
    </row>
    <row r="25014" spans="30:30" x14ac:dyDescent="0.25">
      <c r="AD25014"/>
    </row>
    <row r="25015" spans="30:30" x14ac:dyDescent="0.25">
      <c r="AD25015"/>
    </row>
    <row r="25016" spans="30:30" x14ac:dyDescent="0.25">
      <c r="AD25016"/>
    </row>
    <row r="25017" spans="30:30" x14ac:dyDescent="0.25">
      <c r="AD25017"/>
    </row>
    <row r="25018" spans="30:30" x14ac:dyDescent="0.25">
      <c r="AD25018"/>
    </row>
    <row r="25019" spans="30:30" x14ac:dyDescent="0.25">
      <c r="AD25019"/>
    </row>
    <row r="25020" spans="30:30" x14ac:dyDescent="0.25">
      <c r="AD25020"/>
    </row>
    <row r="25021" spans="30:30" x14ac:dyDescent="0.25">
      <c r="AD25021"/>
    </row>
    <row r="25022" spans="30:30" x14ac:dyDescent="0.25">
      <c r="AD25022"/>
    </row>
    <row r="25023" spans="30:30" x14ac:dyDescent="0.25">
      <c r="AD25023"/>
    </row>
    <row r="25024" spans="30:30" x14ac:dyDescent="0.25">
      <c r="AD25024"/>
    </row>
    <row r="25025" spans="30:30" x14ac:dyDescent="0.25">
      <c r="AD25025"/>
    </row>
    <row r="25026" spans="30:30" x14ac:dyDescent="0.25">
      <c r="AD25026"/>
    </row>
    <row r="25027" spans="30:30" x14ac:dyDescent="0.25">
      <c r="AD25027"/>
    </row>
    <row r="25028" spans="30:30" x14ac:dyDescent="0.25">
      <c r="AD25028"/>
    </row>
    <row r="25029" spans="30:30" x14ac:dyDescent="0.25">
      <c r="AD25029"/>
    </row>
    <row r="25030" spans="30:30" x14ac:dyDescent="0.25">
      <c r="AD25030"/>
    </row>
    <row r="25031" spans="30:30" x14ac:dyDescent="0.25">
      <c r="AD25031"/>
    </row>
    <row r="25032" spans="30:30" x14ac:dyDescent="0.25">
      <c r="AD25032"/>
    </row>
    <row r="25033" spans="30:30" x14ac:dyDescent="0.25">
      <c r="AD25033"/>
    </row>
    <row r="25034" spans="30:30" x14ac:dyDescent="0.25">
      <c r="AD25034"/>
    </row>
    <row r="25035" spans="30:30" x14ac:dyDescent="0.25">
      <c r="AD25035"/>
    </row>
    <row r="25036" spans="30:30" x14ac:dyDescent="0.25">
      <c r="AD25036"/>
    </row>
    <row r="25037" spans="30:30" x14ac:dyDescent="0.25">
      <c r="AD25037"/>
    </row>
    <row r="25038" spans="30:30" x14ac:dyDescent="0.25">
      <c r="AD25038"/>
    </row>
    <row r="25039" spans="30:30" x14ac:dyDescent="0.25">
      <c r="AD25039"/>
    </row>
    <row r="25040" spans="30:30" x14ac:dyDescent="0.25">
      <c r="AD25040"/>
    </row>
    <row r="25041" spans="30:30" x14ac:dyDescent="0.25">
      <c r="AD25041"/>
    </row>
    <row r="25042" spans="30:30" x14ac:dyDescent="0.25">
      <c r="AD25042"/>
    </row>
    <row r="25043" spans="30:30" x14ac:dyDescent="0.25">
      <c r="AD25043"/>
    </row>
    <row r="25044" spans="30:30" x14ac:dyDescent="0.25">
      <c r="AD25044"/>
    </row>
    <row r="25045" spans="30:30" x14ac:dyDescent="0.25">
      <c r="AD25045"/>
    </row>
    <row r="25046" spans="30:30" x14ac:dyDescent="0.25">
      <c r="AD25046"/>
    </row>
    <row r="25047" spans="30:30" x14ac:dyDescent="0.25">
      <c r="AD25047"/>
    </row>
    <row r="25048" spans="30:30" x14ac:dyDescent="0.25">
      <c r="AD25048"/>
    </row>
    <row r="25049" spans="30:30" x14ac:dyDescent="0.25">
      <c r="AD25049"/>
    </row>
    <row r="25050" spans="30:30" x14ac:dyDescent="0.25">
      <c r="AD25050"/>
    </row>
    <row r="25051" spans="30:30" x14ac:dyDescent="0.25">
      <c r="AD25051"/>
    </row>
    <row r="25052" spans="30:30" x14ac:dyDescent="0.25">
      <c r="AD25052"/>
    </row>
    <row r="25053" spans="30:30" x14ac:dyDescent="0.25">
      <c r="AD25053"/>
    </row>
    <row r="25054" spans="30:30" x14ac:dyDescent="0.25">
      <c r="AD25054"/>
    </row>
    <row r="25055" spans="30:30" x14ac:dyDescent="0.25">
      <c r="AD25055"/>
    </row>
    <row r="25056" spans="30:30" x14ac:dyDescent="0.25">
      <c r="AD25056"/>
    </row>
    <row r="25057" spans="30:30" x14ac:dyDescent="0.25">
      <c r="AD25057"/>
    </row>
    <row r="25058" spans="30:30" x14ac:dyDescent="0.25">
      <c r="AD25058"/>
    </row>
    <row r="25059" spans="30:30" x14ac:dyDescent="0.25">
      <c r="AD25059"/>
    </row>
    <row r="25060" spans="30:30" x14ac:dyDescent="0.25">
      <c r="AD25060"/>
    </row>
    <row r="25061" spans="30:30" x14ac:dyDescent="0.25">
      <c r="AD25061"/>
    </row>
    <row r="25062" spans="30:30" x14ac:dyDescent="0.25">
      <c r="AD25062"/>
    </row>
    <row r="25063" spans="30:30" x14ac:dyDescent="0.25">
      <c r="AD25063"/>
    </row>
    <row r="25064" spans="30:30" x14ac:dyDescent="0.25">
      <c r="AD25064"/>
    </row>
    <row r="25065" spans="30:30" x14ac:dyDescent="0.25">
      <c r="AD25065"/>
    </row>
    <row r="25066" spans="30:30" x14ac:dyDescent="0.25">
      <c r="AD25066"/>
    </row>
    <row r="25067" spans="30:30" x14ac:dyDescent="0.25">
      <c r="AD25067"/>
    </row>
    <row r="25068" spans="30:30" x14ac:dyDescent="0.25">
      <c r="AD25068"/>
    </row>
    <row r="25069" spans="30:30" x14ac:dyDescent="0.25">
      <c r="AD25069"/>
    </row>
    <row r="25070" spans="30:30" x14ac:dyDescent="0.25">
      <c r="AD25070"/>
    </row>
    <row r="25071" spans="30:30" x14ac:dyDescent="0.25">
      <c r="AD25071"/>
    </row>
    <row r="25072" spans="30:30" x14ac:dyDescent="0.25">
      <c r="AD25072"/>
    </row>
    <row r="25073" spans="30:30" x14ac:dyDescent="0.25">
      <c r="AD25073"/>
    </row>
    <row r="25074" spans="30:30" x14ac:dyDescent="0.25">
      <c r="AD25074"/>
    </row>
    <row r="25075" spans="30:30" x14ac:dyDescent="0.25">
      <c r="AD25075"/>
    </row>
    <row r="25076" spans="30:30" x14ac:dyDescent="0.25">
      <c r="AD25076"/>
    </row>
    <row r="25077" spans="30:30" x14ac:dyDescent="0.25">
      <c r="AD25077"/>
    </row>
    <row r="25078" spans="30:30" x14ac:dyDescent="0.25">
      <c r="AD25078"/>
    </row>
    <row r="25079" spans="30:30" x14ac:dyDescent="0.25">
      <c r="AD25079"/>
    </row>
    <row r="25080" spans="30:30" x14ac:dyDescent="0.25">
      <c r="AD25080"/>
    </row>
    <row r="25081" spans="30:30" x14ac:dyDescent="0.25">
      <c r="AD25081"/>
    </row>
    <row r="25082" spans="30:30" x14ac:dyDescent="0.25">
      <c r="AD25082"/>
    </row>
    <row r="25083" spans="30:30" x14ac:dyDescent="0.25">
      <c r="AD25083"/>
    </row>
    <row r="25084" spans="30:30" x14ac:dyDescent="0.25">
      <c r="AD25084"/>
    </row>
    <row r="25085" spans="30:30" x14ac:dyDescent="0.25">
      <c r="AD25085"/>
    </row>
    <row r="25086" spans="30:30" x14ac:dyDescent="0.25">
      <c r="AD25086"/>
    </row>
    <row r="25087" spans="30:30" x14ac:dyDescent="0.25">
      <c r="AD25087"/>
    </row>
    <row r="25088" spans="30:30" x14ac:dyDescent="0.25">
      <c r="AD25088"/>
    </row>
    <row r="25089" spans="30:30" x14ac:dyDescent="0.25">
      <c r="AD25089"/>
    </row>
    <row r="25090" spans="30:30" x14ac:dyDescent="0.25">
      <c r="AD25090"/>
    </row>
    <row r="25091" spans="30:30" x14ac:dyDescent="0.25">
      <c r="AD25091"/>
    </row>
    <row r="25092" spans="30:30" x14ac:dyDescent="0.25">
      <c r="AD25092"/>
    </row>
    <row r="25093" spans="30:30" x14ac:dyDescent="0.25">
      <c r="AD25093"/>
    </row>
    <row r="25094" spans="30:30" x14ac:dyDescent="0.25">
      <c r="AD25094"/>
    </row>
    <row r="25095" spans="30:30" x14ac:dyDescent="0.25">
      <c r="AD25095"/>
    </row>
    <row r="25096" spans="30:30" x14ac:dyDescent="0.25">
      <c r="AD25096"/>
    </row>
    <row r="25097" spans="30:30" x14ac:dyDescent="0.25">
      <c r="AD25097"/>
    </row>
    <row r="25098" spans="30:30" x14ac:dyDescent="0.25">
      <c r="AD25098"/>
    </row>
    <row r="25099" spans="30:30" x14ac:dyDescent="0.25">
      <c r="AD25099"/>
    </row>
    <row r="25100" spans="30:30" x14ac:dyDescent="0.25">
      <c r="AD25100"/>
    </row>
    <row r="25101" spans="30:30" x14ac:dyDescent="0.25">
      <c r="AD25101"/>
    </row>
    <row r="25102" spans="30:30" x14ac:dyDescent="0.25">
      <c r="AD25102"/>
    </row>
    <row r="25103" spans="30:30" x14ac:dyDescent="0.25">
      <c r="AD25103"/>
    </row>
    <row r="25104" spans="30:30" x14ac:dyDescent="0.25">
      <c r="AD25104"/>
    </row>
    <row r="25105" spans="30:30" x14ac:dyDescent="0.25">
      <c r="AD25105"/>
    </row>
    <row r="25106" spans="30:30" x14ac:dyDescent="0.25">
      <c r="AD25106"/>
    </row>
    <row r="25107" spans="30:30" x14ac:dyDescent="0.25">
      <c r="AD25107"/>
    </row>
    <row r="25108" spans="30:30" x14ac:dyDescent="0.25">
      <c r="AD25108"/>
    </row>
    <row r="25109" spans="30:30" x14ac:dyDescent="0.25">
      <c r="AD25109"/>
    </row>
    <row r="25110" spans="30:30" x14ac:dyDescent="0.25">
      <c r="AD25110"/>
    </row>
    <row r="25111" spans="30:30" x14ac:dyDescent="0.25">
      <c r="AD25111"/>
    </row>
    <row r="25112" spans="30:30" x14ac:dyDescent="0.25">
      <c r="AD25112"/>
    </row>
    <row r="25113" spans="30:30" x14ac:dyDescent="0.25">
      <c r="AD25113"/>
    </row>
    <row r="25114" spans="30:30" x14ac:dyDescent="0.25">
      <c r="AD25114"/>
    </row>
    <row r="25115" spans="30:30" x14ac:dyDescent="0.25">
      <c r="AD25115"/>
    </row>
    <row r="25116" spans="30:30" x14ac:dyDescent="0.25">
      <c r="AD25116"/>
    </row>
    <row r="25117" spans="30:30" x14ac:dyDescent="0.25">
      <c r="AD25117"/>
    </row>
    <row r="25118" spans="30:30" x14ac:dyDescent="0.25">
      <c r="AD25118"/>
    </row>
    <row r="25119" spans="30:30" x14ac:dyDescent="0.25">
      <c r="AD25119"/>
    </row>
    <row r="25120" spans="30:30" x14ac:dyDescent="0.25">
      <c r="AD25120"/>
    </row>
    <row r="25121" spans="30:30" x14ac:dyDescent="0.25">
      <c r="AD25121"/>
    </row>
    <row r="25122" spans="30:30" x14ac:dyDescent="0.25">
      <c r="AD25122"/>
    </row>
    <row r="25123" spans="30:30" x14ac:dyDescent="0.25">
      <c r="AD25123"/>
    </row>
    <row r="25124" spans="30:30" x14ac:dyDescent="0.25">
      <c r="AD25124"/>
    </row>
    <row r="25125" spans="30:30" x14ac:dyDescent="0.25">
      <c r="AD25125"/>
    </row>
    <row r="25126" spans="30:30" x14ac:dyDescent="0.25">
      <c r="AD25126"/>
    </row>
    <row r="25127" spans="30:30" x14ac:dyDescent="0.25">
      <c r="AD25127"/>
    </row>
    <row r="25128" spans="30:30" x14ac:dyDescent="0.25">
      <c r="AD25128"/>
    </row>
    <row r="25129" spans="30:30" x14ac:dyDescent="0.25">
      <c r="AD25129"/>
    </row>
    <row r="25130" spans="30:30" x14ac:dyDescent="0.25">
      <c r="AD25130"/>
    </row>
    <row r="25131" spans="30:30" x14ac:dyDescent="0.25">
      <c r="AD25131"/>
    </row>
    <row r="25132" spans="30:30" x14ac:dyDescent="0.25">
      <c r="AD25132"/>
    </row>
    <row r="25133" spans="30:30" x14ac:dyDescent="0.25">
      <c r="AD25133"/>
    </row>
    <row r="25134" spans="30:30" x14ac:dyDescent="0.25">
      <c r="AD25134"/>
    </row>
    <row r="25135" spans="30:30" x14ac:dyDescent="0.25">
      <c r="AD25135"/>
    </row>
    <row r="25136" spans="30:30" x14ac:dyDescent="0.25">
      <c r="AD25136"/>
    </row>
    <row r="25137" spans="30:30" x14ac:dyDescent="0.25">
      <c r="AD25137"/>
    </row>
    <row r="25138" spans="30:30" x14ac:dyDescent="0.25">
      <c r="AD25138"/>
    </row>
    <row r="25139" spans="30:30" x14ac:dyDescent="0.25">
      <c r="AD25139"/>
    </row>
    <row r="25140" spans="30:30" x14ac:dyDescent="0.25">
      <c r="AD25140"/>
    </row>
    <row r="25141" spans="30:30" x14ac:dyDescent="0.25">
      <c r="AD25141"/>
    </row>
    <row r="25142" spans="30:30" x14ac:dyDescent="0.25">
      <c r="AD25142"/>
    </row>
    <row r="25143" spans="30:30" x14ac:dyDescent="0.25">
      <c r="AD25143"/>
    </row>
    <row r="25144" spans="30:30" x14ac:dyDescent="0.25">
      <c r="AD25144"/>
    </row>
    <row r="25145" spans="30:30" x14ac:dyDescent="0.25">
      <c r="AD25145"/>
    </row>
    <row r="25146" spans="30:30" x14ac:dyDescent="0.25">
      <c r="AD25146"/>
    </row>
    <row r="25147" spans="30:30" x14ac:dyDescent="0.25">
      <c r="AD25147"/>
    </row>
    <row r="25148" spans="30:30" x14ac:dyDescent="0.25">
      <c r="AD25148"/>
    </row>
    <row r="25149" spans="30:30" x14ac:dyDescent="0.25">
      <c r="AD25149"/>
    </row>
    <row r="25150" spans="30:30" x14ac:dyDescent="0.25">
      <c r="AD25150"/>
    </row>
    <row r="25151" spans="30:30" x14ac:dyDescent="0.25">
      <c r="AD25151"/>
    </row>
    <row r="25152" spans="30:30" x14ac:dyDescent="0.25">
      <c r="AD25152"/>
    </row>
    <row r="25153" spans="30:30" x14ac:dyDescent="0.25">
      <c r="AD25153"/>
    </row>
    <row r="25154" spans="30:30" x14ac:dyDescent="0.25">
      <c r="AD25154"/>
    </row>
    <row r="25155" spans="30:30" x14ac:dyDescent="0.25">
      <c r="AD25155"/>
    </row>
    <row r="25156" spans="30:30" x14ac:dyDescent="0.25">
      <c r="AD25156"/>
    </row>
    <row r="25157" spans="30:30" x14ac:dyDescent="0.25">
      <c r="AD25157"/>
    </row>
    <row r="25158" spans="30:30" x14ac:dyDescent="0.25">
      <c r="AD25158"/>
    </row>
    <row r="25159" spans="30:30" x14ac:dyDescent="0.25">
      <c r="AD25159"/>
    </row>
    <row r="25160" spans="30:30" x14ac:dyDescent="0.25">
      <c r="AD25160"/>
    </row>
    <row r="25161" spans="30:30" x14ac:dyDescent="0.25">
      <c r="AD25161"/>
    </row>
    <row r="25162" spans="30:30" x14ac:dyDescent="0.25">
      <c r="AD25162"/>
    </row>
    <row r="25163" spans="30:30" x14ac:dyDescent="0.25">
      <c r="AD25163"/>
    </row>
    <row r="25164" spans="30:30" x14ac:dyDescent="0.25">
      <c r="AD25164"/>
    </row>
    <row r="25165" spans="30:30" x14ac:dyDescent="0.25">
      <c r="AD25165"/>
    </row>
    <row r="25166" spans="30:30" x14ac:dyDescent="0.25">
      <c r="AD25166"/>
    </row>
    <row r="25167" spans="30:30" x14ac:dyDescent="0.25">
      <c r="AD25167"/>
    </row>
    <row r="25168" spans="30:30" x14ac:dyDescent="0.25">
      <c r="AD25168"/>
    </row>
    <row r="25169" spans="30:30" x14ac:dyDescent="0.25">
      <c r="AD25169"/>
    </row>
    <row r="25170" spans="30:30" x14ac:dyDescent="0.25">
      <c r="AD25170"/>
    </row>
    <row r="25171" spans="30:30" x14ac:dyDescent="0.25">
      <c r="AD25171"/>
    </row>
    <row r="25172" spans="30:30" x14ac:dyDescent="0.25">
      <c r="AD25172"/>
    </row>
    <row r="25173" spans="30:30" x14ac:dyDescent="0.25">
      <c r="AD25173"/>
    </row>
    <row r="25174" spans="30:30" x14ac:dyDescent="0.25">
      <c r="AD25174"/>
    </row>
    <row r="25175" spans="30:30" x14ac:dyDescent="0.25">
      <c r="AD25175"/>
    </row>
    <row r="25176" spans="30:30" x14ac:dyDescent="0.25">
      <c r="AD25176"/>
    </row>
    <row r="25177" spans="30:30" x14ac:dyDescent="0.25">
      <c r="AD25177"/>
    </row>
    <row r="25178" spans="30:30" x14ac:dyDescent="0.25">
      <c r="AD25178"/>
    </row>
    <row r="25179" spans="30:30" x14ac:dyDescent="0.25">
      <c r="AD25179"/>
    </row>
    <row r="25180" spans="30:30" x14ac:dyDescent="0.25">
      <c r="AD25180"/>
    </row>
    <row r="25181" spans="30:30" x14ac:dyDescent="0.25">
      <c r="AD25181"/>
    </row>
    <row r="25182" spans="30:30" x14ac:dyDescent="0.25">
      <c r="AD25182"/>
    </row>
    <row r="25183" spans="30:30" x14ac:dyDescent="0.25">
      <c r="AD25183"/>
    </row>
    <row r="25184" spans="30:30" x14ac:dyDescent="0.25">
      <c r="AD25184"/>
    </row>
    <row r="25185" spans="30:30" x14ac:dyDescent="0.25">
      <c r="AD25185"/>
    </row>
    <row r="25186" spans="30:30" x14ac:dyDescent="0.25">
      <c r="AD25186"/>
    </row>
    <row r="25187" spans="30:30" x14ac:dyDescent="0.25">
      <c r="AD25187"/>
    </row>
    <row r="25188" spans="30:30" x14ac:dyDescent="0.25">
      <c r="AD25188"/>
    </row>
    <row r="25189" spans="30:30" x14ac:dyDescent="0.25">
      <c r="AD25189"/>
    </row>
    <row r="25190" spans="30:30" x14ac:dyDescent="0.25">
      <c r="AD25190"/>
    </row>
    <row r="25191" spans="30:30" x14ac:dyDescent="0.25">
      <c r="AD25191"/>
    </row>
    <row r="25192" spans="30:30" x14ac:dyDescent="0.25">
      <c r="AD25192"/>
    </row>
    <row r="25193" spans="30:30" x14ac:dyDescent="0.25">
      <c r="AD25193"/>
    </row>
    <row r="25194" spans="30:30" x14ac:dyDescent="0.25">
      <c r="AD25194"/>
    </row>
    <row r="25195" spans="30:30" x14ac:dyDescent="0.25">
      <c r="AD25195"/>
    </row>
    <row r="25196" spans="30:30" x14ac:dyDescent="0.25">
      <c r="AD25196"/>
    </row>
    <row r="25197" spans="30:30" x14ac:dyDescent="0.25">
      <c r="AD25197"/>
    </row>
    <row r="25198" spans="30:30" x14ac:dyDescent="0.25">
      <c r="AD25198"/>
    </row>
    <row r="25199" spans="30:30" x14ac:dyDescent="0.25">
      <c r="AD25199"/>
    </row>
    <row r="25200" spans="30:30" x14ac:dyDescent="0.25">
      <c r="AD25200"/>
    </row>
    <row r="25201" spans="30:30" x14ac:dyDescent="0.25">
      <c r="AD25201"/>
    </row>
    <row r="25202" spans="30:30" x14ac:dyDescent="0.25">
      <c r="AD25202"/>
    </row>
    <row r="25203" spans="30:30" x14ac:dyDescent="0.25">
      <c r="AD25203"/>
    </row>
    <row r="25204" spans="30:30" x14ac:dyDescent="0.25">
      <c r="AD25204"/>
    </row>
    <row r="25205" spans="30:30" x14ac:dyDescent="0.25">
      <c r="AD25205"/>
    </row>
    <row r="25206" spans="30:30" x14ac:dyDescent="0.25">
      <c r="AD25206"/>
    </row>
    <row r="25207" spans="30:30" x14ac:dyDescent="0.25">
      <c r="AD25207"/>
    </row>
    <row r="25208" spans="30:30" x14ac:dyDescent="0.25">
      <c r="AD25208"/>
    </row>
    <row r="25209" spans="30:30" x14ac:dyDescent="0.25">
      <c r="AD25209"/>
    </row>
    <row r="25210" spans="30:30" x14ac:dyDescent="0.25">
      <c r="AD25210"/>
    </row>
    <row r="25211" spans="30:30" x14ac:dyDescent="0.25">
      <c r="AD25211"/>
    </row>
    <row r="25212" spans="30:30" x14ac:dyDescent="0.25">
      <c r="AD25212"/>
    </row>
    <row r="25213" spans="30:30" x14ac:dyDescent="0.25">
      <c r="AD25213"/>
    </row>
    <row r="25214" spans="30:30" x14ac:dyDescent="0.25">
      <c r="AD25214"/>
    </row>
    <row r="25215" spans="30:30" x14ac:dyDescent="0.25">
      <c r="AD25215"/>
    </row>
    <row r="25216" spans="30:30" x14ac:dyDescent="0.25">
      <c r="AD25216"/>
    </row>
    <row r="25217" spans="30:30" x14ac:dyDescent="0.25">
      <c r="AD25217"/>
    </row>
    <row r="25218" spans="30:30" x14ac:dyDescent="0.25">
      <c r="AD25218"/>
    </row>
    <row r="25219" spans="30:30" x14ac:dyDescent="0.25">
      <c r="AD25219"/>
    </row>
    <row r="25220" spans="30:30" x14ac:dyDescent="0.25">
      <c r="AD25220"/>
    </row>
    <row r="25221" spans="30:30" x14ac:dyDescent="0.25">
      <c r="AD25221"/>
    </row>
    <row r="25222" spans="30:30" x14ac:dyDescent="0.25">
      <c r="AD25222"/>
    </row>
    <row r="25223" spans="30:30" x14ac:dyDescent="0.25">
      <c r="AD25223"/>
    </row>
    <row r="25224" spans="30:30" x14ac:dyDescent="0.25">
      <c r="AD25224"/>
    </row>
    <row r="25225" spans="30:30" x14ac:dyDescent="0.25">
      <c r="AD25225"/>
    </row>
    <row r="25226" spans="30:30" x14ac:dyDescent="0.25">
      <c r="AD25226"/>
    </row>
    <row r="25227" spans="30:30" x14ac:dyDescent="0.25">
      <c r="AD25227"/>
    </row>
    <row r="25228" spans="30:30" x14ac:dyDescent="0.25">
      <c r="AD25228"/>
    </row>
    <row r="25229" spans="30:30" x14ac:dyDescent="0.25">
      <c r="AD25229"/>
    </row>
    <row r="25230" spans="30:30" x14ac:dyDescent="0.25">
      <c r="AD25230"/>
    </row>
    <row r="25231" spans="30:30" x14ac:dyDescent="0.25">
      <c r="AD25231"/>
    </row>
    <row r="25232" spans="30:30" x14ac:dyDescent="0.25">
      <c r="AD25232"/>
    </row>
    <row r="25233" spans="30:30" x14ac:dyDescent="0.25">
      <c r="AD25233"/>
    </row>
    <row r="25234" spans="30:30" x14ac:dyDescent="0.25">
      <c r="AD25234"/>
    </row>
    <row r="25235" spans="30:30" x14ac:dyDescent="0.25">
      <c r="AD25235"/>
    </row>
    <row r="25236" spans="30:30" x14ac:dyDescent="0.25">
      <c r="AD25236"/>
    </row>
    <row r="25237" spans="30:30" x14ac:dyDescent="0.25">
      <c r="AD25237"/>
    </row>
    <row r="25238" spans="30:30" x14ac:dyDescent="0.25">
      <c r="AD25238"/>
    </row>
    <row r="25239" spans="30:30" x14ac:dyDescent="0.25">
      <c r="AD25239"/>
    </row>
    <row r="25240" spans="30:30" x14ac:dyDescent="0.25">
      <c r="AD25240"/>
    </row>
    <row r="25241" spans="30:30" x14ac:dyDescent="0.25">
      <c r="AD25241"/>
    </row>
    <row r="25242" spans="30:30" x14ac:dyDescent="0.25">
      <c r="AD25242"/>
    </row>
    <row r="25243" spans="30:30" x14ac:dyDescent="0.25">
      <c r="AD25243"/>
    </row>
    <row r="25244" spans="30:30" x14ac:dyDescent="0.25">
      <c r="AD25244"/>
    </row>
    <row r="25245" spans="30:30" x14ac:dyDescent="0.25">
      <c r="AD25245"/>
    </row>
    <row r="25246" spans="30:30" x14ac:dyDescent="0.25">
      <c r="AD25246"/>
    </row>
    <row r="25247" spans="30:30" x14ac:dyDescent="0.25">
      <c r="AD25247"/>
    </row>
    <row r="25248" spans="30:30" x14ac:dyDescent="0.25">
      <c r="AD25248"/>
    </row>
    <row r="25249" spans="30:30" x14ac:dyDescent="0.25">
      <c r="AD25249"/>
    </row>
    <row r="25250" spans="30:30" x14ac:dyDescent="0.25">
      <c r="AD25250"/>
    </row>
    <row r="25251" spans="30:30" x14ac:dyDescent="0.25">
      <c r="AD25251"/>
    </row>
    <row r="25252" spans="30:30" x14ac:dyDescent="0.25">
      <c r="AD25252"/>
    </row>
    <row r="25253" spans="30:30" x14ac:dyDescent="0.25">
      <c r="AD25253"/>
    </row>
    <row r="25254" spans="30:30" x14ac:dyDescent="0.25">
      <c r="AD25254"/>
    </row>
    <row r="25255" spans="30:30" x14ac:dyDescent="0.25">
      <c r="AD25255"/>
    </row>
    <row r="25256" spans="30:30" x14ac:dyDescent="0.25">
      <c r="AD25256"/>
    </row>
    <row r="25257" spans="30:30" x14ac:dyDescent="0.25">
      <c r="AD25257"/>
    </row>
    <row r="25258" spans="30:30" x14ac:dyDescent="0.25">
      <c r="AD25258"/>
    </row>
    <row r="25259" spans="30:30" x14ac:dyDescent="0.25">
      <c r="AD25259"/>
    </row>
    <row r="25260" spans="30:30" x14ac:dyDescent="0.25">
      <c r="AD25260"/>
    </row>
    <row r="25261" spans="30:30" x14ac:dyDescent="0.25">
      <c r="AD25261"/>
    </row>
    <row r="25262" spans="30:30" x14ac:dyDescent="0.25">
      <c r="AD25262"/>
    </row>
    <row r="25263" spans="30:30" x14ac:dyDescent="0.25">
      <c r="AD25263"/>
    </row>
    <row r="25264" spans="30:30" x14ac:dyDescent="0.25">
      <c r="AD25264"/>
    </row>
    <row r="25265" spans="30:30" x14ac:dyDescent="0.25">
      <c r="AD25265"/>
    </row>
    <row r="25266" spans="30:30" x14ac:dyDescent="0.25">
      <c r="AD25266"/>
    </row>
    <row r="25267" spans="30:30" x14ac:dyDescent="0.25">
      <c r="AD25267"/>
    </row>
    <row r="25268" spans="30:30" x14ac:dyDescent="0.25">
      <c r="AD25268"/>
    </row>
    <row r="25269" spans="30:30" x14ac:dyDescent="0.25">
      <c r="AD25269"/>
    </row>
    <row r="25270" spans="30:30" x14ac:dyDescent="0.25">
      <c r="AD25270"/>
    </row>
    <row r="25271" spans="30:30" x14ac:dyDescent="0.25">
      <c r="AD25271"/>
    </row>
    <row r="25272" spans="30:30" x14ac:dyDescent="0.25">
      <c r="AD25272"/>
    </row>
    <row r="25273" spans="30:30" x14ac:dyDescent="0.25">
      <c r="AD25273"/>
    </row>
    <row r="25274" spans="30:30" x14ac:dyDescent="0.25">
      <c r="AD25274"/>
    </row>
    <row r="25275" spans="30:30" x14ac:dyDescent="0.25">
      <c r="AD25275"/>
    </row>
    <row r="25276" spans="30:30" x14ac:dyDescent="0.25">
      <c r="AD25276"/>
    </row>
    <row r="25277" spans="30:30" x14ac:dyDescent="0.25">
      <c r="AD25277"/>
    </row>
    <row r="25278" spans="30:30" x14ac:dyDescent="0.25">
      <c r="AD25278"/>
    </row>
    <row r="25279" spans="30:30" x14ac:dyDescent="0.25">
      <c r="AD25279"/>
    </row>
    <row r="25280" spans="30:30" x14ac:dyDescent="0.25">
      <c r="AD25280"/>
    </row>
    <row r="25281" spans="30:30" x14ac:dyDescent="0.25">
      <c r="AD25281"/>
    </row>
    <row r="25282" spans="30:30" x14ac:dyDescent="0.25">
      <c r="AD25282"/>
    </row>
    <row r="25283" spans="30:30" x14ac:dyDescent="0.25">
      <c r="AD25283"/>
    </row>
    <row r="25284" spans="30:30" x14ac:dyDescent="0.25">
      <c r="AD25284"/>
    </row>
    <row r="25285" spans="30:30" x14ac:dyDescent="0.25">
      <c r="AD25285"/>
    </row>
    <row r="25286" spans="30:30" x14ac:dyDescent="0.25">
      <c r="AD25286"/>
    </row>
    <row r="25287" spans="30:30" x14ac:dyDescent="0.25">
      <c r="AD25287"/>
    </row>
    <row r="25288" spans="30:30" x14ac:dyDescent="0.25">
      <c r="AD25288"/>
    </row>
    <row r="25289" spans="30:30" x14ac:dyDescent="0.25">
      <c r="AD25289"/>
    </row>
    <row r="25290" spans="30:30" x14ac:dyDescent="0.25">
      <c r="AD25290"/>
    </row>
    <row r="25291" spans="30:30" x14ac:dyDescent="0.25">
      <c r="AD25291"/>
    </row>
    <row r="25292" spans="30:30" x14ac:dyDescent="0.25">
      <c r="AD25292"/>
    </row>
    <row r="25293" spans="30:30" x14ac:dyDescent="0.25">
      <c r="AD25293"/>
    </row>
    <row r="25294" spans="30:30" x14ac:dyDescent="0.25">
      <c r="AD25294"/>
    </row>
    <row r="25295" spans="30:30" x14ac:dyDescent="0.25">
      <c r="AD25295"/>
    </row>
    <row r="25296" spans="30:30" x14ac:dyDescent="0.25">
      <c r="AD25296"/>
    </row>
    <row r="25297" spans="30:30" x14ac:dyDescent="0.25">
      <c r="AD25297"/>
    </row>
    <row r="25298" spans="30:30" x14ac:dyDescent="0.25">
      <c r="AD25298"/>
    </row>
    <row r="25299" spans="30:30" x14ac:dyDescent="0.25">
      <c r="AD25299"/>
    </row>
    <row r="25300" spans="30:30" x14ac:dyDescent="0.25">
      <c r="AD25300"/>
    </row>
    <row r="25301" spans="30:30" x14ac:dyDescent="0.25">
      <c r="AD25301"/>
    </row>
    <row r="25302" spans="30:30" x14ac:dyDescent="0.25">
      <c r="AD25302"/>
    </row>
    <row r="25303" spans="30:30" x14ac:dyDescent="0.25">
      <c r="AD25303"/>
    </row>
    <row r="25304" spans="30:30" x14ac:dyDescent="0.25">
      <c r="AD25304"/>
    </row>
    <row r="25305" spans="30:30" x14ac:dyDescent="0.25">
      <c r="AD25305"/>
    </row>
    <row r="25306" spans="30:30" x14ac:dyDescent="0.25">
      <c r="AD25306"/>
    </row>
    <row r="25307" spans="30:30" x14ac:dyDescent="0.25">
      <c r="AD25307"/>
    </row>
    <row r="25308" spans="30:30" x14ac:dyDescent="0.25">
      <c r="AD25308"/>
    </row>
    <row r="25309" spans="30:30" x14ac:dyDescent="0.25">
      <c r="AD25309"/>
    </row>
    <row r="25310" spans="30:30" x14ac:dyDescent="0.25">
      <c r="AD25310"/>
    </row>
    <row r="25311" spans="30:30" x14ac:dyDescent="0.25">
      <c r="AD25311"/>
    </row>
    <row r="25312" spans="30:30" x14ac:dyDescent="0.25">
      <c r="AD25312"/>
    </row>
    <row r="25313" spans="30:30" x14ac:dyDescent="0.25">
      <c r="AD25313"/>
    </row>
    <row r="25314" spans="30:30" x14ac:dyDescent="0.25">
      <c r="AD25314"/>
    </row>
    <row r="25315" spans="30:30" x14ac:dyDescent="0.25">
      <c r="AD25315"/>
    </row>
    <row r="25316" spans="30:30" x14ac:dyDescent="0.25">
      <c r="AD25316"/>
    </row>
    <row r="25317" spans="30:30" x14ac:dyDescent="0.25">
      <c r="AD25317"/>
    </row>
    <row r="25318" spans="30:30" x14ac:dyDescent="0.25">
      <c r="AD25318"/>
    </row>
    <row r="25319" spans="30:30" x14ac:dyDescent="0.25">
      <c r="AD25319"/>
    </row>
    <row r="25320" spans="30:30" x14ac:dyDescent="0.25">
      <c r="AD25320"/>
    </row>
    <row r="25321" spans="30:30" x14ac:dyDescent="0.25">
      <c r="AD25321"/>
    </row>
    <row r="25322" spans="30:30" x14ac:dyDescent="0.25">
      <c r="AD25322"/>
    </row>
    <row r="25323" spans="30:30" x14ac:dyDescent="0.25">
      <c r="AD25323"/>
    </row>
    <row r="25324" spans="30:30" x14ac:dyDescent="0.25">
      <c r="AD25324"/>
    </row>
    <row r="25325" spans="30:30" x14ac:dyDescent="0.25">
      <c r="AD25325"/>
    </row>
    <row r="25326" spans="30:30" x14ac:dyDescent="0.25">
      <c r="AD25326"/>
    </row>
    <row r="25327" spans="30:30" x14ac:dyDescent="0.25">
      <c r="AD25327"/>
    </row>
    <row r="25328" spans="30:30" x14ac:dyDescent="0.25">
      <c r="AD25328"/>
    </row>
    <row r="25329" spans="30:30" x14ac:dyDescent="0.25">
      <c r="AD25329"/>
    </row>
    <row r="25330" spans="30:30" x14ac:dyDescent="0.25">
      <c r="AD25330"/>
    </row>
    <row r="25331" spans="30:30" x14ac:dyDescent="0.25">
      <c r="AD25331"/>
    </row>
    <row r="25332" spans="30:30" x14ac:dyDescent="0.25">
      <c r="AD25332"/>
    </row>
    <row r="25333" spans="30:30" x14ac:dyDescent="0.25">
      <c r="AD25333"/>
    </row>
    <row r="25334" spans="30:30" x14ac:dyDescent="0.25">
      <c r="AD25334"/>
    </row>
    <row r="25335" spans="30:30" x14ac:dyDescent="0.25">
      <c r="AD25335"/>
    </row>
    <row r="25336" spans="30:30" x14ac:dyDescent="0.25">
      <c r="AD25336"/>
    </row>
    <row r="25337" spans="30:30" x14ac:dyDescent="0.25">
      <c r="AD25337"/>
    </row>
    <row r="25338" spans="30:30" x14ac:dyDescent="0.25">
      <c r="AD25338"/>
    </row>
    <row r="25339" spans="30:30" x14ac:dyDescent="0.25">
      <c r="AD25339"/>
    </row>
    <row r="25340" spans="30:30" x14ac:dyDescent="0.25">
      <c r="AD25340"/>
    </row>
    <row r="25341" spans="30:30" x14ac:dyDescent="0.25">
      <c r="AD25341"/>
    </row>
    <row r="25342" spans="30:30" x14ac:dyDescent="0.25">
      <c r="AD25342"/>
    </row>
    <row r="25343" spans="30:30" x14ac:dyDescent="0.25">
      <c r="AD25343"/>
    </row>
    <row r="25344" spans="30:30" x14ac:dyDescent="0.25">
      <c r="AD25344"/>
    </row>
    <row r="25345" spans="30:30" x14ac:dyDescent="0.25">
      <c r="AD25345"/>
    </row>
    <row r="25346" spans="30:30" x14ac:dyDescent="0.25">
      <c r="AD25346"/>
    </row>
    <row r="25347" spans="30:30" x14ac:dyDescent="0.25">
      <c r="AD25347"/>
    </row>
    <row r="25348" spans="30:30" x14ac:dyDescent="0.25">
      <c r="AD25348"/>
    </row>
    <row r="25349" spans="30:30" x14ac:dyDescent="0.25">
      <c r="AD25349"/>
    </row>
    <row r="25350" spans="30:30" x14ac:dyDescent="0.25">
      <c r="AD25350"/>
    </row>
    <row r="25351" spans="30:30" x14ac:dyDescent="0.25">
      <c r="AD25351"/>
    </row>
    <row r="25352" spans="30:30" x14ac:dyDescent="0.25">
      <c r="AD25352"/>
    </row>
    <row r="25353" spans="30:30" x14ac:dyDescent="0.25">
      <c r="AD25353"/>
    </row>
    <row r="25354" spans="30:30" x14ac:dyDescent="0.25">
      <c r="AD25354"/>
    </row>
    <row r="25355" spans="30:30" x14ac:dyDescent="0.25">
      <c r="AD25355"/>
    </row>
    <row r="25356" spans="30:30" x14ac:dyDescent="0.25">
      <c r="AD25356"/>
    </row>
    <row r="25357" spans="30:30" x14ac:dyDescent="0.25">
      <c r="AD25357"/>
    </row>
    <row r="25358" spans="30:30" x14ac:dyDescent="0.25">
      <c r="AD25358"/>
    </row>
    <row r="25359" spans="30:30" x14ac:dyDescent="0.25">
      <c r="AD25359"/>
    </row>
    <row r="25360" spans="30:30" x14ac:dyDescent="0.25">
      <c r="AD25360"/>
    </row>
    <row r="25361" spans="30:30" x14ac:dyDescent="0.25">
      <c r="AD25361"/>
    </row>
    <row r="25362" spans="30:30" x14ac:dyDescent="0.25">
      <c r="AD25362"/>
    </row>
    <row r="25363" spans="30:30" x14ac:dyDescent="0.25">
      <c r="AD25363"/>
    </row>
    <row r="25364" spans="30:30" x14ac:dyDescent="0.25">
      <c r="AD25364"/>
    </row>
    <row r="25365" spans="30:30" x14ac:dyDescent="0.25">
      <c r="AD25365"/>
    </row>
    <row r="25366" spans="30:30" x14ac:dyDescent="0.25">
      <c r="AD25366"/>
    </row>
    <row r="25367" spans="30:30" x14ac:dyDescent="0.25">
      <c r="AD25367"/>
    </row>
    <row r="25368" spans="30:30" x14ac:dyDescent="0.25">
      <c r="AD25368"/>
    </row>
    <row r="25369" spans="30:30" x14ac:dyDescent="0.25">
      <c r="AD25369"/>
    </row>
    <row r="25370" spans="30:30" x14ac:dyDescent="0.25">
      <c r="AD25370"/>
    </row>
    <row r="25371" spans="30:30" x14ac:dyDescent="0.25">
      <c r="AD25371"/>
    </row>
    <row r="25372" spans="30:30" x14ac:dyDescent="0.25">
      <c r="AD25372"/>
    </row>
    <row r="25373" spans="30:30" x14ac:dyDescent="0.25">
      <c r="AD25373"/>
    </row>
    <row r="25374" spans="30:30" x14ac:dyDescent="0.25">
      <c r="AD25374"/>
    </row>
    <row r="25375" spans="30:30" x14ac:dyDescent="0.25">
      <c r="AD25375"/>
    </row>
    <row r="25376" spans="30:30" x14ac:dyDescent="0.25">
      <c r="AD25376"/>
    </row>
    <row r="25377" spans="30:30" x14ac:dyDescent="0.25">
      <c r="AD25377"/>
    </row>
    <row r="25378" spans="30:30" x14ac:dyDescent="0.25">
      <c r="AD25378"/>
    </row>
    <row r="25379" spans="30:30" x14ac:dyDescent="0.25">
      <c r="AD25379"/>
    </row>
    <row r="25380" spans="30:30" x14ac:dyDescent="0.25">
      <c r="AD25380"/>
    </row>
    <row r="25381" spans="30:30" x14ac:dyDescent="0.25">
      <c r="AD25381"/>
    </row>
    <row r="25382" spans="30:30" x14ac:dyDescent="0.25">
      <c r="AD25382"/>
    </row>
    <row r="25383" spans="30:30" x14ac:dyDescent="0.25">
      <c r="AD25383"/>
    </row>
    <row r="25384" spans="30:30" x14ac:dyDescent="0.25">
      <c r="AD25384"/>
    </row>
    <row r="25385" spans="30:30" x14ac:dyDescent="0.25">
      <c r="AD25385"/>
    </row>
    <row r="25386" spans="30:30" x14ac:dyDescent="0.25">
      <c r="AD25386"/>
    </row>
    <row r="25387" spans="30:30" x14ac:dyDescent="0.25">
      <c r="AD25387"/>
    </row>
    <row r="25388" spans="30:30" x14ac:dyDescent="0.25">
      <c r="AD25388"/>
    </row>
    <row r="25389" spans="30:30" x14ac:dyDescent="0.25">
      <c r="AD25389"/>
    </row>
    <row r="25390" spans="30:30" x14ac:dyDescent="0.25">
      <c r="AD25390"/>
    </row>
    <row r="25391" spans="30:30" x14ac:dyDescent="0.25">
      <c r="AD25391"/>
    </row>
    <row r="25392" spans="30:30" x14ac:dyDescent="0.25">
      <c r="AD25392"/>
    </row>
    <row r="25393" spans="30:30" x14ac:dyDescent="0.25">
      <c r="AD25393"/>
    </row>
    <row r="25394" spans="30:30" x14ac:dyDescent="0.25">
      <c r="AD25394"/>
    </row>
    <row r="25395" spans="30:30" x14ac:dyDescent="0.25">
      <c r="AD25395"/>
    </row>
    <row r="25396" spans="30:30" x14ac:dyDescent="0.25">
      <c r="AD25396"/>
    </row>
    <row r="25397" spans="30:30" x14ac:dyDescent="0.25">
      <c r="AD25397"/>
    </row>
    <row r="25398" spans="30:30" x14ac:dyDescent="0.25">
      <c r="AD25398"/>
    </row>
    <row r="25399" spans="30:30" x14ac:dyDescent="0.25">
      <c r="AD25399"/>
    </row>
    <row r="25400" spans="30:30" x14ac:dyDescent="0.25">
      <c r="AD25400"/>
    </row>
    <row r="25401" spans="30:30" x14ac:dyDescent="0.25">
      <c r="AD25401"/>
    </row>
    <row r="25402" spans="30:30" x14ac:dyDescent="0.25">
      <c r="AD25402"/>
    </row>
    <row r="25403" spans="30:30" x14ac:dyDescent="0.25">
      <c r="AD25403"/>
    </row>
    <row r="25404" spans="30:30" x14ac:dyDescent="0.25">
      <c r="AD25404"/>
    </row>
    <row r="25405" spans="30:30" x14ac:dyDescent="0.25">
      <c r="AD25405"/>
    </row>
    <row r="25406" spans="30:30" x14ac:dyDescent="0.25">
      <c r="AD25406"/>
    </row>
    <row r="25407" spans="30:30" x14ac:dyDescent="0.25">
      <c r="AD25407"/>
    </row>
    <row r="25408" spans="30:30" x14ac:dyDescent="0.25">
      <c r="AD25408"/>
    </row>
    <row r="25409" spans="30:30" x14ac:dyDescent="0.25">
      <c r="AD25409"/>
    </row>
    <row r="25410" spans="30:30" x14ac:dyDescent="0.25">
      <c r="AD25410"/>
    </row>
    <row r="25411" spans="30:30" x14ac:dyDescent="0.25">
      <c r="AD25411"/>
    </row>
    <row r="25412" spans="30:30" x14ac:dyDescent="0.25">
      <c r="AD25412"/>
    </row>
    <row r="25413" spans="30:30" x14ac:dyDescent="0.25">
      <c r="AD25413"/>
    </row>
    <row r="25414" spans="30:30" x14ac:dyDescent="0.25">
      <c r="AD25414"/>
    </row>
    <row r="25415" spans="30:30" x14ac:dyDescent="0.25">
      <c r="AD25415"/>
    </row>
    <row r="25416" spans="30:30" x14ac:dyDescent="0.25">
      <c r="AD25416"/>
    </row>
    <row r="25417" spans="30:30" x14ac:dyDescent="0.25">
      <c r="AD25417"/>
    </row>
    <row r="25418" spans="30:30" x14ac:dyDescent="0.25">
      <c r="AD25418"/>
    </row>
    <row r="25419" spans="30:30" x14ac:dyDescent="0.25">
      <c r="AD25419"/>
    </row>
    <row r="25420" spans="30:30" x14ac:dyDescent="0.25">
      <c r="AD25420"/>
    </row>
    <row r="25421" spans="30:30" x14ac:dyDescent="0.25">
      <c r="AD25421"/>
    </row>
    <row r="25422" spans="30:30" x14ac:dyDescent="0.25">
      <c r="AD25422"/>
    </row>
    <row r="25423" spans="30:30" x14ac:dyDescent="0.25">
      <c r="AD25423"/>
    </row>
    <row r="25424" spans="30:30" x14ac:dyDescent="0.25">
      <c r="AD25424"/>
    </row>
    <row r="25425" spans="30:30" x14ac:dyDescent="0.25">
      <c r="AD25425"/>
    </row>
    <row r="25426" spans="30:30" x14ac:dyDescent="0.25">
      <c r="AD25426"/>
    </row>
    <row r="25427" spans="30:30" x14ac:dyDescent="0.25">
      <c r="AD25427"/>
    </row>
    <row r="25428" spans="30:30" x14ac:dyDescent="0.25">
      <c r="AD25428"/>
    </row>
    <row r="25429" spans="30:30" x14ac:dyDescent="0.25">
      <c r="AD25429"/>
    </row>
    <row r="25430" spans="30:30" x14ac:dyDescent="0.25">
      <c r="AD25430"/>
    </row>
    <row r="25431" spans="30:30" x14ac:dyDescent="0.25">
      <c r="AD25431"/>
    </row>
    <row r="25432" spans="30:30" x14ac:dyDescent="0.25">
      <c r="AD25432"/>
    </row>
    <row r="25433" spans="30:30" x14ac:dyDescent="0.25">
      <c r="AD25433"/>
    </row>
    <row r="25434" spans="30:30" x14ac:dyDescent="0.25">
      <c r="AD25434"/>
    </row>
    <row r="25435" spans="30:30" x14ac:dyDescent="0.25">
      <c r="AD25435"/>
    </row>
    <row r="25436" spans="30:30" x14ac:dyDescent="0.25">
      <c r="AD25436"/>
    </row>
    <row r="25437" spans="30:30" x14ac:dyDescent="0.25">
      <c r="AD25437"/>
    </row>
    <row r="25438" spans="30:30" x14ac:dyDescent="0.25">
      <c r="AD25438"/>
    </row>
    <row r="25439" spans="30:30" x14ac:dyDescent="0.25">
      <c r="AD25439"/>
    </row>
    <row r="25440" spans="30:30" x14ac:dyDescent="0.25">
      <c r="AD25440"/>
    </row>
    <row r="25441" spans="30:30" x14ac:dyDescent="0.25">
      <c r="AD25441"/>
    </row>
    <row r="25442" spans="30:30" x14ac:dyDescent="0.25">
      <c r="AD25442"/>
    </row>
    <row r="25443" spans="30:30" x14ac:dyDescent="0.25">
      <c r="AD25443"/>
    </row>
    <row r="25444" spans="30:30" x14ac:dyDescent="0.25">
      <c r="AD25444"/>
    </row>
    <row r="25445" spans="30:30" x14ac:dyDescent="0.25">
      <c r="AD25445"/>
    </row>
    <row r="25446" spans="30:30" x14ac:dyDescent="0.25">
      <c r="AD25446"/>
    </row>
    <row r="25447" spans="30:30" x14ac:dyDescent="0.25">
      <c r="AD25447"/>
    </row>
    <row r="25448" spans="30:30" x14ac:dyDescent="0.25">
      <c r="AD25448"/>
    </row>
    <row r="25449" spans="30:30" x14ac:dyDescent="0.25">
      <c r="AD25449"/>
    </row>
    <row r="25450" spans="30:30" x14ac:dyDescent="0.25">
      <c r="AD25450"/>
    </row>
    <row r="25451" spans="30:30" x14ac:dyDescent="0.25">
      <c r="AD25451"/>
    </row>
    <row r="25452" spans="30:30" x14ac:dyDescent="0.25">
      <c r="AD25452"/>
    </row>
    <row r="25453" spans="30:30" x14ac:dyDescent="0.25">
      <c r="AD25453"/>
    </row>
    <row r="25454" spans="30:30" x14ac:dyDescent="0.25">
      <c r="AD25454"/>
    </row>
    <row r="25455" spans="30:30" x14ac:dyDescent="0.25">
      <c r="AD25455"/>
    </row>
    <row r="25456" spans="30:30" x14ac:dyDescent="0.25">
      <c r="AD25456"/>
    </row>
    <row r="25457" spans="30:30" x14ac:dyDescent="0.25">
      <c r="AD25457"/>
    </row>
    <row r="25458" spans="30:30" x14ac:dyDescent="0.25">
      <c r="AD25458"/>
    </row>
    <row r="25459" spans="30:30" x14ac:dyDescent="0.25">
      <c r="AD25459"/>
    </row>
    <row r="25460" spans="30:30" x14ac:dyDescent="0.25">
      <c r="AD25460"/>
    </row>
    <row r="25461" spans="30:30" x14ac:dyDescent="0.25">
      <c r="AD25461"/>
    </row>
    <row r="25462" spans="30:30" x14ac:dyDescent="0.25">
      <c r="AD25462"/>
    </row>
    <row r="25463" spans="30:30" x14ac:dyDescent="0.25">
      <c r="AD25463"/>
    </row>
    <row r="25464" spans="30:30" x14ac:dyDescent="0.25">
      <c r="AD25464"/>
    </row>
    <row r="25465" spans="30:30" x14ac:dyDescent="0.25">
      <c r="AD25465"/>
    </row>
    <row r="25466" spans="30:30" x14ac:dyDescent="0.25">
      <c r="AD25466"/>
    </row>
    <row r="25467" spans="30:30" x14ac:dyDescent="0.25">
      <c r="AD25467"/>
    </row>
    <row r="25468" spans="30:30" x14ac:dyDescent="0.25">
      <c r="AD25468"/>
    </row>
    <row r="25469" spans="30:30" x14ac:dyDescent="0.25">
      <c r="AD25469"/>
    </row>
    <row r="25470" spans="30:30" x14ac:dyDescent="0.25">
      <c r="AD25470"/>
    </row>
    <row r="25471" spans="30:30" x14ac:dyDescent="0.25">
      <c r="AD25471"/>
    </row>
    <row r="25472" spans="30:30" x14ac:dyDescent="0.25">
      <c r="AD25472"/>
    </row>
    <row r="25473" spans="30:30" x14ac:dyDescent="0.25">
      <c r="AD25473"/>
    </row>
    <row r="25474" spans="30:30" x14ac:dyDescent="0.25">
      <c r="AD25474"/>
    </row>
    <row r="25475" spans="30:30" x14ac:dyDescent="0.25">
      <c r="AD25475"/>
    </row>
    <row r="25476" spans="30:30" x14ac:dyDescent="0.25">
      <c r="AD25476"/>
    </row>
    <row r="25477" spans="30:30" x14ac:dyDescent="0.25">
      <c r="AD25477"/>
    </row>
    <row r="25478" spans="30:30" x14ac:dyDescent="0.25">
      <c r="AD25478"/>
    </row>
    <row r="25479" spans="30:30" x14ac:dyDescent="0.25">
      <c r="AD25479"/>
    </row>
    <row r="25480" spans="30:30" x14ac:dyDescent="0.25">
      <c r="AD25480"/>
    </row>
    <row r="25481" spans="30:30" x14ac:dyDescent="0.25">
      <c r="AD25481"/>
    </row>
    <row r="25482" spans="30:30" x14ac:dyDescent="0.25">
      <c r="AD25482"/>
    </row>
    <row r="25483" spans="30:30" x14ac:dyDescent="0.25">
      <c r="AD25483"/>
    </row>
    <row r="25484" spans="30:30" x14ac:dyDescent="0.25">
      <c r="AD25484"/>
    </row>
    <row r="25485" spans="30:30" x14ac:dyDescent="0.25">
      <c r="AD25485"/>
    </row>
    <row r="25486" spans="30:30" x14ac:dyDescent="0.25">
      <c r="AD25486"/>
    </row>
    <row r="25487" spans="30:30" x14ac:dyDescent="0.25">
      <c r="AD25487"/>
    </row>
    <row r="25488" spans="30:30" x14ac:dyDescent="0.25">
      <c r="AD25488"/>
    </row>
    <row r="25489" spans="30:30" x14ac:dyDescent="0.25">
      <c r="AD25489"/>
    </row>
    <row r="25490" spans="30:30" x14ac:dyDescent="0.25">
      <c r="AD25490"/>
    </row>
    <row r="25491" spans="30:30" x14ac:dyDescent="0.25">
      <c r="AD25491"/>
    </row>
    <row r="25492" spans="30:30" x14ac:dyDescent="0.25">
      <c r="AD25492"/>
    </row>
    <row r="25493" spans="30:30" x14ac:dyDescent="0.25">
      <c r="AD25493"/>
    </row>
    <row r="25494" spans="30:30" x14ac:dyDescent="0.25">
      <c r="AD25494"/>
    </row>
    <row r="25495" spans="30:30" x14ac:dyDescent="0.25">
      <c r="AD25495"/>
    </row>
    <row r="25496" spans="30:30" x14ac:dyDescent="0.25">
      <c r="AD25496"/>
    </row>
    <row r="25497" spans="30:30" x14ac:dyDescent="0.25">
      <c r="AD25497"/>
    </row>
    <row r="25498" spans="30:30" x14ac:dyDescent="0.25">
      <c r="AD25498"/>
    </row>
    <row r="25499" spans="30:30" x14ac:dyDescent="0.25">
      <c r="AD25499"/>
    </row>
    <row r="25500" spans="30:30" x14ac:dyDescent="0.25">
      <c r="AD25500"/>
    </row>
    <row r="25501" spans="30:30" x14ac:dyDescent="0.25">
      <c r="AD25501"/>
    </row>
    <row r="25502" spans="30:30" x14ac:dyDescent="0.25">
      <c r="AD25502"/>
    </row>
    <row r="25503" spans="30:30" x14ac:dyDescent="0.25">
      <c r="AD25503"/>
    </row>
    <row r="25504" spans="30:30" x14ac:dyDescent="0.25">
      <c r="AD25504"/>
    </row>
    <row r="25505" spans="30:30" x14ac:dyDescent="0.25">
      <c r="AD25505"/>
    </row>
    <row r="25506" spans="30:30" x14ac:dyDescent="0.25">
      <c r="AD25506"/>
    </row>
    <row r="25507" spans="30:30" x14ac:dyDescent="0.25">
      <c r="AD25507"/>
    </row>
    <row r="25508" spans="30:30" x14ac:dyDescent="0.25">
      <c r="AD25508"/>
    </row>
    <row r="25509" spans="30:30" x14ac:dyDescent="0.25">
      <c r="AD25509"/>
    </row>
    <row r="25510" spans="30:30" x14ac:dyDescent="0.25">
      <c r="AD25510"/>
    </row>
    <row r="25511" spans="30:30" x14ac:dyDescent="0.25">
      <c r="AD25511"/>
    </row>
    <row r="25512" spans="30:30" x14ac:dyDescent="0.25">
      <c r="AD25512"/>
    </row>
    <row r="25513" spans="30:30" x14ac:dyDescent="0.25">
      <c r="AD25513"/>
    </row>
    <row r="25514" spans="30:30" x14ac:dyDescent="0.25">
      <c r="AD25514"/>
    </row>
    <row r="25515" spans="30:30" x14ac:dyDescent="0.25">
      <c r="AD25515"/>
    </row>
    <row r="25516" spans="30:30" x14ac:dyDescent="0.25">
      <c r="AD25516"/>
    </row>
    <row r="25517" spans="30:30" x14ac:dyDescent="0.25">
      <c r="AD25517"/>
    </row>
    <row r="25518" spans="30:30" x14ac:dyDescent="0.25">
      <c r="AD25518"/>
    </row>
    <row r="25519" spans="30:30" x14ac:dyDescent="0.25">
      <c r="AD25519"/>
    </row>
    <row r="25520" spans="30:30" x14ac:dyDescent="0.25">
      <c r="AD25520"/>
    </row>
    <row r="25521" spans="30:30" x14ac:dyDescent="0.25">
      <c r="AD25521"/>
    </row>
    <row r="25522" spans="30:30" x14ac:dyDescent="0.25">
      <c r="AD25522"/>
    </row>
    <row r="25523" spans="30:30" x14ac:dyDescent="0.25">
      <c r="AD25523"/>
    </row>
    <row r="25524" spans="30:30" x14ac:dyDescent="0.25">
      <c r="AD25524"/>
    </row>
    <row r="25525" spans="30:30" x14ac:dyDescent="0.25">
      <c r="AD25525"/>
    </row>
    <row r="25526" spans="30:30" x14ac:dyDescent="0.25">
      <c r="AD25526"/>
    </row>
    <row r="25527" spans="30:30" x14ac:dyDescent="0.25">
      <c r="AD25527"/>
    </row>
    <row r="25528" spans="30:30" x14ac:dyDescent="0.25">
      <c r="AD25528"/>
    </row>
    <row r="25529" spans="30:30" x14ac:dyDescent="0.25">
      <c r="AD25529"/>
    </row>
    <row r="25530" spans="30:30" x14ac:dyDescent="0.25">
      <c r="AD25530"/>
    </row>
    <row r="25531" spans="30:30" x14ac:dyDescent="0.25">
      <c r="AD25531"/>
    </row>
    <row r="25532" spans="30:30" x14ac:dyDescent="0.25">
      <c r="AD25532"/>
    </row>
    <row r="25533" spans="30:30" x14ac:dyDescent="0.25">
      <c r="AD25533"/>
    </row>
    <row r="25534" spans="30:30" x14ac:dyDescent="0.25">
      <c r="AD25534"/>
    </row>
    <row r="25535" spans="30:30" x14ac:dyDescent="0.25">
      <c r="AD25535"/>
    </row>
    <row r="25536" spans="30:30" x14ac:dyDescent="0.25">
      <c r="AD25536"/>
    </row>
    <row r="25537" spans="30:30" x14ac:dyDescent="0.25">
      <c r="AD25537"/>
    </row>
    <row r="25538" spans="30:30" x14ac:dyDescent="0.25">
      <c r="AD25538"/>
    </row>
    <row r="25539" spans="30:30" x14ac:dyDescent="0.25">
      <c r="AD25539"/>
    </row>
    <row r="25540" spans="30:30" x14ac:dyDescent="0.25">
      <c r="AD25540"/>
    </row>
    <row r="25541" spans="30:30" x14ac:dyDescent="0.25">
      <c r="AD25541"/>
    </row>
    <row r="25542" spans="30:30" x14ac:dyDescent="0.25">
      <c r="AD25542"/>
    </row>
    <row r="25543" spans="30:30" x14ac:dyDescent="0.25">
      <c r="AD25543"/>
    </row>
    <row r="25544" spans="30:30" x14ac:dyDescent="0.25">
      <c r="AD25544"/>
    </row>
    <row r="25545" spans="30:30" x14ac:dyDescent="0.25">
      <c r="AD25545"/>
    </row>
    <row r="25546" spans="30:30" x14ac:dyDescent="0.25">
      <c r="AD25546"/>
    </row>
    <row r="25547" spans="30:30" x14ac:dyDescent="0.25">
      <c r="AD25547"/>
    </row>
    <row r="25548" spans="30:30" x14ac:dyDescent="0.25">
      <c r="AD25548"/>
    </row>
    <row r="25549" spans="30:30" x14ac:dyDescent="0.25">
      <c r="AD25549"/>
    </row>
    <row r="25550" spans="30:30" x14ac:dyDescent="0.25">
      <c r="AD25550"/>
    </row>
    <row r="25551" spans="30:30" x14ac:dyDescent="0.25">
      <c r="AD25551"/>
    </row>
    <row r="25552" spans="30:30" x14ac:dyDescent="0.25">
      <c r="AD25552"/>
    </row>
    <row r="25553" spans="30:30" x14ac:dyDescent="0.25">
      <c r="AD25553"/>
    </row>
    <row r="25554" spans="30:30" x14ac:dyDescent="0.25">
      <c r="AD25554"/>
    </row>
    <row r="25555" spans="30:30" x14ac:dyDescent="0.25">
      <c r="AD25555"/>
    </row>
    <row r="25556" spans="30:30" x14ac:dyDescent="0.25">
      <c r="AD25556"/>
    </row>
    <row r="25557" spans="30:30" x14ac:dyDescent="0.25">
      <c r="AD25557"/>
    </row>
    <row r="25558" spans="30:30" x14ac:dyDescent="0.25">
      <c r="AD25558"/>
    </row>
    <row r="25559" spans="30:30" x14ac:dyDescent="0.25">
      <c r="AD25559"/>
    </row>
    <row r="25560" spans="30:30" x14ac:dyDescent="0.25">
      <c r="AD25560"/>
    </row>
    <row r="25561" spans="30:30" x14ac:dyDescent="0.25">
      <c r="AD25561"/>
    </row>
    <row r="25562" spans="30:30" x14ac:dyDescent="0.25">
      <c r="AD25562"/>
    </row>
    <row r="25563" spans="30:30" x14ac:dyDescent="0.25">
      <c r="AD25563"/>
    </row>
    <row r="25564" spans="30:30" x14ac:dyDescent="0.25">
      <c r="AD25564"/>
    </row>
    <row r="25565" spans="30:30" x14ac:dyDescent="0.25">
      <c r="AD25565"/>
    </row>
    <row r="25566" spans="30:30" x14ac:dyDescent="0.25">
      <c r="AD25566"/>
    </row>
    <row r="25567" spans="30:30" x14ac:dyDescent="0.25">
      <c r="AD25567"/>
    </row>
    <row r="25568" spans="30:30" x14ac:dyDescent="0.25">
      <c r="AD25568"/>
    </row>
    <row r="25569" spans="30:30" x14ac:dyDescent="0.25">
      <c r="AD25569"/>
    </row>
    <row r="25570" spans="30:30" x14ac:dyDescent="0.25">
      <c r="AD25570"/>
    </row>
    <row r="25571" spans="30:30" x14ac:dyDescent="0.25">
      <c r="AD25571"/>
    </row>
    <row r="25572" spans="30:30" x14ac:dyDescent="0.25">
      <c r="AD25572"/>
    </row>
    <row r="25573" spans="30:30" x14ac:dyDescent="0.25">
      <c r="AD25573"/>
    </row>
    <row r="25574" spans="30:30" x14ac:dyDescent="0.25">
      <c r="AD25574"/>
    </row>
    <row r="25575" spans="30:30" x14ac:dyDescent="0.25">
      <c r="AD25575"/>
    </row>
    <row r="25576" spans="30:30" x14ac:dyDescent="0.25">
      <c r="AD25576"/>
    </row>
    <row r="25577" spans="30:30" x14ac:dyDescent="0.25">
      <c r="AD25577"/>
    </row>
    <row r="25578" spans="30:30" x14ac:dyDescent="0.25">
      <c r="AD25578"/>
    </row>
    <row r="25579" spans="30:30" x14ac:dyDescent="0.25">
      <c r="AD25579"/>
    </row>
    <row r="25580" spans="30:30" x14ac:dyDescent="0.25">
      <c r="AD25580"/>
    </row>
    <row r="25581" spans="30:30" x14ac:dyDescent="0.25">
      <c r="AD25581"/>
    </row>
    <row r="25582" spans="30:30" x14ac:dyDescent="0.25">
      <c r="AD25582"/>
    </row>
    <row r="25583" spans="30:30" x14ac:dyDescent="0.25">
      <c r="AD25583"/>
    </row>
    <row r="25584" spans="30:30" x14ac:dyDescent="0.25">
      <c r="AD25584"/>
    </row>
    <row r="25585" spans="30:30" x14ac:dyDescent="0.25">
      <c r="AD25585"/>
    </row>
    <row r="25586" spans="30:30" x14ac:dyDescent="0.25">
      <c r="AD25586"/>
    </row>
    <row r="25587" spans="30:30" x14ac:dyDescent="0.25">
      <c r="AD25587"/>
    </row>
    <row r="25588" spans="30:30" x14ac:dyDescent="0.25">
      <c r="AD25588"/>
    </row>
    <row r="25589" spans="30:30" x14ac:dyDescent="0.25">
      <c r="AD25589"/>
    </row>
    <row r="25590" spans="30:30" x14ac:dyDescent="0.25">
      <c r="AD25590"/>
    </row>
    <row r="25591" spans="30:30" x14ac:dyDescent="0.25">
      <c r="AD25591"/>
    </row>
    <row r="25592" spans="30:30" x14ac:dyDescent="0.25">
      <c r="AD25592"/>
    </row>
    <row r="25593" spans="30:30" x14ac:dyDescent="0.25">
      <c r="AD25593"/>
    </row>
    <row r="25594" spans="30:30" x14ac:dyDescent="0.25">
      <c r="AD25594"/>
    </row>
    <row r="25595" spans="30:30" x14ac:dyDescent="0.25">
      <c r="AD25595"/>
    </row>
    <row r="25596" spans="30:30" x14ac:dyDescent="0.25">
      <c r="AD25596"/>
    </row>
    <row r="25597" spans="30:30" x14ac:dyDescent="0.25">
      <c r="AD25597"/>
    </row>
    <row r="25598" spans="30:30" x14ac:dyDescent="0.25">
      <c r="AD25598"/>
    </row>
    <row r="25599" spans="30:30" x14ac:dyDescent="0.25">
      <c r="AD25599"/>
    </row>
    <row r="25600" spans="30:30" x14ac:dyDescent="0.25">
      <c r="AD25600"/>
    </row>
    <row r="25601" spans="30:30" x14ac:dyDescent="0.25">
      <c r="AD25601"/>
    </row>
    <row r="25602" spans="30:30" x14ac:dyDescent="0.25">
      <c r="AD25602"/>
    </row>
    <row r="25603" spans="30:30" x14ac:dyDescent="0.25">
      <c r="AD25603"/>
    </row>
    <row r="25604" spans="30:30" x14ac:dyDescent="0.25">
      <c r="AD25604"/>
    </row>
    <row r="25605" spans="30:30" x14ac:dyDescent="0.25">
      <c r="AD25605"/>
    </row>
    <row r="25606" spans="30:30" x14ac:dyDescent="0.25">
      <c r="AD25606"/>
    </row>
    <row r="25607" spans="30:30" x14ac:dyDescent="0.25">
      <c r="AD25607"/>
    </row>
    <row r="25608" spans="30:30" x14ac:dyDescent="0.25">
      <c r="AD25608"/>
    </row>
    <row r="25609" spans="30:30" x14ac:dyDescent="0.25">
      <c r="AD25609"/>
    </row>
    <row r="25610" spans="30:30" x14ac:dyDescent="0.25">
      <c r="AD25610"/>
    </row>
    <row r="25611" spans="30:30" x14ac:dyDescent="0.25">
      <c r="AD25611"/>
    </row>
    <row r="25612" spans="30:30" x14ac:dyDescent="0.25">
      <c r="AD25612"/>
    </row>
    <row r="25613" spans="30:30" x14ac:dyDescent="0.25">
      <c r="AD25613"/>
    </row>
    <row r="25614" spans="30:30" x14ac:dyDescent="0.25">
      <c r="AD25614"/>
    </row>
    <row r="25615" spans="30:30" x14ac:dyDescent="0.25">
      <c r="AD25615"/>
    </row>
    <row r="25616" spans="30:30" x14ac:dyDescent="0.25">
      <c r="AD25616"/>
    </row>
    <row r="25617" spans="30:30" x14ac:dyDescent="0.25">
      <c r="AD25617"/>
    </row>
    <row r="25618" spans="30:30" x14ac:dyDescent="0.25">
      <c r="AD25618"/>
    </row>
    <row r="25619" spans="30:30" x14ac:dyDescent="0.25">
      <c r="AD25619"/>
    </row>
    <row r="25620" spans="30:30" x14ac:dyDescent="0.25">
      <c r="AD25620"/>
    </row>
    <row r="25621" spans="30:30" x14ac:dyDescent="0.25">
      <c r="AD25621"/>
    </row>
    <row r="25622" spans="30:30" x14ac:dyDescent="0.25">
      <c r="AD25622"/>
    </row>
    <row r="25623" spans="30:30" x14ac:dyDescent="0.25">
      <c r="AD25623"/>
    </row>
    <row r="25624" spans="30:30" x14ac:dyDescent="0.25">
      <c r="AD25624"/>
    </row>
    <row r="25625" spans="30:30" x14ac:dyDescent="0.25">
      <c r="AD25625"/>
    </row>
    <row r="25626" spans="30:30" x14ac:dyDescent="0.25">
      <c r="AD25626"/>
    </row>
    <row r="25627" spans="30:30" x14ac:dyDescent="0.25">
      <c r="AD25627"/>
    </row>
    <row r="25628" spans="30:30" x14ac:dyDescent="0.25">
      <c r="AD25628"/>
    </row>
    <row r="25629" spans="30:30" x14ac:dyDescent="0.25">
      <c r="AD25629"/>
    </row>
    <row r="25630" spans="30:30" x14ac:dyDescent="0.25">
      <c r="AD25630"/>
    </row>
    <row r="25631" spans="30:30" x14ac:dyDescent="0.25">
      <c r="AD25631"/>
    </row>
    <row r="25632" spans="30:30" x14ac:dyDescent="0.25">
      <c r="AD25632"/>
    </row>
    <row r="25633" spans="30:30" x14ac:dyDescent="0.25">
      <c r="AD25633"/>
    </row>
    <row r="25634" spans="30:30" x14ac:dyDescent="0.25">
      <c r="AD25634"/>
    </row>
    <row r="25635" spans="30:30" x14ac:dyDescent="0.25">
      <c r="AD25635"/>
    </row>
    <row r="25636" spans="30:30" x14ac:dyDescent="0.25">
      <c r="AD25636"/>
    </row>
    <row r="25637" spans="30:30" x14ac:dyDescent="0.25">
      <c r="AD25637"/>
    </row>
    <row r="25638" spans="30:30" x14ac:dyDescent="0.25">
      <c r="AD25638"/>
    </row>
    <row r="25639" spans="30:30" x14ac:dyDescent="0.25">
      <c r="AD25639"/>
    </row>
    <row r="25640" spans="30:30" x14ac:dyDescent="0.25">
      <c r="AD25640"/>
    </row>
    <row r="25641" spans="30:30" x14ac:dyDescent="0.25">
      <c r="AD25641"/>
    </row>
    <row r="25642" spans="30:30" x14ac:dyDescent="0.25">
      <c r="AD25642"/>
    </row>
    <row r="25643" spans="30:30" x14ac:dyDescent="0.25">
      <c r="AD25643"/>
    </row>
    <row r="25644" spans="30:30" x14ac:dyDescent="0.25">
      <c r="AD25644"/>
    </row>
    <row r="25645" spans="30:30" x14ac:dyDescent="0.25">
      <c r="AD25645"/>
    </row>
    <row r="25646" spans="30:30" x14ac:dyDescent="0.25">
      <c r="AD25646"/>
    </row>
    <row r="25647" spans="30:30" x14ac:dyDescent="0.25">
      <c r="AD25647"/>
    </row>
    <row r="25648" spans="30:30" x14ac:dyDescent="0.25">
      <c r="AD25648"/>
    </row>
    <row r="25649" spans="30:30" x14ac:dyDescent="0.25">
      <c r="AD25649"/>
    </row>
    <row r="25650" spans="30:30" x14ac:dyDescent="0.25">
      <c r="AD25650"/>
    </row>
    <row r="25651" spans="30:30" x14ac:dyDescent="0.25">
      <c r="AD25651"/>
    </row>
    <row r="25652" spans="30:30" x14ac:dyDescent="0.25">
      <c r="AD25652"/>
    </row>
    <row r="25653" spans="30:30" x14ac:dyDescent="0.25">
      <c r="AD25653"/>
    </row>
    <row r="25654" spans="30:30" x14ac:dyDescent="0.25">
      <c r="AD25654"/>
    </row>
    <row r="25655" spans="30:30" x14ac:dyDescent="0.25">
      <c r="AD25655"/>
    </row>
    <row r="25656" spans="30:30" x14ac:dyDescent="0.25">
      <c r="AD25656"/>
    </row>
    <row r="25657" spans="30:30" x14ac:dyDescent="0.25">
      <c r="AD25657"/>
    </row>
    <row r="25658" spans="30:30" x14ac:dyDescent="0.25">
      <c r="AD25658"/>
    </row>
    <row r="25659" spans="30:30" x14ac:dyDescent="0.25">
      <c r="AD25659"/>
    </row>
    <row r="25660" spans="30:30" x14ac:dyDescent="0.25">
      <c r="AD25660"/>
    </row>
    <row r="25661" spans="30:30" x14ac:dyDescent="0.25">
      <c r="AD25661"/>
    </row>
    <row r="25662" spans="30:30" x14ac:dyDescent="0.25">
      <c r="AD25662"/>
    </row>
    <row r="25663" spans="30:30" x14ac:dyDescent="0.25">
      <c r="AD25663"/>
    </row>
    <row r="25664" spans="30:30" x14ac:dyDescent="0.25">
      <c r="AD25664"/>
    </row>
    <row r="25665" spans="30:30" x14ac:dyDescent="0.25">
      <c r="AD25665"/>
    </row>
    <row r="25666" spans="30:30" x14ac:dyDescent="0.25">
      <c r="AD25666"/>
    </row>
    <row r="25667" spans="30:30" x14ac:dyDescent="0.25">
      <c r="AD25667"/>
    </row>
    <row r="25668" spans="30:30" x14ac:dyDescent="0.25">
      <c r="AD25668"/>
    </row>
    <row r="25669" spans="30:30" x14ac:dyDescent="0.25">
      <c r="AD25669"/>
    </row>
    <row r="25670" spans="30:30" x14ac:dyDescent="0.25">
      <c r="AD25670"/>
    </row>
    <row r="25671" spans="30:30" x14ac:dyDescent="0.25">
      <c r="AD25671"/>
    </row>
    <row r="25672" spans="30:30" x14ac:dyDescent="0.25">
      <c r="AD25672"/>
    </row>
    <row r="25673" spans="30:30" x14ac:dyDescent="0.25">
      <c r="AD25673"/>
    </row>
    <row r="25674" spans="30:30" x14ac:dyDescent="0.25">
      <c r="AD25674"/>
    </row>
    <row r="25675" spans="30:30" x14ac:dyDescent="0.25">
      <c r="AD25675"/>
    </row>
    <row r="25676" spans="30:30" x14ac:dyDescent="0.25">
      <c r="AD25676"/>
    </row>
    <row r="25677" spans="30:30" x14ac:dyDescent="0.25">
      <c r="AD25677"/>
    </row>
    <row r="25678" spans="30:30" x14ac:dyDescent="0.25">
      <c r="AD25678"/>
    </row>
    <row r="25679" spans="30:30" x14ac:dyDescent="0.25">
      <c r="AD25679"/>
    </row>
    <row r="25680" spans="30:30" x14ac:dyDescent="0.25">
      <c r="AD25680"/>
    </row>
    <row r="25681" spans="30:30" x14ac:dyDescent="0.25">
      <c r="AD25681"/>
    </row>
    <row r="25682" spans="30:30" x14ac:dyDescent="0.25">
      <c r="AD25682"/>
    </row>
    <row r="25683" spans="30:30" x14ac:dyDescent="0.25">
      <c r="AD25683"/>
    </row>
    <row r="25684" spans="30:30" x14ac:dyDescent="0.25">
      <c r="AD25684"/>
    </row>
    <row r="25685" spans="30:30" x14ac:dyDescent="0.25">
      <c r="AD25685"/>
    </row>
    <row r="25686" spans="30:30" x14ac:dyDescent="0.25">
      <c r="AD25686"/>
    </row>
    <row r="25687" spans="30:30" x14ac:dyDescent="0.25">
      <c r="AD25687"/>
    </row>
    <row r="25688" spans="30:30" x14ac:dyDescent="0.25">
      <c r="AD25688"/>
    </row>
    <row r="25689" spans="30:30" x14ac:dyDescent="0.25">
      <c r="AD25689"/>
    </row>
    <row r="25690" spans="30:30" x14ac:dyDescent="0.25">
      <c r="AD25690"/>
    </row>
    <row r="25691" spans="30:30" x14ac:dyDescent="0.25">
      <c r="AD25691"/>
    </row>
    <row r="25692" spans="30:30" x14ac:dyDescent="0.25">
      <c r="AD25692"/>
    </row>
    <row r="25693" spans="30:30" x14ac:dyDescent="0.25">
      <c r="AD25693"/>
    </row>
    <row r="25694" spans="30:30" x14ac:dyDescent="0.25">
      <c r="AD25694"/>
    </row>
    <row r="25695" spans="30:30" x14ac:dyDescent="0.25">
      <c r="AD25695"/>
    </row>
    <row r="25696" spans="30:30" x14ac:dyDescent="0.25">
      <c r="AD25696"/>
    </row>
    <row r="25697" spans="30:30" x14ac:dyDescent="0.25">
      <c r="AD25697"/>
    </row>
    <row r="25698" spans="30:30" x14ac:dyDescent="0.25">
      <c r="AD25698"/>
    </row>
    <row r="25699" spans="30:30" x14ac:dyDescent="0.25">
      <c r="AD25699"/>
    </row>
    <row r="25700" spans="30:30" x14ac:dyDescent="0.25">
      <c r="AD25700"/>
    </row>
    <row r="25701" spans="30:30" x14ac:dyDescent="0.25">
      <c r="AD25701"/>
    </row>
    <row r="25702" spans="30:30" x14ac:dyDescent="0.25">
      <c r="AD25702"/>
    </row>
    <row r="25703" spans="30:30" x14ac:dyDescent="0.25">
      <c r="AD25703"/>
    </row>
    <row r="25704" spans="30:30" x14ac:dyDescent="0.25">
      <c r="AD25704"/>
    </row>
    <row r="25705" spans="30:30" x14ac:dyDescent="0.25">
      <c r="AD25705"/>
    </row>
    <row r="25706" spans="30:30" x14ac:dyDescent="0.25">
      <c r="AD25706"/>
    </row>
    <row r="25707" spans="30:30" x14ac:dyDescent="0.25">
      <c r="AD25707"/>
    </row>
    <row r="25708" spans="30:30" x14ac:dyDescent="0.25">
      <c r="AD25708"/>
    </row>
    <row r="25709" spans="30:30" x14ac:dyDescent="0.25">
      <c r="AD25709"/>
    </row>
    <row r="25710" spans="30:30" x14ac:dyDescent="0.25">
      <c r="AD25710"/>
    </row>
    <row r="25711" spans="30:30" x14ac:dyDescent="0.25">
      <c r="AD25711"/>
    </row>
    <row r="25712" spans="30:30" x14ac:dyDescent="0.25">
      <c r="AD25712"/>
    </row>
    <row r="25713" spans="30:30" x14ac:dyDescent="0.25">
      <c r="AD25713"/>
    </row>
    <row r="25714" spans="30:30" x14ac:dyDescent="0.25">
      <c r="AD25714"/>
    </row>
    <row r="25715" spans="30:30" x14ac:dyDescent="0.25">
      <c r="AD25715"/>
    </row>
    <row r="25716" spans="30:30" x14ac:dyDescent="0.25">
      <c r="AD25716"/>
    </row>
    <row r="25717" spans="30:30" x14ac:dyDescent="0.25">
      <c r="AD25717"/>
    </row>
    <row r="25718" spans="30:30" x14ac:dyDescent="0.25">
      <c r="AD25718"/>
    </row>
    <row r="25719" spans="30:30" x14ac:dyDescent="0.25">
      <c r="AD25719"/>
    </row>
    <row r="25720" spans="30:30" x14ac:dyDescent="0.25">
      <c r="AD25720"/>
    </row>
    <row r="25721" spans="30:30" x14ac:dyDescent="0.25">
      <c r="AD25721"/>
    </row>
    <row r="25722" spans="30:30" x14ac:dyDescent="0.25">
      <c r="AD25722"/>
    </row>
    <row r="25723" spans="30:30" x14ac:dyDescent="0.25">
      <c r="AD25723"/>
    </row>
    <row r="25724" spans="30:30" x14ac:dyDescent="0.25">
      <c r="AD25724"/>
    </row>
    <row r="25725" spans="30:30" x14ac:dyDescent="0.25">
      <c r="AD25725"/>
    </row>
    <row r="25726" spans="30:30" x14ac:dyDescent="0.25">
      <c r="AD25726"/>
    </row>
    <row r="25727" spans="30:30" x14ac:dyDescent="0.25">
      <c r="AD25727"/>
    </row>
    <row r="25728" spans="30:30" x14ac:dyDescent="0.25">
      <c r="AD25728"/>
    </row>
    <row r="25729" spans="30:30" x14ac:dyDescent="0.25">
      <c r="AD25729"/>
    </row>
    <row r="25730" spans="30:30" x14ac:dyDescent="0.25">
      <c r="AD25730"/>
    </row>
    <row r="25731" spans="30:30" x14ac:dyDescent="0.25">
      <c r="AD25731"/>
    </row>
    <row r="25732" spans="30:30" x14ac:dyDescent="0.25">
      <c r="AD25732"/>
    </row>
    <row r="25733" spans="30:30" x14ac:dyDescent="0.25">
      <c r="AD25733"/>
    </row>
    <row r="25734" spans="30:30" x14ac:dyDescent="0.25">
      <c r="AD25734"/>
    </row>
    <row r="25735" spans="30:30" x14ac:dyDescent="0.25">
      <c r="AD25735"/>
    </row>
    <row r="25736" spans="30:30" x14ac:dyDescent="0.25">
      <c r="AD25736"/>
    </row>
    <row r="25737" spans="30:30" x14ac:dyDescent="0.25">
      <c r="AD25737"/>
    </row>
    <row r="25738" spans="30:30" x14ac:dyDescent="0.25">
      <c r="AD25738"/>
    </row>
    <row r="25739" spans="30:30" x14ac:dyDescent="0.25">
      <c r="AD25739"/>
    </row>
    <row r="25740" spans="30:30" x14ac:dyDescent="0.25">
      <c r="AD25740"/>
    </row>
    <row r="25741" spans="30:30" x14ac:dyDescent="0.25">
      <c r="AD25741"/>
    </row>
    <row r="25742" spans="30:30" x14ac:dyDescent="0.25">
      <c r="AD25742"/>
    </row>
    <row r="25743" spans="30:30" x14ac:dyDescent="0.25">
      <c r="AD25743"/>
    </row>
    <row r="25744" spans="30:30" x14ac:dyDescent="0.25">
      <c r="AD25744"/>
    </row>
    <row r="25745" spans="30:30" x14ac:dyDescent="0.25">
      <c r="AD25745"/>
    </row>
    <row r="25746" spans="30:30" x14ac:dyDescent="0.25">
      <c r="AD25746"/>
    </row>
    <row r="25747" spans="30:30" x14ac:dyDescent="0.25">
      <c r="AD25747"/>
    </row>
    <row r="25748" spans="30:30" x14ac:dyDescent="0.25">
      <c r="AD25748"/>
    </row>
    <row r="25749" spans="30:30" x14ac:dyDescent="0.25">
      <c r="AD25749"/>
    </row>
    <row r="25750" spans="30:30" x14ac:dyDescent="0.25">
      <c r="AD25750"/>
    </row>
    <row r="25751" spans="30:30" x14ac:dyDescent="0.25">
      <c r="AD25751"/>
    </row>
    <row r="25752" spans="30:30" x14ac:dyDescent="0.25">
      <c r="AD25752"/>
    </row>
    <row r="25753" spans="30:30" x14ac:dyDescent="0.25">
      <c r="AD25753"/>
    </row>
    <row r="25754" spans="30:30" x14ac:dyDescent="0.25">
      <c r="AD25754"/>
    </row>
    <row r="25755" spans="30:30" x14ac:dyDescent="0.25">
      <c r="AD25755"/>
    </row>
    <row r="25756" spans="30:30" x14ac:dyDescent="0.25">
      <c r="AD25756"/>
    </row>
    <row r="25757" spans="30:30" x14ac:dyDescent="0.25">
      <c r="AD25757"/>
    </row>
    <row r="25758" spans="30:30" x14ac:dyDescent="0.25">
      <c r="AD25758"/>
    </row>
    <row r="25759" spans="30:30" x14ac:dyDescent="0.25">
      <c r="AD25759"/>
    </row>
    <row r="25760" spans="30:30" x14ac:dyDescent="0.25">
      <c r="AD25760"/>
    </row>
    <row r="25761" spans="30:30" x14ac:dyDescent="0.25">
      <c r="AD25761"/>
    </row>
    <row r="25762" spans="30:30" x14ac:dyDescent="0.25">
      <c r="AD25762"/>
    </row>
    <row r="25763" spans="30:30" x14ac:dyDescent="0.25">
      <c r="AD25763"/>
    </row>
    <row r="25764" spans="30:30" x14ac:dyDescent="0.25">
      <c r="AD25764"/>
    </row>
    <row r="25765" spans="30:30" x14ac:dyDescent="0.25">
      <c r="AD25765"/>
    </row>
    <row r="25766" spans="30:30" x14ac:dyDescent="0.25">
      <c r="AD25766"/>
    </row>
    <row r="25767" spans="30:30" x14ac:dyDescent="0.25">
      <c r="AD25767"/>
    </row>
    <row r="25768" spans="30:30" x14ac:dyDescent="0.25">
      <c r="AD25768"/>
    </row>
    <row r="25769" spans="30:30" x14ac:dyDescent="0.25">
      <c r="AD25769"/>
    </row>
    <row r="25770" spans="30:30" x14ac:dyDescent="0.25">
      <c r="AD25770"/>
    </row>
    <row r="25771" spans="30:30" x14ac:dyDescent="0.25">
      <c r="AD25771"/>
    </row>
    <row r="25772" spans="30:30" x14ac:dyDescent="0.25">
      <c r="AD25772"/>
    </row>
    <row r="25773" spans="30:30" x14ac:dyDescent="0.25">
      <c r="AD25773"/>
    </row>
    <row r="25774" spans="30:30" x14ac:dyDescent="0.25">
      <c r="AD25774"/>
    </row>
    <row r="25775" spans="30:30" x14ac:dyDescent="0.25">
      <c r="AD25775"/>
    </row>
    <row r="25776" spans="30:30" x14ac:dyDescent="0.25">
      <c r="AD25776"/>
    </row>
    <row r="25777" spans="30:30" x14ac:dyDescent="0.25">
      <c r="AD25777"/>
    </row>
    <row r="25778" spans="30:30" x14ac:dyDescent="0.25">
      <c r="AD25778"/>
    </row>
    <row r="25779" spans="30:30" x14ac:dyDescent="0.25">
      <c r="AD25779"/>
    </row>
    <row r="25780" spans="30:30" x14ac:dyDescent="0.25">
      <c r="AD25780"/>
    </row>
    <row r="25781" spans="30:30" x14ac:dyDescent="0.25">
      <c r="AD25781"/>
    </row>
    <row r="25782" spans="30:30" x14ac:dyDescent="0.25">
      <c r="AD25782"/>
    </row>
    <row r="25783" spans="30:30" x14ac:dyDescent="0.25">
      <c r="AD25783"/>
    </row>
    <row r="25784" spans="30:30" x14ac:dyDescent="0.25">
      <c r="AD25784"/>
    </row>
    <row r="25785" spans="30:30" x14ac:dyDescent="0.25">
      <c r="AD25785"/>
    </row>
    <row r="25786" spans="30:30" x14ac:dyDescent="0.25">
      <c r="AD25786"/>
    </row>
    <row r="25787" spans="30:30" x14ac:dyDescent="0.25">
      <c r="AD25787"/>
    </row>
    <row r="25788" spans="30:30" x14ac:dyDescent="0.25">
      <c r="AD25788"/>
    </row>
    <row r="25789" spans="30:30" x14ac:dyDescent="0.25">
      <c r="AD25789"/>
    </row>
    <row r="25790" spans="30:30" x14ac:dyDescent="0.25">
      <c r="AD25790"/>
    </row>
    <row r="25791" spans="30:30" x14ac:dyDescent="0.25">
      <c r="AD25791"/>
    </row>
    <row r="25792" spans="30:30" x14ac:dyDescent="0.25">
      <c r="AD25792"/>
    </row>
    <row r="25793" spans="30:30" x14ac:dyDescent="0.25">
      <c r="AD25793"/>
    </row>
    <row r="25794" spans="30:30" x14ac:dyDescent="0.25">
      <c r="AD25794"/>
    </row>
    <row r="25795" spans="30:30" x14ac:dyDescent="0.25">
      <c r="AD25795"/>
    </row>
    <row r="25796" spans="30:30" x14ac:dyDescent="0.25">
      <c r="AD25796"/>
    </row>
    <row r="25797" spans="30:30" x14ac:dyDescent="0.25">
      <c r="AD25797"/>
    </row>
    <row r="25798" spans="30:30" x14ac:dyDescent="0.25">
      <c r="AD25798"/>
    </row>
    <row r="25799" spans="30:30" x14ac:dyDescent="0.25">
      <c r="AD25799"/>
    </row>
    <row r="25800" spans="30:30" x14ac:dyDescent="0.25">
      <c r="AD25800"/>
    </row>
    <row r="25801" spans="30:30" x14ac:dyDescent="0.25">
      <c r="AD25801"/>
    </row>
    <row r="25802" spans="30:30" x14ac:dyDescent="0.25">
      <c r="AD25802"/>
    </row>
    <row r="25803" spans="30:30" x14ac:dyDescent="0.25">
      <c r="AD25803"/>
    </row>
    <row r="25804" spans="30:30" x14ac:dyDescent="0.25">
      <c r="AD25804"/>
    </row>
    <row r="25805" spans="30:30" x14ac:dyDescent="0.25">
      <c r="AD25805"/>
    </row>
    <row r="25806" spans="30:30" x14ac:dyDescent="0.25">
      <c r="AD25806"/>
    </row>
    <row r="25807" spans="30:30" x14ac:dyDescent="0.25">
      <c r="AD25807"/>
    </row>
    <row r="25808" spans="30:30" x14ac:dyDescent="0.25">
      <c r="AD25808"/>
    </row>
    <row r="25809" spans="30:30" x14ac:dyDescent="0.25">
      <c r="AD25809"/>
    </row>
    <row r="25810" spans="30:30" x14ac:dyDescent="0.25">
      <c r="AD25810"/>
    </row>
    <row r="25811" spans="30:30" x14ac:dyDescent="0.25">
      <c r="AD25811"/>
    </row>
    <row r="25812" spans="30:30" x14ac:dyDescent="0.25">
      <c r="AD25812"/>
    </row>
    <row r="25813" spans="30:30" x14ac:dyDescent="0.25">
      <c r="AD25813"/>
    </row>
    <row r="25814" spans="30:30" x14ac:dyDescent="0.25">
      <c r="AD25814"/>
    </row>
    <row r="25815" spans="30:30" x14ac:dyDescent="0.25">
      <c r="AD25815"/>
    </row>
    <row r="25816" spans="30:30" x14ac:dyDescent="0.25">
      <c r="AD25816"/>
    </row>
    <row r="25817" spans="30:30" x14ac:dyDescent="0.25">
      <c r="AD25817"/>
    </row>
    <row r="25818" spans="30:30" x14ac:dyDescent="0.25">
      <c r="AD25818"/>
    </row>
    <row r="25819" spans="30:30" x14ac:dyDescent="0.25">
      <c r="AD25819"/>
    </row>
    <row r="25820" spans="30:30" x14ac:dyDescent="0.25">
      <c r="AD25820"/>
    </row>
    <row r="25821" spans="30:30" x14ac:dyDescent="0.25">
      <c r="AD25821"/>
    </row>
    <row r="25822" spans="30:30" x14ac:dyDescent="0.25">
      <c r="AD25822"/>
    </row>
    <row r="25823" spans="30:30" x14ac:dyDescent="0.25">
      <c r="AD25823"/>
    </row>
    <row r="25824" spans="30:30" x14ac:dyDescent="0.25">
      <c r="AD25824"/>
    </row>
    <row r="25825" spans="30:30" x14ac:dyDescent="0.25">
      <c r="AD25825"/>
    </row>
    <row r="25826" spans="30:30" x14ac:dyDescent="0.25">
      <c r="AD25826"/>
    </row>
    <row r="25827" spans="30:30" x14ac:dyDescent="0.25">
      <c r="AD25827"/>
    </row>
    <row r="25828" spans="30:30" x14ac:dyDescent="0.25">
      <c r="AD25828"/>
    </row>
    <row r="25829" spans="30:30" x14ac:dyDescent="0.25">
      <c r="AD25829"/>
    </row>
    <row r="25830" spans="30:30" x14ac:dyDescent="0.25">
      <c r="AD25830"/>
    </row>
    <row r="25831" spans="30:30" x14ac:dyDescent="0.25">
      <c r="AD25831"/>
    </row>
    <row r="25832" spans="30:30" x14ac:dyDescent="0.25">
      <c r="AD25832"/>
    </row>
    <row r="25833" spans="30:30" x14ac:dyDescent="0.25">
      <c r="AD25833"/>
    </row>
    <row r="25834" spans="30:30" x14ac:dyDescent="0.25">
      <c r="AD25834"/>
    </row>
    <row r="25835" spans="30:30" x14ac:dyDescent="0.25">
      <c r="AD25835"/>
    </row>
    <row r="25836" spans="30:30" x14ac:dyDescent="0.25">
      <c r="AD25836"/>
    </row>
    <row r="25837" spans="30:30" x14ac:dyDescent="0.25">
      <c r="AD25837"/>
    </row>
    <row r="25838" spans="30:30" x14ac:dyDescent="0.25">
      <c r="AD25838"/>
    </row>
    <row r="25839" spans="30:30" x14ac:dyDescent="0.25">
      <c r="AD25839"/>
    </row>
    <row r="25840" spans="30:30" x14ac:dyDescent="0.25">
      <c r="AD25840"/>
    </row>
    <row r="25841" spans="30:30" x14ac:dyDescent="0.25">
      <c r="AD25841"/>
    </row>
    <row r="25842" spans="30:30" x14ac:dyDescent="0.25">
      <c r="AD25842"/>
    </row>
    <row r="25843" spans="30:30" x14ac:dyDescent="0.25">
      <c r="AD25843"/>
    </row>
    <row r="25844" spans="30:30" x14ac:dyDescent="0.25">
      <c r="AD25844"/>
    </row>
    <row r="25845" spans="30:30" x14ac:dyDescent="0.25">
      <c r="AD25845"/>
    </row>
    <row r="25846" spans="30:30" x14ac:dyDescent="0.25">
      <c r="AD25846"/>
    </row>
    <row r="25847" spans="30:30" x14ac:dyDescent="0.25">
      <c r="AD25847"/>
    </row>
    <row r="25848" spans="30:30" x14ac:dyDescent="0.25">
      <c r="AD25848"/>
    </row>
    <row r="25849" spans="30:30" x14ac:dyDescent="0.25">
      <c r="AD25849"/>
    </row>
    <row r="25850" spans="30:30" x14ac:dyDescent="0.25">
      <c r="AD25850"/>
    </row>
    <row r="25851" spans="30:30" x14ac:dyDescent="0.25">
      <c r="AD25851"/>
    </row>
    <row r="25852" spans="30:30" x14ac:dyDescent="0.25">
      <c r="AD25852"/>
    </row>
    <row r="25853" spans="30:30" x14ac:dyDescent="0.25">
      <c r="AD25853"/>
    </row>
    <row r="25854" spans="30:30" x14ac:dyDescent="0.25">
      <c r="AD25854"/>
    </row>
    <row r="25855" spans="30:30" x14ac:dyDescent="0.25">
      <c r="AD25855"/>
    </row>
    <row r="25856" spans="30:30" x14ac:dyDescent="0.25">
      <c r="AD25856"/>
    </row>
    <row r="25857" spans="30:30" x14ac:dyDescent="0.25">
      <c r="AD25857"/>
    </row>
    <row r="25858" spans="30:30" x14ac:dyDescent="0.25">
      <c r="AD25858"/>
    </row>
    <row r="25859" spans="30:30" x14ac:dyDescent="0.25">
      <c r="AD25859"/>
    </row>
    <row r="25860" spans="30:30" x14ac:dyDescent="0.25">
      <c r="AD25860"/>
    </row>
    <row r="25861" spans="30:30" x14ac:dyDescent="0.25">
      <c r="AD25861"/>
    </row>
    <row r="25862" spans="30:30" x14ac:dyDescent="0.25">
      <c r="AD25862"/>
    </row>
    <row r="25863" spans="30:30" x14ac:dyDescent="0.25">
      <c r="AD25863"/>
    </row>
    <row r="25864" spans="30:30" x14ac:dyDescent="0.25">
      <c r="AD25864"/>
    </row>
    <row r="25865" spans="30:30" x14ac:dyDescent="0.25">
      <c r="AD25865"/>
    </row>
    <row r="25866" spans="30:30" x14ac:dyDescent="0.25">
      <c r="AD25866"/>
    </row>
    <row r="25867" spans="30:30" x14ac:dyDescent="0.25">
      <c r="AD25867"/>
    </row>
    <row r="25868" spans="30:30" x14ac:dyDescent="0.25">
      <c r="AD25868"/>
    </row>
    <row r="25869" spans="30:30" x14ac:dyDescent="0.25">
      <c r="AD25869"/>
    </row>
    <row r="25870" spans="30:30" x14ac:dyDescent="0.25">
      <c r="AD25870"/>
    </row>
    <row r="25871" spans="30:30" x14ac:dyDescent="0.25">
      <c r="AD25871"/>
    </row>
    <row r="25872" spans="30:30" x14ac:dyDescent="0.25">
      <c r="AD25872"/>
    </row>
    <row r="25873" spans="30:30" x14ac:dyDescent="0.25">
      <c r="AD25873"/>
    </row>
    <row r="25874" spans="30:30" x14ac:dyDescent="0.25">
      <c r="AD25874"/>
    </row>
    <row r="25875" spans="30:30" x14ac:dyDescent="0.25">
      <c r="AD25875"/>
    </row>
    <row r="25876" spans="30:30" x14ac:dyDescent="0.25">
      <c r="AD25876"/>
    </row>
    <row r="25877" spans="30:30" x14ac:dyDescent="0.25">
      <c r="AD25877"/>
    </row>
    <row r="25878" spans="30:30" x14ac:dyDescent="0.25">
      <c r="AD25878"/>
    </row>
    <row r="25879" spans="30:30" x14ac:dyDescent="0.25">
      <c r="AD25879"/>
    </row>
    <row r="25880" spans="30:30" x14ac:dyDescent="0.25">
      <c r="AD25880"/>
    </row>
    <row r="25881" spans="30:30" x14ac:dyDescent="0.25">
      <c r="AD25881"/>
    </row>
    <row r="25882" spans="30:30" x14ac:dyDescent="0.25">
      <c r="AD25882"/>
    </row>
    <row r="25883" spans="30:30" x14ac:dyDescent="0.25">
      <c r="AD25883"/>
    </row>
    <row r="25884" spans="30:30" x14ac:dyDescent="0.25">
      <c r="AD25884"/>
    </row>
    <row r="25885" spans="30:30" x14ac:dyDescent="0.25">
      <c r="AD25885"/>
    </row>
    <row r="25886" spans="30:30" x14ac:dyDescent="0.25">
      <c r="AD25886"/>
    </row>
    <row r="25887" spans="30:30" x14ac:dyDescent="0.25">
      <c r="AD25887"/>
    </row>
    <row r="25888" spans="30:30" x14ac:dyDescent="0.25">
      <c r="AD25888"/>
    </row>
    <row r="25889" spans="30:30" x14ac:dyDescent="0.25">
      <c r="AD25889"/>
    </row>
    <row r="25890" spans="30:30" x14ac:dyDescent="0.25">
      <c r="AD25890"/>
    </row>
    <row r="25891" spans="30:30" x14ac:dyDescent="0.25">
      <c r="AD25891"/>
    </row>
    <row r="25892" spans="30:30" x14ac:dyDescent="0.25">
      <c r="AD25892"/>
    </row>
    <row r="25893" spans="30:30" x14ac:dyDescent="0.25">
      <c r="AD25893"/>
    </row>
    <row r="25894" spans="30:30" x14ac:dyDescent="0.25">
      <c r="AD25894"/>
    </row>
    <row r="25895" spans="30:30" x14ac:dyDescent="0.25">
      <c r="AD25895"/>
    </row>
    <row r="25896" spans="30:30" x14ac:dyDescent="0.25">
      <c r="AD25896"/>
    </row>
    <row r="25897" spans="30:30" x14ac:dyDescent="0.25">
      <c r="AD25897"/>
    </row>
    <row r="25898" spans="30:30" x14ac:dyDescent="0.25">
      <c r="AD25898"/>
    </row>
    <row r="25899" spans="30:30" x14ac:dyDescent="0.25">
      <c r="AD25899"/>
    </row>
    <row r="25900" spans="30:30" x14ac:dyDescent="0.25">
      <c r="AD25900"/>
    </row>
    <row r="25901" spans="30:30" x14ac:dyDescent="0.25">
      <c r="AD25901"/>
    </row>
    <row r="25902" spans="30:30" x14ac:dyDescent="0.25">
      <c r="AD25902"/>
    </row>
    <row r="25903" spans="30:30" x14ac:dyDescent="0.25">
      <c r="AD25903"/>
    </row>
    <row r="25904" spans="30:30" x14ac:dyDescent="0.25">
      <c r="AD25904"/>
    </row>
    <row r="25905" spans="30:30" x14ac:dyDescent="0.25">
      <c r="AD25905"/>
    </row>
    <row r="25906" spans="30:30" x14ac:dyDescent="0.25">
      <c r="AD25906"/>
    </row>
    <row r="25907" spans="30:30" x14ac:dyDescent="0.25">
      <c r="AD25907"/>
    </row>
    <row r="25908" spans="30:30" x14ac:dyDescent="0.25">
      <c r="AD25908"/>
    </row>
    <row r="25909" spans="30:30" x14ac:dyDescent="0.25">
      <c r="AD25909"/>
    </row>
    <row r="25910" spans="30:30" x14ac:dyDescent="0.25">
      <c r="AD25910"/>
    </row>
    <row r="25911" spans="30:30" x14ac:dyDescent="0.25">
      <c r="AD25911"/>
    </row>
    <row r="25912" spans="30:30" x14ac:dyDescent="0.25">
      <c r="AD25912"/>
    </row>
    <row r="25913" spans="30:30" x14ac:dyDescent="0.25">
      <c r="AD25913"/>
    </row>
    <row r="25914" spans="30:30" x14ac:dyDescent="0.25">
      <c r="AD25914"/>
    </row>
    <row r="25915" spans="30:30" x14ac:dyDescent="0.25">
      <c r="AD25915"/>
    </row>
    <row r="25916" spans="30:30" x14ac:dyDescent="0.25">
      <c r="AD25916"/>
    </row>
    <row r="25917" spans="30:30" x14ac:dyDescent="0.25">
      <c r="AD25917"/>
    </row>
    <row r="25918" spans="30:30" x14ac:dyDescent="0.25">
      <c r="AD25918"/>
    </row>
    <row r="25919" spans="30:30" x14ac:dyDescent="0.25">
      <c r="AD25919"/>
    </row>
    <row r="25920" spans="30:30" x14ac:dyDescent="0.25">
      <c r="AD25920"/>
    </row>
    <row r="25921" spans="30:30" x14ac:dyDescent="0.25">
      <c r="AD25921"/>
    </row>
    <row r="25922" spans="30:30" x14ac:dyDescent="0.25">
      <c r="AD25922"/>
    </row>
    <row r="25923" spans="30:30" x14ac:dyDescent="0.25">
      <c r="AD25923"/>
    </row>
    <row r="25924" spans="30:30" x14ac:dyDescent="0.25">
      <c r="AD25924"/>
    </row>
    <row r="25925" spans="30:30" x14ac:dyDescent="0.25">
      <c r="AD25925"/>
    </row>
    <row r="25926" spans="30:30" x14ac:dyDescent="0.25">
      <c r="AD25926"/>
    </row>
    <row r="25927" spans="30:30" x14ac:dyDescent="0.25">
      <c r="AD25927"/>
    </row>
    <row r="25928" spans="30:30" x14ac:dyDescent="0.25">
      <c r="AD25928"/>
    </row>
    <row r="25929" spans="30:30" x14ac:dyDescent="0.25">
      <c r="AD25929"/>
    </row>
    <row r="25930" spans="30:30" x14ac:dyDescent="0.25">
      <c r="AD25930"/>
    </row>
    <row r="25931" spans="30:30" x14ac:dyDescent="0.25">
      <c r="AD25931"/>
    </row>
    <row r="25932" spans="30:30" x14ac:dyDescent="0.25">
      <c r="AD25932"/>
    </row>
    <row r="25933" spans="30:30" x14ac:dyDescent="0.25">
      <c r="AD25933"/>
    </row>
    <row r="25934" spans="30:30" x14ac:dyDescent="0.25">
      <c r="AD25934"/>
    </row>
    <row r="25935" spans="30:30" x14ac:dyDescent="0.25">
      <c r="AD25935"/>
    </row>
    <row r="25936" spans="30:30" x14ac:dyDescent="0.25">
      <c r="AD25936"/>
    </row>
    <row r="25937" spans="30:30" x14ac:dyDescent="0.25">
      <c r="AD25937"/>
    </row>
    <row r="25938" spans="30:30" x14ac:dyDescent="0.25">
      <c r="AD25938"/>
    </row>
    <row r="25939" spans="30:30" x14ac:dyDescent="0.25">
      <c r="AD25939"/>
    </row>
    <row r="25940" spans="30:30" x14ac:dyDescent="0.25">
      <c r="AD25940"/>
    </row>
    <row r="25941" spans="30:30" x14ac:dyDescent="0.25">
      <c r="AD25941"/>
    </row>
    <row r="25942" spans="30:30" x14ac:dyDescent="0.25">
      <c r="AD25942"/>
    </row>
    <row r="25943" spans="30:30" x14ac:dyDescent="0.25">
      <c r="AD25943"/>
    </row>
    <row r="25944" spans="30:30" x14ac:dyDescent="0.25">
      <c r="AD25944"/>
    </row>
    <row r="25945" spans="30:30" x14ac:dyDescent="0.25">
      <c r="AD25945"/>
    </row>
    <row r="25946" spans="30:30" x14ac:dyDescent="0.25">
      <c r="AD25946"/>
    </row>
    <row r="25947" spans="30:30" x14ac:dyDescent="0.25">
      <c r="AD25947"/>
    </row>
    <row r="25948" spans="30:30" x14ac:dyDescent="0.25">
      <c r="AD25948"/>
    </row>
    <row r="25949" spans="30:30" x14ac:dyDescent="0.25">
      <c r="AD25949"/>
    </row>
    <row r="25950" spans="30:30" x14ac:dyDescent="0.25">
      <c r="AD25950"/>
    </row>
    <row r="25951" spans="30:30" x14ac:dyDescent="0.25">
      <c r="AD25951"/>
    </row>
    <row r="25952" spans="30:30" x14ac:dyDescent="0.25">
      <c r="AD25952"/>
    </row>
    <row r="25953" spans="30:30" x14ac:dyDescent="0.25">
      <c r="AD25953"/>
    </row>
    <row r="25954" spans="30:30" x14ac:dyDescent="0.25">
      <c r="AD25954"/>
    </row>
    <row r="25955" spans="30:30" x14ac:dyDescent="0.25">
      <c r="AD25955"/>
    </row>
    <row r="25956" spans="30:30" x14ac:dyDescent="0.25">
      <c r="AD25956"/>
    </row>
    <row r="25957" spans="30:30" x14ac:dyDescent="0.25">
      <c r="AD25957"/>
    </row>
    <row r="25958" spans="30:30" x14ac:dyDescent="0.25">
      <c r="AD25958"/>
    </row>
    <row r="25959" spans="30:30" x14ac:dyDescent="0.25">
      <c r="AD25959"/>
    </row>
    <row r="25960" spans="30:30" x14ac:dyDescent="0.25">
      <c r="AD25960"/>
    </row>
    <row r="25961" spans="30:30" x14ac:dyDescent="0.25">
      <c r="AD25961"/>
    </row>
    <row r="25962" spans="30:30" x14ac:dyDescent="0.25">
      <c r="AD25962"/>
    </row>
    <row r="25963" spans="30:30" x14ac:dyDescent="0.25">
      <c r="AD25963"/>
    </row>
    <row r="25964" spans="30:30" x14ac:dyDescent="0.25">
      <c r="AD25964"/>
    </row>
    <row r="25965" spans="30:30" x14ac:dyDescent="0.25">
      <c r="AD25965"/>
    </row>
    <row r="25966" spans="30:30" x14ac:dyDescent="0.25">
      <c r="AD25966"/>
    </row>
    <row r="25967" spans="30:30" x14ac:dyDescent="0.25">
      <c r="AD25967"/>
    </row>
    <row r="25968" spans="30:30" x14ac:dyDescent="0.25">
      <c r="AD25968"/>
    </row>
    <row r="25969" spans="30:30" x14ac:dyDescent="0.25">
      <c r="AD25969"/>
    </row>
    <row r="25970" spans="30:30" x14ac:dyDescent="0.25">
      <c r="AD25970"/>
    </row>
    <row r="25971" spans="30:30" x14ac:dyDescent="0.25">
      <c r="AD25971"/>
    </row>
    <row r="25972" spans="30:30" x14ac:dyDescent="0.25">
      <c r="AD25972"/>
    </row>
    <row r="25973" spans="30:30" x14ac:dyDescent="0.25">
      <c r="AD25973"/>
    </row>
    <row r="25974" spans="30:30" x14ac:dyDescent="0.25">
      <c r="AD25974"/>
    </row>
    <row r="25975" spans="30:30" x14ac:dyDescent="0.25">
      <c r="AD25975"/>
    </row>
    <row r="25976" spans="30:30" x14ac:dyDescent="0.25">
      <c r="AD25976"/>
    </row>
    <row r="25977" spans="30:30" x14ac:dyDescent="0.25">
      <c r="AD25977"/>
    </row>
    <row r="25978" spans="30:30" x14ac:dyDescent="0.25">
      <c r="AD25978"/>
    </row>
    <row r="25979" spans="30:30" x14ac:dyDescent="0.25">
      <c r="AD25979"/>
    </row>
    <row r="25980" spans="30:30" x14ac:dyDescent="0.25">
      <c r="AD25980"/>
    </row>
    <row r="25981" spans="30:30" x14ac:dyDescent="0.25">
      <c r="AD25981"/>
    </row>
    <row r="25982" spans="30:30" x14ac:dyDescent="0.25">
      <c r="AD25982"/>
    </row>
    <row r="25983" spans="30:30" x14ac:dyDescent="0.25">
      <c r="AD25983"/>
    </row>
    <row r="25984" spans="30:30" x14ac:dyDescent="0.25">
      <c r="AD25984"/>
    </row>
    <row r="25985" spans="30:30" x14ac:dyDescent="0.25">
      <c r="AD25985"/>
    </row>
    <row r="25986" spans="30:30" x14ac:dyDescent="0.25">
      <c r="AD25986"/>
    </row>
    <row r="25987" spans="30:30" x14ac:dyDescent="0.25">
      <c r="AD25987"/>
    </row>
    <row r="25988" spans="30:30" x14ac:dyDescent="0.25">
      <c r="AD25988"/>
    </row>
    <row r="25989" spans="30:30" x14ac:dyDescent="0.25">
      <c r="AD25989"/>
    </row>
    <row r="25990" spans="30:30" x14ac:dyDescent="0.25">
      <c r="AD25990"/>
    </row>
    <row r="25991" spans="30:30" x14ac:dyDescent="0.25">
      <c r="AD25991"/>
    </row>
    <row r="25992" spans="30:30" x14ac:dyDescent="0.25">
      <c r="AD25992"/>
    </row>
    <row r="25993" spans="30:30" x14ac:dyDescent="0.25">
      <c r="AD25993"/>
    </row>
    <row r="25994" spans="30:30" x14ac:dyDescent="0.25">
      <c r="AD25994"/>
    </row>
    <row r="25995" spans="30:30" x14ac:dyDescent="0.25">
      <c r="AD25995"/>
    </row>
    <row r="25996" spans="30:30" x14ac:dyDescent="0.25">
      <c r="AD25996"/>
    </row>
    <row r="25997" spans="30:30" x14ac:dyDescent="0.25">
      <c r="AD25997"/>
    </row>
    <row r="25998" spans="30:30" x14ac:dyDescent="0.25">
      <c r="AD25998"/>
    </row>
    <row r="25999" spans="30:30" x14ac:dyDescent="0.25">
      <c r="AD25999"/>
    </row>
    <row r="26000" spans="30:30" x14ac:dyDescent="0.25">
      <c r="AD26000"/>
    </row>
    <row r="26001" spans="30:30" x14ac:dyDescent="0.25">
      <c r="AD26001"/>
    </row>
    <row r="26002" spans="30:30" x14ac:dyDescent="0.25">
      <c r="AD26002"/>
    </row>
    <row r="26003" spans="30:30" x14ac:dyDescent="0.25">
      <c r="AD26003"/>
    </row>
    <row r="26004" spans="30:30" x14ac:dyDescent="0.25">
      <c r="AD26004"/>
    </row>
    <row r="26005" spans="30:30" x14ac:dyDescent="0.25">
      <c r="AD26005"/>
    </row>
    <row r="26006" spans="30:30" x14ac:dyDescent="0.25">
      <c r="AD26006"/>
    </row>
    <row r="26007" spans="30:30" x14ac:dyDescent="0.25">
      <c r="AD26007"/>
    </row>
    <row r="26008" spans="30:30" x14ac:dyDescent="0.25">
      <c r="AD26008"/>
    </row>
    <row r="26009" spans="30:30" x14ac:dyDescent="0.25">
      <c r="AD26009"/>
    </row>
    <row r="26010" spans="30:30" x14ac:dyDescent="0.25">
      <c r="AD26010"/>
    </row>
    <row r="26011" spans="30:30" x14ac:dyDescent="0.25">
      <c r="AD26011"/>
    </row>
    <row r="26012" spans="30:30" x14ac:dyDescent="0.25">
      <c r="AD26012"/>
    </row>
    <row r="26013" spans="30:30" x14ac:dyDescent="0.25">
      <c r="AD26013"/>
    </row>
    <row r="26014" spans="30:30" x14ac:dyDescent="0.25">
      <c r="AD26014"/>
    </row>
    <row r="26015" spans="30:30" x14ac:dyDescent="0.25">
      <c r="AD26015"/>
    </row>
    <row r="26016" spans="30:30" x14ac:dyDescent="0.25">
      <c r="AD26016"/>
    </row>
    <row r="26017" spans="30:30" x14ac:dyDescent="0.25">
      <c r="AD26017"/>
    </row>
    <row r="26018" spans="30:30" x14ac:dyDescent="0.25">
      <c r="AD26018"/>
    </row>
    <row r="26019" spans="30:30" x14ac:dyDescent="0.25">
      <c r="AD26019"/>
    </row>
    <row r="26020" spans="30:30" x14ac:dyDescent="0.25">
      <c r="AD26020"/>
    </row>
    <row r="26021" spans="30:30" x14ac:dyDescent="0.25">
      <c r="AD26021"/>
    </row>
    <row r="26022" spans="30:30" x14ac:dyDescent="0.25">
      <c r="AD26022"/>
    </row>
    <row r="26023" spans="30:30" x14ac:dyDescent="0.25">
      <c r="AD26023"/>
    </row>
    <row r="26024" spans="30:30" x14ac:dyDescent="0.25">
      <c r="AD26024"/>
    </row>
    <row r="26025" spans="30:30" x14ac:dyDescent="0.25">
      <c r="AD26025"/>
    </row>
    <row r="26026" spans="30:30" x14ac:dyDescent="0.25">
      <c r="AD26026"/>
    </row>
    <row r="26027" spans="30:30" x14ac:dyDescent="0.25">
      <c r="AD26027"/>
    </row>
    <row r="26028" spans="30:30" x14ac:dyDescent="0.25">
      <c r="AD26028"/>
    </row>
    <row r="26029" spans="30:30" x14ac:dyDescent="0.25">
      <c r="AD26029"/>
    </row>
    <row r="26030" spans="30:30" x14ac:dyDescent="0.25">
      <c r="AD26030"/>
    </row>
    <row r="26031" spans="30:30" x14ac:dyDescent="0.25">
      <c r="AD26031"/>
    </row>
    <row r="26032" spans="30:30" x14ac:dyDescent="0.25">
      <c r="AD26032"/>
    </row>
    <row r="26033" spans="30:30" x14ac:dyDescent="0.25">
      <c r="AD26033"/>
    </row>
    <row r="26034" spans="30:30" x14ac:dyDescent="0.25">
      <c r="AD26034"/>
    </row>
    <row r="26035" spans="30:30" x14ac:dyDescent="0.25">
      <c r="AD26035"/>
    </row>
    <row r="26036" spans="30:30" x14ac:dyDescent="0.25">
      <c r="AD26036"/>
    </row>
    <row r="26037" spans="30:30" x14ac:dyDescent="0.25">
      <c r="AD26037"/>
    </row>
    <row r="26038" spans="30:30" x14ac:dyDescent="0.25">
      <c r="AD26038"/>
    </row>
    <row r="26039" spans="30:30" x14ac:dyDescent="0.25">
      <c r="AD26039"/>
    </row>
    <row r="26040" spans="30:30" x14ac:dyDescent="0.25">
      <c r="AD26040"/>
    </row>
    <row r="26041" spans="30:30" x14ac:dyDescent="0.25">
      <c r="AD26041"/>
    </row>
    <row r="26042" spans="30:30" x14ac:dyDescent="0.25">
      <c r="AD26042"/>
    </row>
    <row r="26043" spans="30:30" x14ac:dyDescent="0.25">
      <c r="AD26043"/>
    </row>
    <row r="26044" spans="30:30" x14ac:dyDescent="0.25">
      <c r="AD26044"/>
    </row>
    <row r="26045" spans="30:30" x14ac:dyDescent="0.25">
      <c r="AD26045"/>
    </row>
    <row r="26046" spans="30:30" x14ac:dyDescent="0.25">
      <c r="AD26046"/>
    </row>
    <row r="26047" spans="30:30" x14ac:dyDescent="0.25">
      <c r="AD26047"/>
    </row>
    <row r="26048" spans="30:30" x14ac:dyDescent="0.25">
      <c r="AD26048"/>
    </row>
    <row r="26049" spans="30:30" x14ac:dyDescent="0.25">
      <c r="AD26049"/>
    </row>
    <row r="26050" spans="30:30" x14ac:dyDescent="0.25">
      <c r="AD26050"/>
    </row>
    <row r="26051" spans="30:30" x14ac:dyDescent="0.25">
      <c r="AD26051"/>
    </row>
    <row r="26052" spans="30:30" x14ac:dyDescent="0.25">
      <c r="AD26052"/>
    </row>
    <row r="26053" spans="30:30" x14ac:dyDescent="0.25">
      <c r="AD26053"/>
    </row>
    <row r="26054" spans="30:30" x14ac:dyDescent="0.25">
      <c r="AD26054"/>
    </row>
    <row r="26055" spans="30:30" x14ac:dyDescent="0.25">
      <c r="AD26055"/>
    </row>
    <row r="26056" spans="30:30" x14ac:dyDescent="0.25">
      <c r="AD26056"/>
    </row>
    <row r="26057" spans="30:30" x14ac:dyDescent="0.25">
      <c r="AD26057"/>
    </row>
    <row r="26058" spans="30:30" x14ac:dyDescent="0.25">
      <c r="AD26058"/>
    </row>
    <row r="26059" spans="30:30" x14ac:dyDescent="0.25">
      <c r="AD26059"/>
    </row>
    <row r="26060" spans="30:30" x14ac:dyDescent="0.25">
      <c r="AD26060"/>
    </row>
    <row r="26061" spans="30:30" x14ac:dyDescent="0.25">
      <c r="AD26061"/>
    </row>
    <row r="26062" spans="30:30" x14ac:dyDescent="0.25">
      <c r="AD26062"/>
    </row>
    <row r="26063" spans="30:30" x14ac:dyDescent="0.25">
      <c r="AD26063"/>
    </row>
    <row r="26064" spans="30:30" x14ac:dyDescent="0.25">
      <c r="AD26064"/>
    </row>
    <row r="26065" spans="30:30" x14ac:dyDescent="0.25">
      <c r="AD26065"/>
    </row>
    <row r="26066" spans="30:30" x14ac:dyDescent="0.25">
      <c r="AD26066"/>
    </row>
    <row r="26067" spans="30:30" x14ac:dyDescent="0.25">
      <c r="AD26067"/>
    </row>
    <row r="26068" spans="30:30" x14ac:dyDescent="0.25">
      <c r="AD26068"/>
    </row>
    <row r="26069" spans="30:30" x14ac:dyDescent="0.25">
      <c r="AD26069"/>
    </row>
    <row r="26070" spans="30:30" x14ac:dyDescent="0.25">
      <c r="AD26070"/>
    </row>
    <row r="26071" spans="30:30" x14ac:dyDescent="0.25">
      <c r="AD26071"/>
    </row>
    <row r="26072" spans="30:30" x14ac:dyDescent="0.25">
      <c r="AD26072"/>
    </row>
    <row r="26073" spans="30:30" x14ac:dyDescent="0.25">
      <c r="AD26073"/>
    </row>
    <row r="26074" spans="30:30" x14ac:dyDescent="0.25">
      <c r="AD26074"/>
    </row>
    <row r="26075" spans="30:30" x14ac:dyDescent="0.25">
      <c r="AD26075"/>
    </row>
    <row r="26076" spans="30:30" x14ac:dyDescent="0.25">
      <c r="AD26076"/>
    </row>
    <row r="26077" spans="30:30" x14ac:dyDescent="0.25">
      <c r="AD26077"/>
    </row>
    <row r="26078" spans="30:30" x14ac:dyDescent="0.25">
      <c r="AD26078"/>
    </row>
    <row r="26079" spans="30:30" x14ac:dyDescent="0.25">
      <c r="AD26079"/>
    </row>
    <row r="26080" spans="30:30" x14ac:dyDescent="0.25">
      <c r="AD26080"/>
    </row>
    <row r="26081" spans="30:30" x14ac:dyDescent="0.25">
      <c r="AD26081"/>
    </row>
    <row r="26082" spans="30:30" x14ac:dyDescent="0.25">
      <c r="AD26082"/>
    </row>
    <row r="26083" spans="30:30" x14ac:dyDescent="0.25">
      <c r="AD26083"/>
    </row>
    <row r="26084" spans="30:30" x14ac:dyDescent="0.25">
      <c r="AD26084"/>
    </row>
    <row r="26085" spans="30:30" x14ac:dyDescent="0.25">
      <c r="AD26085"/>
    </row>
    <row r="26086" spans="30:30" x14ac:dyDescent="0.25">
      <c r="AD26086"/>
    </row>
    <row r="26087" spans="30:30" x14ac:dyDescent="0.25">
      <c r="AD26087"/>
    </row>
    <row r="26088" spans="30:30" x14ac:dyDescent="0.25">
      <c r="AD26088"/>
    </row>
    <row r="26089" spans="30:30" x14ac:dyDescent="0.25">
      <c r="AD26089"/>
    </row>
    <row r="26090" spans="30:30" x14ac:dyDescent="0.25">
      <c r="AD26090"/>
    </row>
    <row r="26091" spans="30:30" x14ac:dyDescent="0.25">
      <c r="AD26091"/>
    </row>
    <row r="26092" spans="30:30" x14ac:dyDescent="0.25">
      <c r="AD26092"/>
    </row>
    <row r="26093" spans="30:30" x14ac:dyDescent="0.25">
      <c r="AD26093"/>
    </row>
    <row r="26094" spans="30:30" x14ac:dyDescent="0.25">
      <c r="AD26094"/>
    </row>
    <row r="26095" spans="30:30" x14ac:dyDescent="0.25">
      <c r="AD26095"/>
    </row>
    <row r="26096" spans="30:30" x14ac:dyDescent="0.25">
      <c r="AD26096"/>
    </row>
    <row r="26097" spans="30:30" x14ac:dyDescent="0.25">
      <c r="AD26097"/>
    </row>
    <row r="26098" spans="30:30" x14ac:dyDescent="0.25">
      <c r="AD26098"/>
    </row>
    <row r="26099" spans="30:30" x14ac:dyDescent="0.25">
      <c r="AD26099"/>
    </row>
    <row r="26100" spans="30:30" x14ac:dyDescent="0.25">
      <c r="AD26100"/>
    </row>
    <row r="26101" spans="30:30" x14ac:dyDescent="0.25">
      <c r="AD26101"/>
    </row>
    <row r="26102" spans="30:30" x14ac:dyDescent="0.25">
      <c r="AD26102"/>
    </row>
    <row r="26103" spans="30:30" x14ac:dyDescent="0.25">
      <c r="AD26103"/>
    </row>
    <row r="26104" spans="30:30" x14ac:dyDescent="0.25">
      <c r="AD26104"/>
    </row>
    <row r="26105" spans="30:30" x14ac:dyDescent="0.25">
      <c r="AD26105"/>
    </row>
    <row r="26106" spans="30:30" x14ac:dyDescent="0.25">
      <c r="AD26106"/>
    </row>
    <row r="26107" spans="30:30" x14ac:dyDescent="0.25">
      <c r="AD26107"/>
    </row>
    <row r="26108" spans="30:30" x14ac:dyDescent="0.25">
      <c r="AD26108"/>
    </row>
    <row r="26109" spans="30:30" x14ac:dyDescent="0.25">
      <c r="AD26109"/>
    </row>
    <row r="26110" spans="30:30" x14ac:dyDescent="0.25">
      <c r="AD26110"/>
    </row>
    <row r="26111" spans="30:30" x14ac:dyDescent="0.25">
      <c r="AD26111"/>
    </row>
    <row r="26112" spans="30:30" x14ac:dyDescent="0.25">
      <c r="AD26112"/>
    </row>
    <row r="26113" spans="30:30" x14ac:dyDescent="0.25">
      <c r="AD26113"/>
    </row>
    <row r="26114" spans="30:30" x14ac:dyDescent="0.25">
      <c r="AD26114"/>
    </row>
    <row r="26115" spans="30:30" x14ac:dyDescent="0.25">
      <c r="AD26115"/>
    </row>
    <row r="26116" spans="30:30" x14ac:dyDescent="0.25">
      <c r="AD26116"/>
    </row>
    <row r="26117" spans="30:30" x14ac:dyDescent="0.25">
      <c r="AD26117"/>
    </row>
    <row r="26118" spans="30:30" x14ac:dyDescent="0.25">
      <c r="AD26118"/>
    </row>
    <row r="26119" spans="30:30" x14ac:dyDescent="0.25">
      <c r="AD26119"/>
    </row>
    <row r="26120" spans="30:30" x14ac:dyDescent="0.25">
      <c r="AD26120"/>
    </row>
    <row r="26121" spans="30:30" x14ac:dyDescent="0.25">
      <c r="AD26121"/>
    </row>
    <row r="26122" spans="30:30" x14ac:dyDescent="0.25">
      <c r="AD26122"/>
    </row>
    <row r="26123" spans="30:30" x14ac:dyDescent="0.25">
      <c r="AD26123"/>
    </row>
    <row r="26124" spans="30:30" x14ac:dyDescent="0.25">
      <c r="AD26124"/>
    </row>
    <row r="26125" spans="30:30" x14ac:dyDescent="0.25">
      <c r="AD26125"/>
    </row>
    <row r="26126" spans="30:30" x14ac:dyDescent="0.25">
      <c r="AD26126"/>
    </row>
    <row r="26127" spans="30:30" x14ac:dyDescent="0.25">
      <c r="AD26127"/>
    </row>
    <row r="26128" spans="30:30" x14ac:dyDescent="0.25">
      <c r="AD26128"/>
    </row>
    <row r="26129" spans="30:30" x14ac:dyDescent="0.25">
      <c r="AD26129"/>
    </row>
    <row r="26130" spans="30:30" x14ac:dyDescent="0.25">
      <c r="AD26130"/>
    </row>
    <row r="26131" spans="30:30" x14ac:dyDescent="0.25">
      <c r="AD26131"/>
    </row>
    <row r="26132" spans="30:30" x14ac:dyDescent="0.25">
      <c r="AD26132"/>
    </row>
    <row r="26133" spans="30:30" x14ac:dyDescent="0.25">
      <c r="AD26133"/>
    </row>
    <row r="26134" spans="30:30" x14ac:dyDescent="0.25">
      <c r="AD26134"/>
    </row>
    <row r="26135" spans="30:30" x14ac:dyDescent="0.25">
      <c r="AD26135"/>
    </row>
    <row r="26136" spans="30:30" x14ac:dyDescent="0.25">
      <c r="AD26136"/>
    </row>
    <row r="26137" spans="30:30" x14ac:dyDescent="0.25">
      <c r="AD26137"/>
    </row>
    <row r="26138" spans="30:30" x14ac:dyDescent="0.25">
      <c r="AD26138"/>
    </row>
    <row r="26139" spans="30:30" x14ac:dyDescent="0.25">
      <c r="AD26139"/>
    </row>
    <row r="26140" spans="30:30" x14ac:dyDescent="0.25">
      <c r="AD26140"/>
    </row>
    <row r="26141" spans="30:30" x14ac:dyDescent="0.25">
      <c r="AD26141"/>
    </row>
    <row r="26142" spans="30:30" x14ac:dyDescent="0.25">
      <c r="AD26142"/>
    </row>
    <row r="26143" spans="30:30" x14ac:dyDescent="0.25">
      <c r="AD26143"/>
    </row>
    <row r="26144" spans="30:30" x14ac:dyDescent="0.25">
      <c r="AD26144"/>
    </row>
    <row r="26145" spans="30:30" x14ac:dyDescent="0.25">
      <c r="AD26145"/>
    </row>
    <row r="26146" spans="30:30" x14ac:dyDescent="0.25">
      <c r="AD26146"/>
    </row>
    <row r="26147" spans="30:30" x14ac:dyDescent="0.25">
      <c r="AD26147"/>
    </row>
    <row r="26148" spans="30:30" x14ac:dyDescent="0.25">
      <c r="AD26148"/>
    </row>
    <row r="26149" spans="30:30" x14ac:dyDescent="0.25">
      <c r="AD26149"/>
    </row>
    <row r="26150" spans="30:30" x14ac:dyDescent="0.25">
      <c r="AD26150"/>
    </row>
    <row r="26151" spans="30:30" x14ac:dyDescent="0.25">
      <c r="AD26151"/>
    </row>
    <row r="26152" spans="30:30" x14ac:dyDescent="0.25">
      <c r="AD26152"/>
    </row>
    <row r="26153" spans="30:30" x14ac:dyDescent="0.25">
      <c r="AD26153"/>
    </row>
    <row r="26154" spans="30:30" x14ac:dyDescent="0.25">
      <c r="AD26154"/>
    </row>
    <row r="26155" spans="30:30" x14ac:dyDescent="0.25">
      <c r="AD26155"/>
    </row>
    <row r="26156" spans="30:30" x14ac:dyDescent="0.25">
      <c r="AD26156"/>
    </row>
    <row r="26157" spans="30:30" x14ac:dyDescent="0.25">
      <c r="AD26157"/>
    </row>
    <row r="26158" spans="30:30" x14ac:dyDescent="0.25">
      <c r="AD26158"/>
    </row>
    <row r="26159" spans="30:30" x14ac:dyDescent="0.25">
      <c r="AD26159"/>
    </row>
    <row r="26160" spans="30:30" x14ac:dyDescent="0.25">
      <c r="AD26160"/>
    </row>
    <row r="26161" spans="30:30" x14ac:dyDescent="0.25">
      <c r="AD26161"/>
    </row>
    <row r="26162" spans="30:30" x14ac:dyDescent="0.25">
      <c r="AD26162"/>
    </row>
    <row r="26163" spans="30:30" x14ac:dyDescent="0.25">
      <c r="AD26163"/>
    </row>
    <row r="26164" spans="30:30" x14ac:dyDescent="0.25">
      <c r="AD26164"/>
    </row>
    <row r="26165" spans="30:30" x14ac:dyDescent="0.25">
      <c r="AD26165"/>
    </row>
    <row r="26166" spans="30:30" x14ac:dyDescent="0.25">
      <c r="AD26166"/>
    </row>
    <row r="26167" spans="30:30" x14ac:dyDescent="0.25">
      <c r="AD26167"/>
    </row>
    <row r="26168" spans="30:30" x14ac:dyDescent="0.25">
      <c r="AD26168"/>
    </row>
    <row r="26169" spans="30:30" x14ac:dyDescent="0.25">
      <c r="AD26169"/>
    </row>
    <row r="26170" spans="30:30" x14ac:dyDescent="0.25">
      <c r="AD26170"/>
    </row>
    <row r="26171" spans="30:30" x14ac:dyDescent="0.25">
      <c r="AD26171"/>
    </row>
    <row r="26172" spans="30:30" x14ac:dyDescent="0.25">
      <c r="AD26172"/>
    </row>
    <row r="26173" spans="30:30" x14ac:dyDescent="0.25">
      <c r="AD26173"/>
    </row>
    <row r="26174" spans="30:30" x14ac:dyDescent="0.25">
      <c r="AD26174"/>
    </row>
    <row r="26175" spans="30:30" x14ac:dyDescent="0.25">
      <c r="AD26175"/>
    </row>
    <row r="26176" spans="30:30" x14ac:dyDescent="0.25">
      <c r="AD26176"/>
    </row>
    <row r="26177" spans="30:30" x14ac:dyDescent="0.25">
      <c r="AD26177"/>
    </row>
    <row r="26178" spans="30:30" x14ac:dyDescent="0.25">
      <c r="AD26178"/>
    </row>
    <row r="26179" spans="30:30" x14ac:dyDescent="0.25">
      <c r="AD26179"/>
    </row>
    <row r="26180" spans="30:30" x14ac:dyDescent="0.25">
      <c r="AD26180"/>
    </row>
    <row r="26181" spans="30:30" x14ac:dyDescent="0.25">
      <c r="AD26181"/>
    </row>
    <row r="26182" spans="30:30" x14ac:dyDescent="0.25">
      <c r="AD26182"/>
    </row>
    <row r="26183" spans="30:30" x14ac:dyDescent="0.25">
      <c r="AD26183"/>
    </row>
    <row r="26184" spans="30:30" x14ac:dyDescent="0.25">
      <c r="AD26184"/>
    </row>
    <row r="26185" spans="30:30" x14ac:dyDescent="0.25">
      <c r="AD26185"/>
    </row>
    <row r="26186" spans="30:30" x14ac:dyDescent="0.25">
      <c r="AD26186"/>
    </row>
    <row r="26187" spans="30:30" x14ac:dyDescent="0.25">
      <c r="AD26187"/>
    </row>
    <row r="26188" spans="30:30" x14ac:dyDescent="0.25">
      <c r="AD26188"/>
    </row>
    <row r="26189" spans="30:30" x14ac:dyDescent="0.25">
      <c r="AD26189"/>
    </row>
    <row r="26190" spans="30:30" x14ac:dyDescent="0.25">
      <c r="AD26190"/>
    </row>
    <row r="26191" spans="30:30" x14ac:dyDescent="0.25">
      <c r="AD26191"/>
    </row>
    <row r="26192" spans="30:30" x14ac:dyDescent="0.25">
      <c r="AD26192"/>
    </row>
    <row r="26193" spans="30:30" x14ac:dyDescent="0.25">
      <c r="AD26193"/>
    </row>
    <row r="26194" spans="30:30" x14ac:dyDescent="0.25">
      <c r="AD26194"/>
    </row>
    <row r="26195" spans="30:30" x14ac:dyDescent="0.25">
      <c r="AD26195"/>
    </row>
    <row r="26196" spans="30:30" x14ac:dyDescent="0.25">
      <c r="AD26196"/>
    </row>
    <row r="26197" spans="30:30" x14ac:dyDescent="0.25">
      <c r="AD26197"/>
    </row>
    <row r="26198" spans="30:30" x14ac:dyDescent="0.25">
      <c r="AD26198"/>
    </row>
    <row r="26199" spans="30:30" x14ac:dyDescent="0.25">
      <c r="AD26199"/>
    </row>
    <row r="26200" spans="30:30" x14ac:dyDescent="0.25">
      <c r="AD26200"/>
    </row>
    <row r="26201" spans="30:30" x14ac:dyDescent="0.25">
      <c r="AD26201"/>
    </row>
    <row r="26202" spans="30:30" x14ac:dyDescent="0.25">
      <c r="AD26202"/>
    </row>
    <row r="26203" spans="30:30" x14ac:dyDescent="0.25">
      <c r="AD26203"/>
    </row>
    <row r="26204" spans="30:30" x14ac:dyDescent="0.25">
      <c r="AD26204"/>
    </row>
    <row r="26205" spans="30:30" x14ac:dyDescent="0.25">
      <c r="AD26205"/>
    </row>
    <row r="26206" spans="30:30" x14ac:dyDescent="0.25">
      <c r="AD26206"/>
    </row>
    <row r="26207" spans="30:30" x14ac:dyDescent="0.25">
      <c r="AD26207"/>
    </row>
    <row r="26208" spans="30:30" x14ac:dyDescent="0.25">
      <c r="AD26208"/>
    </row>
    <row r="26209" spans="30:30" x14ac:dyDescent="0.25">
      <c r="AD26209"/>
    </row>
    <row r="26210" spans="30:30" x14ac:dyDescent="0.25">
      <c r="AD26210"/>
    </row>
    <row r="26211" spans="30:30" x14ac:dyDescent="0.25">
      <c r="AD26211"/>
    </row>
    <row r="26212" spans="30:30" x14ac:dyDescent="0.25">
      <c r="AD26212"/>
    </row>
    <row r="26213" spans="30:30" x14ac:dyDescent="0.25">
      <c r="AD26213"/>
    </row>
    <row r="26214" spans="30:30" x14ac:dyDescent="0.25">
      <c r="AD26214"/>
    </row>
    <row r="26215" spans="30:30" x14ac:dyDescent="0.25">
      <c r="AD26215"/>
    </row>
    <row r="26216" spans="30:30" x14ac:dyDescent="0.25">
      <c r="AD26216"/>
    </row>
    <row r="26217" spans="30:30" x14ac:dyDescent="0.25">
      <c r="AD26217"/>
    </row>
    <row r="26218" spans="30:30" x14ac:dyDescent="0.25">
      <c r="AD26218"/>
    </row>
    <row r="26219" spans="30:30" x14ac:dyDescent="0.25">
      <c r="AD26219"/>
    </row>
    <row r="26220" spans="30:30" x14ac:dyDescent="0.25">
      <c r="AD26220"/>
    </row>
    <row r="26221" spans="30:30" x14ac:dyDescent="0.25">
      <c r="AD26221"/>
    </row>
    <row r="26222" spans="30:30" x14ac:dyDescent="0.25">
      <c r="AD26222"/>
    </row>
    <row r="26223" spans="30:30" x14ac:dyDescent="0.25">
      <c r="AD26223"/>
    </row>
    <row r="26224" spans="30:30" x14ac:dyDescent="0.25">
      <c r="AD26224"/>
    </row>
    <row r="26225" spans="30:30" x14ac:dyDescent="0.25">
      <c r="AD26225"/>
    </row>
    <row r="26226" spans="30:30" x14ac:dyDescent="0.25">
      <c r="AD26226"/>
    </row>
    <row r="26227" spans="30:30" x14ac:dyDescent="0.25">
      <c r="AD26227"/>
    </row>
    <row r="26228" spans="30:30" x14ac:dyDescent="0.25">
      <c r="AD26228"/>
    </row>
    <row r="26229" spans="30:30" x14ac:dyDescent="0.25">
      <c r="AD26229"/>
    </row>
    <row r="26230" spans="30:30" x14ac:dyDescent="0.25">
      <c r="AD26230"/>
    </row>
    <row r="26231" spans="30:30" x14ac:dyDescent="0.25">
      <c r="AD26231"/>
    </row>
    <row r="26232" spans="30:30" x14ac:dyDescent="0.25">
      <c r="AD26232"/>
    </row>
    <row r="26233" spans="30:30" x14ac:dyDescent="0.25">
      <c r="AD26233"/>
    </row>
    <row r="26234" spans="30:30" x14ac:dyDescent="0.25">
      <c r="AD26234"/>
    </row>
    <row r="26235" spans="30:30" x14ac:dyDescent="0.25">
      <c r="AD26235"/>
    </row>
    <row r="26236" spans="30:30" x14ac:dyDescent="0.25">
      <c r="AD26236"/>
    </row>
    <row r="26237" spans="30:30" x14ac:dyDescent="0.25">
      <c r="AD26237"/>
    </row>
    <row r="26238" spans="30:30" x14ac:dyDescent="0.25">
      <c r="AD26238"/>
    </row>
    <row r="26239" spans="30:30" x14ac:dyDescent="0.25">
      <c r="AD26239"/>
    </row>
    <row r="26240" spans="30:30" x14ac:dyDescent="0.25">
      <c r="AD26240"/>
    </row>
    <row r="26241" spans="30:30" x14ac:dyDescent="0.25">
      <c r="AD26241"/>
    </row>
    <row r="26242" spans="30:30" x14ac:dyDescent="0.25">
      <c r="AD26242"/>
    </row>
    <row r="26243" spans="30:30" x14ac:dyDescent="0.25">
      <c r="AD26243"/>
    </row>
    <row r="26244" spans="30:30" x14ac:dyDescent="0.25">
      <c r="AD26244"/>
    </row>
    <row r="26245" spans="30:30" x14ac:dyDescent="0.25">
      <c r="AD26245"/>
    </row>
    <row r="26246" spans="30:30" x14ac:dyDescent="0.25">
      <c r="AD26246"/>
    </row>
    <row r="26247" spans="30:30" x14ac:dyDescent="0.25">
      <c r="AD26247"/>
    </row>
    <row r="26248" spans="30:30" x14ac:dyDescent="0.25">
      <c r="AD26248"/>
    </row>
    <row r="26249" spans="30:30" x14ac:dyDescent="0.25">
      <c r="AD26249"/>
    </row>
    <row r="26250" spans="30:30" x14ac:dyDescent="0.25">
      <c r="AD26250"/>
    </row>
    <row r="26251" spans="30:30" x14ac:dyDescent="0.25">
      <c r="AD26251"/>
    </row>
    <row r="26252" spans="30:30" x14ac:dyDescent="0.25">
      <c r="AD26252"/>
    </row>
    <row r="26253" spans="30:30" x14ac:dyDescent="0.25">
      <c r="AD26253"/>
    </row>
    <row r="26254" spans="30:30" x14ac:dyDescent="0.25">
      <c r="AD26254"/>
    </row>
    <row r="26255" spans="30:30" x14ac:dyDescent="0.25">
      <c r="AD26255"/>
    </row>
    <row r="26256" spans="30:30" x14ac:dyDescent="0.25">
      <c r="AD26256"/>
    </row>
    <row r="26257" spans="30:30" x14ac:dyDescent="0.25">
      <c r="AD26257"/>
    </row>
    <row r="26258" spans="30:30" x14ac:dyDescent="0.25">
      <c r="AD26258"/>
    </row>
    <row r="26259" spans="30:30" x14ac:dyDescent="0.25">
      <c r="AD26259"/>
    </row>
    <row r="26260" spans="30:30" x14ac:dyDescent="0.25">
      <c r="AD26260"/>
    </row>
    <row r="26261" spans="30:30" x14ac:dyDescent="0.25">
      <c r="AD26261"/>
    </row>
    <row r="26262" spans="30:30" x14ac:dyDescent="0.25">
      <c r="AD26262"/>
    </row>
    <row r="26263" spans="30:30" x14ac:dyDescent="0.25">
      <c r="AD26263"/>
    </row>
    <row r="26264" spans="30:30" x14ac:dyDescent="0.25">
      <c r="AD26264"/>
    </row>
    <row r="26265" spans="30:30" x14ac:dyDescent="0.25">
      <c r="AD26265"/>
    </row>
    <row r="26266" spans="30:30" x14ac:dyDescent="0.25">
      <c r="AD26266"/>
    </row>
    <row r="26267" spans="30:30" x14ac:dyDescent="0.25">
      <c r="AD26267"/>
    </row>
    <row r="26268" spans="30:30" x14ac:dyDescent="0.25">
      <c r="AD26268"/>
    </row>
    <row r="26269" spans="30:30" x14ac:dyDescent="0.25">
      <c r="AD26269"/>
    </row>
    <row r="26270" spans="30:30" x14ac:dyDescent="0.25">
      <c r="AD26270"/>
    </row>
    <row r="26271" spans="30:30" x14ac:dyDescent="0.25">
      <c r="AD26271"/>
    </row>
    <row r="26272" spans="30:30" x14ac:dyDescent="0.25">
      <c r="AD26272"/>
    </row>
    <row r="26273" spans="30:30" x14ac:dyDescent="0.25">
      <c r="AD26273"/>
    </row>
    <row r="26274" spans="30:30" x14ac:dyDescent="0.25">
      <c r="AD26274"/>
    </row>
    <row r="26275" spans="30:30" x14ac:dyDescent="0.25">
      <c r="AD26275"/>
    </row>
    <row r="26276" spans="30:30" x14ac:dyDescent="0.25">
      <c r="AD26276"/>
    </row>
    <row r="26277" spans="30:30" x14ac:dyDescent="0.25">
      <c r="AD26277"/>
    </row>
    <row r="26278" spans="30:30" x14ac:dyDescent="0.25">
      <c r="AD26278"/>
    </row>
    <row r="26279" spans="30:30" x14ac:dyDescent="0.25">
      <c r="AD26279"/>
    </row>
    <row r="26280" spans="30:30" x14ac:dyDescent="0.25">
      <c r="AD26280"/>
    </row>
    <row r="26281" spans="30:30" x14ac:dyDescent="0.25">
      <c r="AD26281"/>
    </row>
    <row r="26282" spans="30:30" x14ac:dyDescent="0.25">
      <c r="AD26282"/>
    </row>
    <row r="26283" spans="30:30" x14ac:dyDescent="0.25">
      <c r="AD26283"/>
    </row>
    <row r="26284" spans="30:30" x14ac:dyDescent="0.25">
      <c r="AD26284"/>
    </row>
    <row r="26285" spans="30:30" x14ac:dyDescent="0.25">
      <c r="AD26285"/>
    </row>
    <row r="26286" spans="30:30" x14ac:dyDescent="0.25">
      <c r="AD26286"/>
    </row>
    <row r="26287" spans="30:30" x14ac:dyDescent="0.25">
      <c r="AD26287"/>
    </row>
    <row r="26288" spans="30:30" x14ac:dyDescent="0.25">
      <c r="AD26288"/>
    </row>
    <row r="26289" spans="30:30" x14ac:dyDescent="0.25">
      <c r="AD26289"/>
    </row>
    <row r="26290" spans="30:30" x14ac:dyDescent="0.25">
      <c r="AD26290"/>
    </row>
    <row r="26291" spans="30:30" x14ac:dyDescent="0.25">
      <c r="AD26291"/>
    </row>
    <row r="26292" spans="30:30" x14ac:dyDescent="0.25">
      <c r="AD26292"/>
    </row>
    <row r="26293" spans="30:30" x14ac:dyDescent="0.25">
      <c r="AD26293"/>
    </row>
    <row r="26294" spans="30:30" x14ac:dyDescent="0.25">
      <c r="AD26294"/>
    </row>
    <row r="26295" spans="30:30" x14ac:dyDescent="0.25">
      <c r="AD26295"/>
    </row>
    <row r="26296" spans="30:30" x14ac:dyDescent="0.25">
      <c r="AD26296"/>
    </row>
    <row r="26297" spans="30:30" x14ac:dyDescent="0.25">
      <c r="AD26297"/>
    </row>
    <row r="26298" spans="30:30" x14ac:dyDescent="0.25">
      <c r="AD26298"/>
    </row>
    <row r="26299" spans="30:30" x14ac:dyDescent="0.25">
      <c r="AD26299"/>
    </row>
    <row r="26300" spans="30:30" x14ac:dyDescent="0.25">
      <c r="AD26300"/>
    </row>
    <row r="26301" spans="30:30" x14ac:dyDescent="0.25">
      <c r="AD26301"/>
    </row>
    <row r="26302" spans="30:30" x14ac:dyDescent="0.25">
      <c r="AD26302"/>
    </row>
    <row r="26303" spans="30:30" x14ac:dyDescent="0.25">
      <c r="AD26303"/>
    </row>
    <row r="26304" spans="30:30" x14ac:dyDescent="0.25">
      <c r="AD26304"/>
    </row>
    <row r="26305" spans="30:30" x14ac:dyDescent="0.25">
      <c r="AD26305"/>
    </row>
    <row r="26306" spans="30:30" x14ac:dyDescent="0.25">
      <c r="AD26306"/>
    </row>
    <row r="26307" spans="30:30" x14ac:dyDescent="0.25">
      <c r="AD26307"/>
    </row>
    <row r="26308" spans="30:30" x14ac:dyDescent="0.25">
      <c r="AD26308"/>
    </row>
    <row r="26309" spans="30:30" x14ac:dyDescent="0.25">
      <c r="AD26309"/>
    </row>
    <row r="26310" spans="30:30" x14ac:dyDescent="0.25">
      <c r="AD26310"/>
    </row>
    <row r="26311" spans="30:30" x14ac:dyDescent="0.25">
      <c r="AD26311"/>
    </row>
    <row r="26312" spans="30:30" x14ac:dyDescent="0.25">
      <c r="AD26312"/>
    </row>
    <row r="26313" spans="30:30" x14ac:dyDescent="0.25">
      <c r="AD26313"/>
    </row>
    <row r="26314" spans="30:30" x14ac:dyDescent="0.25">
      <c r="AD26314"/>
    </row>
    <row r="26315" spans="30:30" x14ac:dyDescent="0.25">
      <c r="AD26315"/>
    </row>
    <row r="26316" spans="30:30" x14ac:dyDescent="0.25">
      <c r="AD26316"/>
    </row>
    <row r="26317" spans="30:30" x14ac:dyDescent="0.25">
      <c r="AD26317"/>
    </row>
    <row r="26318" spans="30:30" x14ac:dyDescent="0.25">
      <c r="AD26318"/>
    </row>
    <row r="26319" spans="30:30" x14ac:dyDescent="0.25">
      <c r="AD26319"/>
    </row>
    <row r="26320" spans="30:30" x14ac:dyDescent="0.25">
      <c r="AD26320"/>
    </row>
    <row r="26321" spans="30:30" x14ac:dyDescent="0.25">
      <c r="AD26321"/>
    </row>
    <row r="26322" spans="30:30" x14ac:dyDescent="0.25">
      <c r="AD26322"/>
    </row>
    <row r="26323" spans="30:30" x14ac:dyDescent="0.25">
      <c r="AD26323"/>
    </row>
    <row r="26324" spans="30:30" x14ac:dyDescent="0.25">
      <c r="AD26324"/>
    </row>
    <row r="26325" spans="30:30" x14ac:dyDescent="0.25">
      <c r="AD26325"/>
    </row>
    <row r="26326" spans="30:30" x14ac:dyDescent="0.25">
      <c r="AD26326"/>
    </row>
    <row r="26327" spans="30:30" x14ac:dyDescent="0.25">
      <c r="AD26327"/>
    </row>
    <row r="26328" spans="30:30" x14ac:dyDescent="0.25">
      <c r="AD26328"/>
    </row>
    <row r="26329" spans="30:30" x14ac:dyDescent="0.25">
      <c r="AD26329"/>
    </row>
    <row r="26330" spans="30:30" x14ac:dyDescent="0.25">
      <c r="AD26330"/>
    </row>
    <row r="26331" spans="30:30" x14ac:dyDescent="0.25">
      <c r="AD26331"/>
    </row>
    <row r="26332" spans="30:30" x14ac:dyDescent="0.25">
      <c r="AD26332"/>
    </row>
    <row r="26333" spans="30:30" x14ac:dyDescent="0.25">
      <c r="AD26333"/>
    </row>
    <row r="26334" spans="30:30" x14ac:dyDescent="0.25">
      <c r="AD26334"/>
    </row>
    <row r="26335" spans="30:30" x14ac:dyDescent="0.25">
      <c r="AD26335"/>
    </row>
    <row r="26336" spans="30:30" x14ac:dyDescent="0.25">
      <c r="AD26336"/>
    </row>
    <row r="26337" spans="30:30" x14ac:dyDescent="0.25">
      <c r="AD26337"/>
    </row>
    <row r="26338" spans="30:30" x14ac:dyDescent="0.25">
      <c r="AD26338"/>
    </row>
    <row r="26339" spans="30:30" x14ac:dyDescent="0.25">
      <c r="AD26339"/>
    </row>
    <row r="26340" spans="30:30" x14ac:dyDescent="0.25">
      <c r="AD26340"/>
    </row>
    <row r="26341" spans="30:30" x14ac:dyDescent="0.25">
      <c r="AD26341"/>
    </row>
    <row r="26342" spans="30:30" x14ac:dyDescent="0.25">
      <c r="AD26342"/>
    </row>
    <row r="26343" spans="30:30" x14ac:dyDescent="0.25">
      <c r="AD26343"/>
    </row>
    <row r="26344" spans="30:30" x14ac:dyDescent="0.25">
      <c r="AD26344"/>
    </row>
    <row r="26345" spans="30:30" x14ac:dyDescent="0.25">
      <c r="AD26345"/>
    </row>
    <row r="26346" spans="30:30" x14ac:dyDescent="0.25">
      <c r="AD26346"/>
    </row>
    <row r="26347" spans="30:30" x14ac:dyDescent="0.25">
      <c r="AD26347"/>
    </row>
    <row r="26348" spans="30:30" x14ac:dyDescent="0.25">
      <c r="AD26348"/>
    </row>
    <row r="26349" spans="30:30" x14ac:dyDescent="0.25">
      <c r="AD26349"/>
    </row>
    <row r="26350" spans="30:30" x14ac:dyDescent="0.25">
      <c r="AD26350"/>
    </row>
    <row r="26351" spans="30:30" x14ac:dyDescent="0.25">
      <c r="AD26351"/>
    </row>
    <row r="26352" spans="30:30" x14ac:dyDescent="0.25">
      <c r="AD26352"/>
    </row>
    <row r="26353" spans="30:30" x14ac:dyDescent="0.25">
      <c r="AD26353"/>
    </row>
    <row r="26354" spans="30:30" x14ac:dyDescent="0.25">
      <c r="AD26354"/>
    </row>
    <row r="26355" spans="30:30" x14ac:dyDescent="0.25">
      <c r="AD26355"/>
    </row>
    <row r="26356" spans="30:30" x14ac:dyDescent="0.25">
      <c r="AD26356"/>
    </row>
    <row r="26357" spans="30:30" x14ac:dyDescent="0.25">
      <c r="AD26357"/>
    </row>
    <row r="26358" spans="30:30" x14ac:dyDescent="0.25">
      <c r="AD26358"/>
    </row>
    <row r="26359" spans="30:30" x14ac:dyDescent="0.25">
      <c r="AD26359"/>
    </row>
    <row r="26360" spans="30:30" x14ac:dyDescent="0.25">
      <c r="AD26360"/>
    </row>
    <row r="26361" spans="30:30" x14ac:dyDescent="0.25">
      <c r="AD26361"/>
    </row>
    <row r="26362" spans="30:30" x14ac:dyDescent="0.25">
      <c r="AD26362"/>
    </row>
    <row r="26363" spans="30:30" x14ac:dyDescent="0.25">
      <c r="AD26363"/>
    </row>
    <row r="26364" spans="30:30" x14ac:dyDescent="0.25">
      <c r="AD26364"/>
    </row>
    <row r="26365" spans="30:30" x14ac:dyDescent="0.25">
      <c r="AD26365"/>
    </row>
    <row r="26366" spans="30:30" x14ac:dyDescent="0.25">
      <c r="AD26366"/>
    </row>
    <row r="26367" spans="30:30" x14ac:dyDescent="0.25">
      <c r="AD26367"/>
    </row>
    <row r="26368" spans="30:30" x14ac:dyDescent="0.25">
      <c r="AD26368"/>
    </row>
    <row r="26369" spans="30:30" x14ac:dyDescent="0.25">
      <c r="AD26369"/>
    </row>
    <row r="26370" spans="30:30" x14ac:dyDescent="0.25">
      <c r="AD26370"/>
    </row>
    <row r="26371" spans="30:30" x14ac:dyDescent="0.25">
      <c r="AD26371"/>
    </row>
    <row r="26372" spans="30:30" x14ac:dyDescent="0.25">
      <c r="AD26372"/>
    </row>
    <row r="26373" spans="30:30" x14ac:dyDescent="0.25">
      <c r="AD26373"/>
    </row>
    <row r="26374" spans="30:30" x14ac:dyDescent="0.25">
      <c r="AD26374"/>
    </row>
    <row r="26375" spans="30:30" x14ac:dyDescent="0.25">
      <c r="AD26375"/>
    </row>
    <row r="26376" spans="30:30" x14ac:dyDescent="0.25">
      <c r="AD26376"/>
    </row>
    <row r="26377" spans="30:30" x14ac:dyDescent="0.25">
      <c r="AD26377"/>
    </row>
    <row r="26378" spans="30:30" x14ac:dyDescent="0.25">
      <c r="AD26378"/>
    </row>
    <row r="26379" spans="30:30" x14ac:dyDescent="0.25">
      <c r="AD26379"/>
    </row>
    <row r="26380" spans="30:30" x14ac:dyDescent="0.25">
      <c r="AD26380"/>
    </row>
    <row r="26381" spans="30:30" x14ac:dyDescent="0.25">
      <c r="AD26381"/>
    </row>
    <row r="26382" spans="30:30" x14ac:dyDescent="0.25">
      <c r="AD26382"/>
    </row>
    <row r="26383" spans="30:30" x14ac:dyDescent="0.25">
      <c r="AD26383"/>
    </row>
    <row r="26384" spans="30:30" x14ac:dyDescent="0.25">
      <c r="AD26384"/>
    </row>
    <row r="26385" spans="30:30" x14ac:dyDescent="0.25">
      <c r="AD26385"/>
    </row>
    <row r="26386" spans="30:30" x14ac:dyDescent="0.25">
      <c r="AD26386"/>
    </row>
    <row r="26387" spans="30:30" x14ac:dyDescent="0.25">
      <c r="AD26387"/>
    </row>
    <row r="26388" spans="30:30" x14ac:dyDescent="0.25">
      <c r="AD26388"/>
    </row>
    <row r="26389" spans="30:30" x14ac:dyDescent="0.25">
      <c r="AD26389"/>
    </row>
    <row r="26390" spans="30:30" x14ac:dyDescent="0.25">
      <c r="AD26390"/>
    </row>
    <row r="26391" spans="30:30" x14ac:dyDescent="0.25">
      <c r="AD26391"/>
    </row>
    <row r="26392" spans="30:30" x14ac:dyDescent="0.25">
      <c r="AD26392"/>
    </row>
    <row r="26393" spans="30:30" x14ac:dyDescent="0.25">
      <c r="AD26393"/>
    </row>
    <row r="26394" spans="30:30" x14ac:dyDescent="0.25">
      <c r="AD26394"/>
    </row>
    <row r="26395" spans="30:30" x14ac:dyDescent="0.25">
      <c r="AD26395"/>
    </row>
    <row r="26396" spans="30:30" x14ac:dyDescent="0.25">
      <c r="AD26396"/>
    </row>
    <row r="26397" spans="30:30" x14ac:dyDescent="0.25">
      <c r="AD26397"/>
    </row>
    <row r="26398" spans="30:30" x14ac:dyDescent="0.25">
      <c r="AD26398"/>
    </row>
    <row r="26399" spans="30:30" x14ac:dyDescent="0.25">
      <c r="AD26399"/>
    </row>
    <row r="26400" spans="30:30" x14ac:dyDescent="0.25">
      <c r="AD26400"/>
    </row>
    <row r="26401" spans="30:30" x14ac:dyDescent="0.25">
      <c r="AD26401"/>
    </row>
    <row r="26402" spans="30:30" x14ac:dyDescent="0.25">
      <c r="AD26402"/>
    </row>
    <row r="26403" spans="30:30" x14ac:dyDescent="0.25">
      <c r="AD26403"/>
    </row>
    <row r="26404" spans="30:30" x14ac:dyDescent="0.25">
      <c r="AD26404"/>
    </row>
    <row r="26405" spans="30:30" x14ac:dyDescent="0.25">
      <c r="AD26405"/>
    </row>
    <row r="26406" spans="30:30" x14ac:dyDescent="0.25">
      <c r="AD26406"/>
    </row>
    <row r="26407" spans="30:30" x14ac:dyDescent="0.25">
      <c r="AD26407"/>
    </row>
    <row r="26408" spans="30:30" x14ac:dyDescent="0.25">
      <c r="AD26408"/>
    </row>
    <row r="26409" spans="30:30" x14ac:dyDescent="0.25">
      <c r="AD26409"/>
    </row>
    <row r="26410" spans="30:30" x14ac:dyDescent="0.25">
      <c r="AD26410"/>
    </row>
    <row r="26411" spans="30:30" x14ac:dyDescent="0.25">
      <c r="AD26411"/>
    </row>
    <row r="26412" spans="30:30" x14ac:dyDescent="0.25">
      <c r="AD26412"/>
    </row>
    <row r="26413" spans="30:30" x14ac:dyDescent="0.25">
      <c r="AD26413"/>
    </row>
    <row r="26414" spans="30:30" x14ac:dyDescent="0.25">
      <c r="AD26414"/>
    </row>
    <row r="26415" spans="30:30" x14ac:dyDescent="0.25">
      <c r="AD26415"/>
    </row>
    <row r="26416" spans="30:30" x14ac:dyDescent="0.25">
      <c r="AD26416"/>
    </row>
    <row r="26417" spans="30:30" x14ac:dyDescent="0.25">
      <c r="AD26417"/>
    </row>
    <row r="26418" spans="30:30" x14ac:dyDescent="0.25">
      <c r="AD26418"/>
    </row>
    <row r="26419" spans="30:30" x14ac:dyDescent="0.25">
      <c r="AD26419"/>
    </row>
    <row r="26420" spans="30:30" x14ac:dyDescent="0.25">
      <c r="AD26420"/>
    </row>
    <row r="26421" spans="30:30" x14ac:dyDescent="0.25">
      <c r="AD26421"/>
    </row>
    <row r="26422" spans="30:30" x14ac:dyDescent="0.25">
      <c r="AD26422"/>
    </row>
    <row r="26423" spans="30:30" x14ac:dyDescent="0.25">
      <c r="AD26423"/>
    </row>
    <row r="26424" spans="30:30" x14ac:dyDescent="0.25">
      <c r="AD26424"/>
    </row>
    <row r="26425" spans="30:30" x14ac:dyDescent="0.25">
      <c r="AD26425"/>
    </row>
    <row r="26426" spans="30:30" x14ac:dyDescent="0.25">
      <c r="AD26426"/>
    </row>
    <row r="26427" spans="30:30" x14ac:dyDescent="0.25">
      <c r="AD26427"/>
    </row>
    <row r="26428" spans="30:30" x14ac:dyDescent="0.25">
      <c r="AD26428"/>
    </row>
    <row r="26429" spans="30:30" x14ac:dyDescent="0.25">
      <c r="AD26429"/>
    </row>
    <row r="26430" spans="30:30" x14ac:dyDescent="0.25">
      <c r="AD26430"/>
    </row>
    <row r="26431" spans="30:30" x14ac:dyDescent="0.25">
      <c r="AD26431"/>
    </row>
    <row r="26432" spans="30:30" x14ac:dyDescent="0.25">
      <c r="AD26432"/>
    </row>
    <row r="26433" spans="30:30" x14ac:dyDescent="0.25">
      <c r="AD26433"/>
    </row>
    <row r="26434" spans="30:30" x14ac:dyDescent="0.25">
      <c r="AD26434"/>
    </row>
    <row r="26435" spans="30:30" x14ac:dyDescent="0.25">
      <c r="AD26435"/>
    </row>
    <row r="26436" spans="30:30" x14ac:dyDescent="0.25">
      <c r="AD26436"/>
    </row>
    <row r="26437" spans="30:30" x14ac:dyDescent="0.25">
      <c r="AD26437"/>
    </row>
    <row r="26438" spans="30:30" x14ac:dyDescent="0.25">
      <c r="AD26438"/>
    </row>
    <row r="26439" spans="30:30" x14ac:dyDescent="0.25">
      <c r="AD26439"/>
    </row>
    <row r="26440" spans="30:30" x14ac:dyDescent="0.25">
      <c r="AD26440"/>
    </row>
    <row r="26441" spans="30:30" x14ac:dyDescent="0.25">
      <c r="AD26441"/>
    </row>
    <row r="26442" spans="30:30" x14ac:dyDescent="0.25">
      <c r="AD26442"/>
    </row>
    <row r="26443" spans="30:30" x14ac:dyDescent="0.25">
      <c r="AD26443"/>
    </row>
    <row r="26444" spans="30:30" x14ac:dyDescent="0.25">
      <c r="AD26444"/>
    </row>
    <row r="26445" spans="30:30" x14ac:dyDescent="0.25">
      <c r="AD26445"/>
    </row>
    <row r="26446" spans="30:30" x14ac:dyDescent="0.25">
      <c r="AD26446"/>
    </row>
    <row r="26447" spans="30:30" x14ac:dyDescent="0.25">
      <c r="AD26447"/>
    </row>
    <row r="26448" spans="30:30" x14ac:dyDescent="0.25">
      <c r="AD26448"/>
    </row>
    <row r="26449" spans="30:30" x14ac:dyDescent="0.25">
      <c r="AD26449"/>
    </row>
    <row r="26450" spans="30:30" x14ac:dyDescent="0.25">
      <c r="AD26450"/>
    </row>
    <row r="26451" spans="30:30" x14ac:dyDescent="0.25">
      <c r="AD26451"/>
    </row>
    <row r="26452" spans="30:30" x14ac:dyDescent="0.25">
      <c r="AD26452"/>
    </row>
    <row r="26453" spans="30:30" x14ac:dyDescent="0.25">
      <c r="AD26453"/>
    </row>
    <row r="26454" spans="30:30" x14ac:dyDescent="0.25">
      <c r="AD26454"/>
    </row>
    <row r="26455" spans="30:30" x14ac:dyDescent="0.25">
      <c r="AD26455"/>
    </row>
    <row r="26456" spans="30:30" x14ac:dyDescent="0.25">
      <c r="AD26456"/>
    </row>
    <row r="26457" spans="30:30" x14ac:dyDescent="0.25">
      <c r="AD26457"/>
    </row>
    <row r="26458" spans="30:30" x14ac:dyDescent="0.25">
      <c r="AD26458"/>
    </row>
    <row r="26459" spans="30:30" x14ac:dyDescent="0.25">
      <c r="AD26459"/>
    </row>
    <row r="26460" spans="30:30" x14ac:dyDescent="0.25">
      <c r="AD26460"/>
    </row>
    <row r="26461" spans="30:30" x14ac:dyDescent="0.25">
      <c r="AD26461"/>
    </row>
    <row r="26462" spans="30:30" x14ac:dyDescent="0.25">
      <c r="AD26462"/>
    </row>
    <row r="26463" spans="30:30" x14ac:dyDescent="0.25">
      <c r="AD26463"/>
    </row>
    <row r="26464" spans="30:30" x14ac:dyDescent="0.25">
      <c r="AD26464"/>
    </row>
    <row r="26465" spans="30:30" x14ac:dyDescent="0.25">
      <c r="AD26465"/>
    </row>
    <row r="26466" spans="30:30" x14ac:dyDescent="0.25">
      <c r="AD26466"/>
    </row>
    <row r="26467" spans="30:30" x14ac:dyDescent="0.25">
      <c r="AD26467"/>
    </row>
    <row r="26468" spans="30:30" x14ac:dyDescent="0.25">
      <c r="AD26468"/>
    </row>
    <row r="26469" spans="30:30" x14ac:dyDescent="0.25">
      <c r="AD26469"/>
    </row>
    <row r="26470" spans="30:30" x14ac:dyDescent="0.25">
      <c r="AD26470"/>
    </row>
    <row r="26471" spans="30:30" x14ac:dyDescent="0.25">
      <c r="AD26471"/>
    </row>
    <row r="26472" spans="30:30" x14ac:dyDescent="0.25">
      <c r="AD26472"/>
    </row>
    <row r="26473" spans="30:30" x14ac:dyDescent="0.25">
      <c r="AD26473"/>
    </row>
    <row r="26474" spans="30:30" x14ac:dyDescent="0.25">
      <c r="AD26474"/>
    </row>
    <row r="26475" spans="30:30" x14ac:dyDescent="0.25">
      <c r="AD26475"/>
    </row>
    <row r="26476" spans="30:30" x14ac:dyDescent="0.25">
      <c r="AD26476"/>
    </row>
    <row r="26477" spans="30:30" x14ac:dyDescent="0.25">
      <c r="AD26477"/>
    </row>
    <row r="26478" spans="30:30" x14ac:dyDescent="0.25">
      <c r="AD26478"/>
    </row>
    <row r="26479" spans="30:30" x14ac:dyDescent="0.25">
      <c r="AD26479"/>
    </row>
    <row r="26480" spans="30:30" x14ac:dyDescent="0.25">
      <c r="AD26480"/>
    </row>
    <row r="26481" spans="30:30" x14ac:dyDescent="0.25">
      <c r="AD26481"/>
    </row>
    <row r="26482" spans="30:30" x14ac:dyDescent="0.25">
      <c r="AD26482"/>
    </row>
    <row r="26483" spans="30:30" x14ac:dyDescent="0.25">
      <c r="AD26483"/>
    </row>
    <row r="26484" spans="30:30" x14ac:dyDescent="0.25">
      <c r="AD26484"/>
    </row>
    <row r="26485" spans="30:30" x14ac:dyDescent="0.25">
      <c r="AD26485"/>
    </row>
    <row r="26486" spans="30:30" x14ac:dyDescent="0.25">
      <c r="AD26486"/>
    </row>
    <row r="26487" spans="30:30" x14ac:dyDescent="0.25">
      <c r="AD26487"/>
    </row>
    <row r="26488" spans="30:30" x14ac:dyDescent="0.25">
      <c r="AD26488"/>
    </row>
    <row r="26489" spans="30:30" x14ac:dyDescent="0.25">
      <c r="AD26489"/>
    </row>
    <row r="26490" spans="30:30" x14ac:dyDescent="0.25">
      <c r="AD26490"/>
    </row>
    <row r="26491" spans="30:30" x14ac:dyDescent="0.25">
      <c r="AD26491"/>
    </row>
    <row r="26492" spans="30:30" x14ac:dyDescent="0.25">
      <c r="AD26492"/>
    </row>
    <row r="26493" spans="30:30" x14ac:dyDescent="0.25">
      <c r="AD26493"/>
    </row>
    <row r="26494" spans="30:30" x14ac:dyDescent="0.25">
      <c r="AD26494"/>
    </row>
    <row r="26495" spans="30:30" x14ac:dyDescent="0.25">
      <c r="AD26495"/>
    </row>
    <row r="26496" spans="30:30" x14ac:dyDescent="0.25">
      <c r="AD26496"/>
    </row>
    <row r="26497" spans="30:30" x14ac:dyDescent="0.25">
      <c r="AD26497"/>
    </row>
    <row r="26498" spans="30:30" x14ac:dyDescent="0.25">
      <c r="AD26498"/>
    </row>
    <row r="26499" spans="30:30" x14ac:dyDescent="0.25">
      <c r="AD26499"/>
    </row>
    <row r="26500" spans="30:30" x14ac:dyDescent="0.25">
      <c r="AD26500"/>
    </row>
    <row r="26501" spans="30:30" x14ac:dyDescent="0.25">
      <c r="AD26501"/>
    </row>
    <row r="26502" spans="30:30" x14ac:dyDescent="0.25">
      <c r="AD26502"/>
    </row>
    <row r="26503" spans="30:30" x14ac:dyDescent="0.25">
      <c r="AD26503"/>
    </row>
    <row r="26504" spans="30:30" x14ac:dyDescent="0.25">
      <c r="AD26504"/>
    </row>
    <row r="26505" spans="30:30" x14ac:dyDescent="0.25">
      <c r="AD26505"/>
    </row>
    <row r="26506" spans="30:30" x14ac:dyDescent="0.25">
      <c r="AD26506"/>
    </row>
    <row r="26507" spans="30:30" x14ac:dyDescent="0.25">
      <c r="AD26507"/>
    </row>
    <row r="26508" spans="30:30" x14ac:dyDescent="0.25">
      <c r="AD26508"/>
    </row>
    <row r="26509" spans="30:30" x14ac:dyDescent="0.25">
      <c r="AD26509"/>
    </row>
    <row r="26510" spans="30:30" x14ac:dyDescent="0.25">
      <c r="AD26510"/>
    </row>
    <row r="26511" spans="30:30" x14ac:dyDescent="0.25">
      <c r="AD26511"/>
    </row>
    <row r="26512" spans="30:30" x14ac:dyDescent="0.25">
      <c r="AD26512"/>
    </row>
    <row r="26513" spans="30:30" x14ac:dyDescent="0.25">
      <c r="AD26513"/>
    </row>
    <row r="26514" spans="30:30" x14ac:dyDescent="0.25">
      <c r="AD26514"/>
    </row>
    <row r="26515" spans="30:30" x14ac:dyDescent="0.25">
      <c r="AD26515"/>
    </row>
    <row r="26516" spans="30:30" x14ac:dyDescent="0.25">
      <c r="AD26516"/>
    </row>
    <row r="26517" spans="30:30" x14ac:dyDescent="0.25">
      <c r="AD26517"/>
    </row>
    <row r="26518" spans="30:30" x14ac:dyDescent="0.25">
      <c r="AD26518"/>
    </row>
    <row r="26519" spans="30:30" x14ac:dyDescent="0.25">
      <c r="AD26519"/>
    </row>
    <row r="26520" spans="30:30" x14ac:dyDescent="0.25">
      <c r="AD26520"/>
    </row>
    <row r="26521" spans="30:30" x14ac:dyDescent="0.25">
      <c r="AD26521"/>
    </row>
    <row r="26522" spans="30:30" x14ac:dyDescent="0.25">
      <c r="AD26522"/>
    </row>
    <row r="26523" spans="30:30" x14ac:dyDescent="0.25">
      <c r="AD26523"/>
    </row>
    <row r="26524" spans="30:30" x14ac:dyDescent="0.25">
      <c r="AD26524"/>
    </row>
    <row r="26525" spans="30:30" x14ac:dyDescent="0.25">
      <c r="AD26525"/>
    </row>
    <row r="26526" spans="30:30" x14ac:dyDescent="0.25">
      <c r="AD26526"/>
    </row>
    <row r="26527" spans="30:30" x14ac:dyDescent="0.25">
      <c r="AD26527"/>
    </row>
    <row r="26528" spans="30:30" x14ac:dyDescent="0.25">
      <c r="AD26528"/>
    </row>
    <row r="26529" spans="30:30" x14ac:dyDescent="0.25">
      <c r="AD26529"/>
    </row>
    <row r="26530" spans="30:30" x14ac:dyDescent="0.25">
      <c r="AD26530"/>
    </row>
    <row r="26531" spans="30:30" x14ac:dyDescent="0.25">
      <c r="AD26531"/>
    </row>
    <row r="26532" spans="30:30" x14ac:dyDescent="0.25">
      <c r="AD26532"/>
    </row>
    <row r="26533" spans="30:30" x14ac:dyDescent="0.25">
      <c r="AD26533"/>
    </row>
    <row r="26534" spans="30:30" x14ac:dyDescent="0.25">
      <c r="AD26534"/>
    </row>
    <row r="26535" spans="30:30" x14ac:dyDescent="0.25">
      <c r="AD26535"/>
    </row>
    <row r="26536" spans="30:30" x14ac:dyDescent="0.25">
      <c r="AD26536"/>
    </row>
    <row r="26537" spans="30:30" x14ac:dyDescent="0.25">
      <c r="AD26537"/>
    </row>
    <row r="26538" spans="30:30" x14ac:dyDescent="0.25">
      <c r="AD26538"/>
    </row>
    <row r="26539" spans="30:30" x14ac:dyDescent="0.25">
      <c r="AD26539"/>
    </row>
    <row r="26540" spans="30:30" x14ac:dyDescent="0.25">
      <c r="AD26540"/>
    </row>
    <row r="26541" spans="30:30" x14ac:dyDescent="0.25">
      <c r="AD26541"/>
    </row>
    <row r="26542" spans="30:30" x14ac:dyDescent="0.25">
      <c r="AD26542"/>
    </row>
    <row r="26543" spans="30:30" x14ac:dyDescent="0.25">
      <c r="AD26543"/>
    </row>
    <row r="26544" spans="30:30" x14ac:dyDescent="0.25">
      <c r="AD26544"/>
    </row>
    <row r="26545" spans="30:30" x14ac:dyDescent="0.25">
      <c r="AD26545"/>
    </row>
    <row r="26546" spans="30:30" x14ac:dyDescent="0.25">
      <c r="AD26546"/>
    </row>
    <row r="26547" spans="30:30" x14ac:dyDescent="0.25">
      <c r="AD26547"/>
    </row>
    <row r="26548" spans="30:30" x14ac:dyDescent="0.25">
      <c r="AD26548"/>
    </row>
    <row r="26549" spans="30:30" x14ac:dyDescent="0.25">
      <c r="AD26549"/>
    </row>
    <row r="26550" spans="30:30" x14ac:dyDescent="0.25">
      <c r="AD26550"/>
    </row>
    <row r="26551" spans="30:30" x14ac:dyDescent="0.25">
      <c r="AD26551"/>
    </row>
    <row r="26552" spans="30:30" x14ac:dyDescent="0.25">
      <c r="AD26552"/>
    </row>
    <row r="26553" spans="30:30" x14ac:dyDescent="0.25">
      <c r="AD26553"/>
    </row>
    <row r="26554" spans="30:30" x14ac:dyDescent="0.25">
      <c r="AD26554"/>
    </row>
    <row r="26555" spans="30:30" x14ac:dyDescent="0.25">
      <c r="AD26555"/>
    </row>
    <row r="26556" spans="30:30" x14ac:dyDescent="0.25">
      <c r="AD26556"/>
    </row>
    <row r="26557" spans="30:30" x14ac:dyDescent="0.25">
      <c r="AD26557"/>
    </row>
    <row r="26558" spans="30:30" x14ac:dyDescent="0.25">
      <c r="AD26558"/>
    </row>
    <row r="26559" spans="30:30" x14ac:dyDescent="0.25">
      <c r="AD26559"/>
    </row>
    <row r="26560" spans="30:30" x14ac:dyDescent="0.25">
      <c r="AD26560"/>
    </row>
    <row r="26561" spans="30:30" x14ac:dyDescent="0.25">
      <c r="AD26561"/>
    </row>
    <row r="26562" spans="30:30" x14ac:dyDescent="0.25">
      <c r="AD26562"/>
    </row>
    <row r="26563" spans="30:30" x14ac:dyDescent="0.25">
      <c r="AD26563"/>
    </row>
    <row r="26564" spans="30:30" x14ac:dyDescent="0.25">
      <c r="AD26564"/>
    </row>
    <row r="26565" spans="30:30" x14ac:dyDescent="0.25">
      <c r="AD26565"/>
    </row>
    <row r="26566" spans="30:30" x14ac:dyDescent="0.25">
      <c r="AD26566"/>
    </row>
    <row r="26567" spans="30:30" x14ac:dyDescent="0.25">
      <c r="AD26567"/>
    </row>
    <row r="26568" spans="30:30" x14ac:dyDescent="0.25">
      <c r="AD26568"/>
    </row>
    <row r="26569" spans="30:30" x14ac:dyDescent="0.25">
      <c r="AD26569"/>
    </row>
    <row r="26570" spans="30:30" x14ac:dyDescent="0.25">
      <c r="AD26570"/>
    </row>
    <row r="26571" spans="30:30" x14ac:dyDescent="0.25">
      <c r="AD26571"/>
    </row>
    <row r="26572" spans="30:30" x14ac:dyDescent="0.25">
      <c r="AD26572"/>
    </row>
    <row r="26573" spans="30:30" x14ac:dyDescent="0.25">
      <c r="AD26573"/>
    </row>
    <row r="26574" spans="30:30" x14ac:dyDescent="0.25">
      <c r="AD26574"/>
    </row>
    <row r="26575" spans="30:30" x14ac:dyDescent="0.25">
      <c r="AD26575"/>
    </row>
    <row r="26576" spans="30:30" x14ac:dyDescent="0.25">
      <c r="AD26576"/>
    </row>
    <row r="26577" spans="30:30" x14ac:dyDescent="0.25">
      <c r="AD26577"/>
    </row>
    <row r="26578" spans="30:30" x14ac:dyDescent="0.25">
      <c r="AD26578"/>
    </row>
    <row r="26579" spans="30:30" x14ac:dyDescent="0.25">
      <c r="AD26579"/>
    </row>
    <row r="26580" spans="30:30" x14ac:dyDescent="0.25">
      <c r="AD26580"/>
    </row>
    <row r="26581" spans="30:30" x14ac:dyDescent="0.25">
      <c r="AD26581"/>
    </row>
    <row r="26582" spans="30:30" x14ac:dyDescent="0.25">
      <c r="AD26582"/>
    </row>
    <row r="26583" spans="30:30" x14ac:dyDescent="0.25">
      <c r="AD26583"/>
    </row>
    <row r="26584" spans="30:30" x14ac:dyDescent="0.25">
      <c r="AD26584"/>
    </row>
    <row r="26585" spans="30:30" x14ac:dyDescent="0.25">
      <c r="AD26585"/>
    </row>
    <row r="26586" spans="30:30" x14ac:dyDescent="0.25">
      <c r="AD26586"/>
    </row>
    <row r="26587" spans="30:30" x14ac:dyDescent="0.25">
      <c r="AD26587"/>
    </row>
    <row r="26588" spans="30:30" x14ac:dyDescent="0.25">
      <c r="AD26588"/>
    </row>
    <row r="26589" spans="30:30" x14ac:dyDescent="0.25">
      <c r="AD26589"/>
    </row>
    <row r="26590" spans="30:30" x14ac:dyDescent="0.25">
      <c r="AD26590"/>
    </row>
    <row r="26591" spans="30:30" x14ac:dyDescent="0.25">
      <c r="AD26591"/>
    </row>
    <row r="26592" spans="30:30" x14ac:dyDescent="0.25">
      <c r="AD26592"/>
    </row>
    <row r="26593" spans="30:30" x14ac:dyDescent="0.25">
      <c r="AD26593"/>
    </row>
    <row r="26594" spans="30:30" x14ac:dyDescent="0.25">
      <c r="AD26594"/>
    </row>
    <row r="26595" spans="30:30" x14ac:dyDescent="0.25">
      <c r="AD26595"/>
    </row>
    <row r="26596" spans="30:30" x14ac:dyDescent="0.25">
      <c r="AD26596"/>
    </row>
    <row r="26597" spans="30:30" x14ac:dyDescent="0.25">
      <c r="AD26597"/>
    </row>
    <row r="26598" spans="30:30" x14ac:dyDescent="0.25">
      <c r="AD26598"/>
    </row>
    <row r="26599" spans="30:30" x14ac:dyDescent="0.25">
      <c r="AD26599"/>
    </row>
    <row r="26600" spans="30:30" x14ac:dyDescent="0.25">
      <c r="AD26600"/>
    </row>
    <row r="26601" spans="30:30" x14ac:dyDescent="0.25">
      <c r="AD26601"/>
    </row>
    <row r="26602" spans="30:30" x14ac:dyDescent="0.25">
      <c r="AD26602"/>
    </row>
    <row r="26603" spans="30:30" x14ac:dyDescent="0.25">
      <c r="AD26603"/>
    </row>
    <row r="26604" spans="30:30" x14ac:dyDescent="0.25">
      <c r="AD26604"/>
    </row>
    <row r="26605" spans="30:30" x14ac:dyDescent="0.25">
      <c r="AD26605"/>
    </row>
    <row r="26606" spans="30:30" x14ac:dyDescent="0.25">
      <c r="AD26606"/>
    </row>
    <row r="26607" spans="30:30" x14ac:dyDescent="0.25">
      <c r="AD26607"/>
    </row>
    <row r="26608" spans="30:30" x14ac:dyDescent="0.25">
      <c r="AD26608"/>
    </row>
    <row r="26609" spans="30:30" x14ac:dyDescent="0.25">
      <c r="AD26609"/>
    </row>
    <row r="26610" spans="30:30" x14ac:dyDescent="0.25">
      <c r="AD26610"/>
    </row>
    <row r="26611" spans="30:30" x14ac:dyDescent="0.25">
      <c r="AD26611"/>
    </row>
    <row r="26612" spans="30:30" x14ac:dyDescent="0.25">
      <c r="AD26612"/>
    </row>
    <row r="26613" spans="30:30" x14ac:dyDescent="0.25">
      <c r="AD26613"/>
    </row>
    <row r="26614" spans="30:30" x14ac:dyDescent="0.25">
      <c r="AD26614"/>
    </row>
    <row r="26615" spans="30:30" x14ac:dyDescent="0.25">
      <c r="AD26615"/>
    </row>
    <row r="26616" spans="30:30" x14ac:dyDescent="0.25">
      <c r="AD26616"/>
    </row>
    <row r="26617" spans="30:30" x14ac:dyDescent="0.25">
      <c r="AD26617"/>
    </row>
    <row r="26618" spans="30:30" x14ac:dyDescent="0.25">
      <c r="AD26618"/>
    </row>
    <row r="26619" spans="30:30" x14ac:dyDescent="0.25">
      <c r="AD26619"/>
    </row>
    <row r="26620" spans="30:30" x14ac:dyDescent="0.25">
      <c r="AD26620"/>
    </row>
    <row r="26621" spans="30:30" x14ac:dyDescent="0.25">
      <c r="AD26621"/>
    </row>
    <row r="26622" spans="30:30" x14ac:dyDescent="0.25">
      <c r="AD26622"/>
    </row>
    <row r="26623" spans="30:30" x14ac:dyDescent="0.25">
      <c r="AD26623"/>
    </row>
    <row r="26624" spans="30:30" x14ac:dyDescent="0.25">
      <c r="AD26624"/>
    </row>
    <row r="26625" spans="30:30" x14ac:dyDescent="0.25">
      <c r="AD26625"/>
    </row>
    <row r="26626" spans="30:30" x14ac:dyDescent="0.25">
      <c r="AD26626"/>
    </row>
    <row r="26627" spans="30:30" x14ac:dyDescent="0.25">
      <c r="AD26627"/>
    </row>
    <row r="26628" spans="30:30" x14ac:dyDescent="0.25">
      <c r="AD26628"/>
    </row>
    <row r="26629" spans="30:30" x14ac:dyDescent="0.25">
      <c r="AD26629"/>
    </row>
    <row r="26630" spans="30:30" x14ac:dyDescent="0.25">
      <c r="AD26630"/>
    </row>
    <row r="26631" spans="30:30" x14ac:dyDescent="0.25">
      <c r="AD26631"/>
    </row>
    <row r="26632" spans="30:30" x14ac:dyDescent="0.25">
      <c r="AD26632"/>
    </row>
    <row r="26633" spans="30:30" x14ac:dyDescent="0.25">
      <c r="AD26633"/>
    </row>
    <row r="26634" spans="30:30" x14ac:dyDescent="0.25">
      <c r="AD26634"/>
    </row>
    <row r="26635" spans="30:30" x14ac:dyDescent="0.25">
      <c r="AD26635"/>
    </row>
    <row r="26636" spans="30:30" x14ac:dyDescent="0.25">
      <c r="AD26636"/>
    </row>
    <row r="26637" spans="30:30" x14ac:dyDescent="0.25">
      <c r="AD26637"/>
    </row>
    <row r="26638" spans="30:30" x14ac:dyDescent="0.25">
      <c r="AD26638"/>
    </row>
    <row r="26639" spans="30:30" x14ac:dyDescent="0.25">
      <c r="AD26639"/>
    </row>
    <row r="26640" spans="30:30" x14ac:dyDescent="0.25">
      <c r="AD26640"/>
    </row>
    <row r="26641" spans="30:30" x14ac:dyDescent="0.25">
      <c r="AD26641"/>
    </row>
    <row r="26642" spans="30:30" x14ac:dyDescent="0.25">
      <c r="AD26642"/>
    </row>
    <row r="26643" spans="30:30" x14ac:dyDescent="0.25">
      <c r="AD26643"/>
    </row>
    <row r="26644" spans="30:30" x14ac:dyDescent="0.25">
      <c r="AD26644"/>
    </row>
    <row r="26645" spans="30:30" x14ac:dyDescent="0.25">
      <c r="AD26645"/>
    </row>
    <row r="26646" spans="30:30" x14ac:dyDescent="0.25">
      <c r="AD26646"/>
    </row>
    <row r="26647" spans="30:30" x14ac:dyDescent="0.25">
      <c r="AD26647"/>
    </row>
    <row r="26648" spans="30:30" x14ac:dyDescent="0.25">
      <c r="AD26648"/>
    </row>
    <row r="26649" spans="30:30" x14ac:dyDescent="0.25">
      <c r="AD26649"/>
    </row>
    <row r="26650" spans="30:30" x14ac:dyDescent="0.25">
      <c r="AD26650"/>
    </row>
    <row r="26651" spans="30:30" x14ac:dyDescent="0.25">
      <c r="AD26651"/>
    </row>
    <row r="26652" spans="30:30" x14ac:dyDescent="0.25">
      <c r="AD26652"/>
    </row>
    <row r="26653" spans="30:30" x14ac:dyDescent="0.25">
      <c r="AD26653"/>
    </row>
    <row r="26654" spans="30:30" x14ac:dyDescent="0.25">
      <c r="AD26654"/>
    </row>
    <row r="26655" spans="30:30" x14ac:dyDescent="0.25">
      <c r="AD26655"/>
    </row>
    <row r="26656" spans="30:30" x14ac:dyDescent="0.25">
      <c r="AD26656"/>
    </row>
    <row r="26657" spans="30:30" x14ac:dyDescent="0.25">
      <c r="AD26657"/>
    </row>
    <row r="26658" spans="30:30" x14ac:dyDescent="0.25">
      <c r="AD26658"/>
    </row>
    <row r="26659" spans="30:30" x14ac:dyDescent="0.25">
      <c r="AD26659"/>
    </row>
    <row r="26660" spans="30:30" x14ac:dyDescent="0.25">
      <c r="AD26660"/>
    </row>
    <row r="26661" spans="30:30" x14ac:dyDescent="0.25">
      <c r="AD26661"/>
    </row>
    <row r="26662" spans="30:30" x14ac:dyDescent="0.25">
      <c r="AD26662"/>
    </row>
    <row r="26663" spans="30:30" x14ac:dyDescent="0.25">
      <c r="AD26663"/>
    </row>
    <row r="26664" spans="30:30" x14ac:dyDescent="0.25">
      <c r="AD26664"/>
    </row>
    <row r="26665" spans="30:30" x14ac:dyDescent="0.25">
      <c r="AD26665"/>
    </row>
    <row r="26666" spans="30:30" x14ac:dyDescent="0.25">
      <c r="AD26666"/>
    </row>
    <row r="26667" spans="30:30" x14ac:dyDescent="0.25">
      <c r="AD26667"/>
    </row>
    <row r="26668" spans="30:30" x14ac:dyDescent="0.25">
      <c r="AD26668"/>
    </row>
    <row r="26669" spans="30:30" x14ac:dyDescent="0.25">
      <c r="AD26669"/>
    </row>
    <row r="26670" spans="30:30" x14ac:dyDescent="0.25">
      <c r="AD26670"/>
    </row>
    <row r="26671" spans="30:30" x14ac:dyDescent="0.25">
      <c r="AD26671"/>
    </row>
    <row r="26672" spans="30:30" x14ac:dyDescent="0.25">
      <c r="AD26672"/>
    </row>
    <row r="26673" spans="30:30" x14ac:dyDescent="0.25">
      <c r="AD26673"/>
    </row>
    <row r="26674" spans="30:30" x14ac:dyDescent="0.25">
      <c r="AD26674"/>
    </row>
    <row r="26675" spans="30:30" x14ac:dyDescent="0.25">
      <c r="AD26675"/>
    </row>
    <row r="26676" spans="30:30" x14ac:dyDescent="0.25">
      <c r="AD26676"/>
    </row>
    <row r="26677" spans="30:30" x14ac:dyDescent="0.25">
      <c r="AD26677"/>
    </row>
    <row r="26678" spans="30:30" x14ac:dyDescent="0.25">
      <c r="AD26678"/>
    </row>
    <row r="26679" spans="30:30" x14ac:dyDescent="0.25">
      <c r="AD26679"/>
    </row>
    <row r="26680" spans="30:30" x14ac:dyDescent="0.25">
      <c r="AD26680"/>
    </row>
    <row r="26681" spans="30:30" x14ac:dyDescent="0.25">
      <c r="AD26681"/>
    </row>
    <row r="26682" spans="30:30" x14ac:dyDescent="0.25">
      <c r="AD26682"/>
    </row>
    <row r="26683" spans="30:30" x14ac:dyDescent="0.25">
      <c r="AD26683"/>
    </row>
    <row r="26684" spans="30:30" x14ac:dyDescent="0.25">
      <c r="AD26684"/>
    </row>
    <row r="26685" spans="30:30" x14ac:dyDescent="0.25">
      <c r="AD26685"/>
    </row>
    <row r="26686" spans="30:30" x14ac:dyDescent="0.25">
      <c r="AD26686"/>
    </row>
    <row r="26687" spans="30:30" x14ac:dyDescent="0.25">
      <c r="AD26687"/>
    </row>
    <row r="26688" spans="30:30" x14ac:dyDescent="0.25">
      <c r="AD26688"/>
    </row>
    <row r="26689" spans="30:30" x14ac:dyDescent="0.25">
      <c r="AD26689"/>
    </row>
    <row r="26690" spans="30:30" x14ac:dyDescent="0.25">
      <c r="AD26690"/>
    </row>
    <row r="26691" spans="30:30" x14ac:dyDescent="0.25">
      <c r="AD26691"/>
    </row>
    <row r="26692" spans="30:30" x14ac:dyDescent="0.25">
      <c r="AD26692"/>
    </row>
    <row r="26693" spans="30:30" x14ac:dyDescent="0.25">
      <c r="AD26693"/>
    </row>
    <row r="26694" spans="30:30" x14ac:dyDescent="0.25">
      <c r="AD26694"/>
    </row>
    <row r="26695" spans="30:30" x14ac:dyDescent="0.25">
      <c r="AD26695"/>
    </row>
    <row r="26696" spans="30:30" x14ac:dyDescent="0.25">
      <c r="AD26696"/>
    </row>
    <row r="26697" spans="30:30" x14ac:dyDescent="0.25">
      <c r="AD26697"/>
    </row>
    <row r="26698" spans="30:30" x14ac:dyDescent="0.25">
      <c r="AD26698"/>
    </row>
    <row r="26699" spans="30:30" x14ac:dyDescent="0.25">
      <c r="AD26699"/>
    </row>
    <row r="26700" spans="30:30" x14ac:dyDescent="0.25">
      <c r="AD26700"/>
    </row>
    <row r="26701" spans="30:30" x14ac:dyDescent="0.25">
      <c r="AD26701"/>
    </row>
    <row r="26702" spans="30:30" x14ac:dyDescent="0.25">
      <c r="AD26702"/>
    </row>
    <row r="26703" spans="30:30" x14ac:dyDescent="0.25">
      <c r="AD26703"/>
    </row>
    <row r="26704" spans="30:30" x14ac:dyDescent="0.25">
      <c r="AD26704"/>
    </row>
    <row r="26705" spans="30:30" x14ac:dyDescent="0.25">
      <c r="AD26705"/>
    </row>
    <row r="26706" spans="30:30" x14ac:dyDescent="0.25">
      <c r="AD26706"/>
    </row>
    <row r="26707" spans="30:30" x14ac:dyDescent="0.25">
      <c r="AD26707"/>
    </row>
    <row r="26708" spans="30:30" x14ac:dyDescent="0.25">
      <c r="AD26708"/>
    </row>
    <row r="26709" spans="30:30" x14ac:dyDescent="0.25">
      <c r="AD26709"/>
    </row>
    <row r="26710" spans="30:30" x14ac:dyDescent="0.25">
      <c r="AD26710"/>
    </row>
    <row r="26711" spans="30:30" x14ac:dyDescent="0.25">
      <c r="AD26711"/>
    </row>
    <row r="26712" spans="30:30" x14ac:dyDescent="0.25">
      <c r="AD26712"/>
    </row>
    <row r="26713" spans="30:30" x14ac:dyDescent="0.25">
      <c r="AD26713"/>
    </row>
    <row r="26714" spans="30:30" x14ac:dyDescent="0.25">
      <c r="AD26714"/>
    </row>
    <row r="26715" spans="30:30" x14ac:dyDescent="0.25">
      <c r="AD26715"/>
    </row>
    <row r="26716" spans="30:30" x14ac:dyDescent="0.25">
      <c r="AD26716"/>
    </row>
    <row r="26717" spans="30:30" x14ac:dyDescent="0.25">
      <c r="AD26717"/>
    </row>
    <row r="26718" spans="30:30" x14ac:dyDescent="0.25">
      <c r="AD26718"/>
    </row>
    <row r="26719" spans="30:30" x14ac:dyDescent="0.25">
      <c r="AD26719"/>
    </row>
    <row r="26720" spans="30:30" x14ac:dyDescent="0.25">
      <c r="AD26720"/>
    </row>
    <row r="26721" spans="30:30" x14ac:dyDescent="0.25">
      <c r="AD26721"/>
    </row>
    <row r="26722" spans="30:30" x14ac:dyDescent="0.25">
      <c r="AD26722"/>
    </row>
    <row r="26723" spans="30:30" x14ac:dyDescent="0.25">
      <c r="AD26723"/>
    </row>
    <row r="26724" spans="30:30" x14ac:dyDescent="0.25">
      <c r="AD26724"/>
    </row>
    <row r="26725" spans="30:30" x14ac:dyDescent="0.25">
      <c r="AD26725"/>
    </row>
    <row r="26726" spans="30:30" x14ac:dyDescent="0.25">
      <c r="AD26726"/>
    </row>
    <row r="26727" spans="30:30" x14ac:dyDescent="0.25">
      <c r="AD26727"/>
    </row>
    <row r="26728" spans="30:30" x14ac:dyDescent="0.25">
      <c r="AD26728"/>
    </row>
    <row r="26729" spans="30:30" x14ac:dyDescent="0.25">
      <c r="AD26729"/>
    </row>
    <row r="26730" spans="30:30" x14ac:dyDescent="0.25">
      <c r="AD26730"/>
    </row>
    <row r="26731" spans="30:30" x14ac:dyDescent="0.25">
      <c r="AD26731"/>
    </row>
    <row r="26732" spans="30:30" x14ac:dyDescent="0.25">
      <c r="AD26732"/>
    </row>
    <row r="26733" spans="30:30" x14ac:dyDescent="0.25">
      <c r="AD26733"/>
    </row>
    <row r="26734" spans="30:30" x14ac:dyDescent="0.25">
      <c r="AD26734"/>
    </row>
    <row r="26735" spans="30:30" x14ac:dyDescent="0.25">
      <c r="AD26735"/>
    </row>
    <row r="26736" spans="30:30" x14ac:dyDescent="0.25">
      <c r="AD26736"/>
    </row>
    <row r="26737" spans="30:30" x14ac:dyDescent="0.25">
      <c r="AD26737"/>
    </row>
    <row r="26738" spans="30:30" x14ac:dyDescent="0.25">
      <c r="AD26738"/>
    </row>
    <row r="26739" spans="30:30" x14ac:dyDescent="0.25">
      <c r="AD26739"/>
    </row>
    <row r="26740" spans="30:30" x14ac:dyDescent="0.25">
      <c r="AD26740"/>
    </row>
    <row r="26741" spans="30:30" x14ac:dyDescent="0.25">
      <c r="AD26741"/>
    </row>
    <row r="26742" spans="30:30" x14ac:dyDescent="0.25">
      <c r="AD26742"/>
    </row>
    <row r="26743" spans="30:30" x14ac:dyDescent="0.25">
      <c r="AD26743"/>
    </row>
    <row r="26744" spans="30:30" x14ac:dyDescent="0.25">
      <c r="AD26744"/>
    </row>
    <row r="26745" spans="30:30" x14ac:dyDescent="0.25">
      <c r="AD26745"/>
    </row>
    <row r="26746" spans="30:30" x14ac:dyDescent="0.25">
      <c r="AD26746"/>
    </row>
    <row r="26747" spans="30:30" x14ac:dyDescent="0.25">
      <c r="AD26747"/>
    </row>
    <row r="26748" spans="30:30" x14ac:dyDescent="0.25">
      <c r="AD26748"/>
    </row>
    <row r="26749" spans="30:30" x14ac:dyDescent="0.25">
      <c r="AD26749"/>
    </row>
    <row r="26750" spans="30:30" x14ac:dyDescent="0.25">
      <c r="AD26750"/>
    </row>
    <row r="26751" spans="30:30" x14ac:dyDescent="0.25">
      <c r="AD26751"/>
    </row>
    <row r="26752" spans="30:30" x14ac:dyDescent="0.25">
      <c r="AD26752"/>
    </row>
    <row r="26753" spans="30:30" x14ac:dyDescent="0.25">
      <c r="AD26753"/>
    </row>
    <row r="26754" spans="30:30" x14ac:dyDescent="0.25">
      <c r="AD26754"/>
    </row>
    <row r="26755" spans="30:30" x14ac:dyDescent="0.25">
      <c r="AD26755"/>
    </row>
    <row r="26756" spans="30:30" x14ac:dyDescent="0.25">
      <c r="AD26756"/>
    </row>
    <row r="26757" spans="30:30" x14ac:dyDescent="0.25">
      <c r="AD26757"/>
    </row>
    <row r="26758" spans="30:30" x14ac:dyDescent="0.25">
      <c r="AD26758"/>
    </row>
    <row r="26759" spans="30:30" x14ac:dyDescent="0.25">
      <c r="AD26759"/>
    </row>
    <row r="26760" spans="30:30" x14ac:dyDescent="0.25">
      <c r="AD26760"/>
    </row>
    <row r="26761" spans="30:30" x14ac:dyDescent="0.25">
      <c r="AD26761"/>
    </row>
    <row r="26762" spans="30:30" x14ac:dyDescent="0.25">
      <c r="AD26762"/>
    </row>
    <row r="26763" spans="30:30" x14ac:dyDescent="0.25">
      <c r="AD26763"/>
    </row>
    <row r="26764" spans="30:30" x14ac:dyDescent="0.25">
      <c r="AD26764"/>
    </row>
    <row r="26765" spans="30:30" x14ac:dyDescent="0.25">
      <c r="AD26765"/>
    </row>
    <row r="26766" spans="30:30" x14ac:dyDescent="0.25">
      <c r="AD26766"/>
    </row>
    <row r="26767" spans="30:30" x14ac:dyDescent="0.25">
      <c r="AD26767"/>
    </row>
    <row r="26768" spans="30:30" x14ac:dyDescent="0.25">
      <c r="AD26768"/>
    </row>
    <row r="26769" spans="30:30" x14ac:dyDescent="0.25">
      <c r="AD26769"/>
    </row>
    <row r="26770" spans="30:30" x14ac:dyDescent="0.25">
      <c r="AD26770"/>
    </row>
    <row r="26771" spans="30:30" x14ac:dyDescent="0.25">
      <c r="AD26771"/>
    </row>
    <row r="26772" spans="30:30" x14ac:dyDescent="0.25">
      <c r="AD26772"/>
    </row>
    <row r="26773" spans="30:30" x14ac:dyDescent="0.25">
      <c r="AD26773"/>
    </row>
    <row r="26774" spans="30:30" x14ac:dyDescent="0.25">
      <c r="AD26774"/>
    </row>
    <row r="26775" spans="30:30" x14ac:dyDescent="0.25">
      <c r="AD26775"/>
    </row>
    <row r="26776" spans="30:30" x14ac:dyDescent="0.25">
      <c r="AD26776"/>
    </row>
    <row r="26777" spans="30:30" x14ac:dyDescent="0.25">
      <c r="AD26777"/>
    </row>
    <row r="26778" spans="30:30" x14ac:dyDescent="0.25">
      <c r="AD26778"/>
    </row>
    <row r="26779" spans="30:30" x14ac:dyDescent="0.25">
      <c r="AD26779"/>
    </row>
    <row r="26780" spans="30:30" x14ac:dyDescent="0.25">
      <c r="AD26780"/>
    </row>
    <row r="26781" spans="30:30" x14ac:dyDescent="0.25">
      <c r="AD26781"/>
    </row>
    <row r="26782" spans="30:30" x14ac:dyDescent="0.25">
      <c r="AD26782"/>
    </row>
    <row r="26783" spans="30:30" x14ac:dyDescent="0.25">
      <c r="AD26783"/>
    </row>
    <row r="26784" spans="30:30" x14ac:dyDescent="0.25">
      <c r="AD26784"/>
    </row>
    <row r="26785" spans="30:30" x14ac:dyDescent="0.25">
      <c r="AD26785"/>
    </row>
    <row r="26786" spans="30:30" x14ac:dyDescent="0.25">
      <c r="AD26786"/>
    </row>
    <row r="26787" spans="30:30" x14ac:dyDescent="0.25">
      <c r="AD26787"/>
    </row>
    <row r="26788" spans="30:30" x14ac:dyDescent="0.25">
      <c r="AD26788"/>
    </row>
    <row r="26789" spans="30:30" x14ac:dyDescent="0.25">
      <c r="AD26789"/>
    </row>
    <row r="26790" spans="30:30" x14ac:dyDescent="0.25">
      <c r="AD26790"/>
    </row>
    <row r="26791" spans="30:30" x14ac:dyDescent="0.25">
      <c r="AD26791"/>
    </row>
    <row r="26792" spans="30:30" x14ac:dyDescent="0.25">
      <c r="AD26792"/>
    </row>
    <row r="26793" spans="30:30" x14ac:dyDescent="0.25">
      <c r="AD26793"/>
    </row>
    <row r="26794" spans="30:30" x14ac:dyDescent="0.25">
      <c r="AD26794"/>
    </row>
    <row r="26795" spans="30:30" x14ac:dyDescent="0.25">
      <c r="AD26795"/>
    </row>
    <row r="26796" spans="30:30" x14ac:dyDescent="0.25">
      <c r="AD26796"/>
    </row>
    <row r="26797" spans="30:30" x14ac:dyDescent="0.25">
      <c r="AD26797"/>
    </row>
    <row r="26798" spans="30:30" x14ac:dyDescent="0.25">
      <c r="AD26798"/>
    </row>
    <row r="26799" spans="30:30" x14ac:dyDescent="0.25">
      <c r="AD26799"/>
    </row>
    <row r="26800" spans="30:30" x14ac:dyDescent="0.25">
      <c r="AD26800"/>
    </row>
    <row r="26801" spans="30:30" x14ac:dyDescent="0.25">
      <c r="AD26801"/>
    </row>
    <row r="26802" spans="30:30" x14ac:dyDescent="0.25">
      <c r="AD26802"/>
    </row>
    <row r="26803" spans="30:30" x14ac:dyDescent="0.25">
      <c r="AD26803"/>
    </row>
    <row r="26804" spans="30:30" x14ac:dyDescent="0.25">
      <c r="AD26804"/>
    </row>
    <row r="26805" spans="30:30" x14ac:dyDescent="0.25">
      <c r="AD26805"/>
    </row>
    <row r="26806" spans="30:30" x14ac:dyDescent="0.25">
      <c r="AD26806"/>
    </row>
    <row r="26807" spans="30:30" x14ac:dyDescent="0.25">
      <c r="AD26807"/>
    </row>
    <row r="26808" spans="30:30" x14ac:dyDescent="0.25">
      <c r="AD26808"/>
    </row>
    <row r="26809" spans="30:30" x14ac:dyDescent="0.25">
      <c r="AD26809"/>
    </row>
    <row r="26810" spans="30:30" x14ac:dyDescent="0.25">
      <c r="AD26810"/>
    </row>
    <row r="26811" spans="30:30" x14ac:dyDescent="0.25">
      <c r="AD26811"/>
    </row>
    <row r="26812" spans="30:30" x14ac:dyDescent="0.25">
      <c r="AD26812"/>
    </row>
    <row r="26813" spans="30:30" x14ac:dyDescent="0.25">
      <c r="AD26813"/>
    </row>
    <row r="26814" spans="30:30" x14ac:dyDescent="0.25">
      <c r="AD26814"/>
    </row>
    <row r="26815" spans="30:30" x14ac:dyDescent="0.25">
      <c r="AD26815"/>
    </row>
    <row r="26816" spans="30:30" x14ac:dyDescent="0.25">
      <c r="AD26816"/>
    </row>
    <row r="26817" spans="30:30" x14ac:dyDescent="0.25">
      <c r="AD26817"/>
    </row>
    <row r="26818" spans="30:30" x14ac:dyDescent="0.25">
      <c r="AD26818"/>
    </row>
    <row r="26819" spans="30:30" x14ac:dyDescent="0.25">
      <c r="AD26819"/>
    </row>
    <row r="26820" spans="30:30" x14ac:dyDescent="0.25">
      <c r="AD26820"/>
    </row>
    <row r="26821" spans="30:30" x14ac:dyDescent="0.25">
      <c r="AD26821"/>
    </row>
    <row r="26822" spans="30:30" x14ac:dyDescent="0.25">
      <c r="AD26822"/>
    </row>
    <row r="26823" spans="30:30" x14ac:dyDescent="0.25">
      <c r="AD26823"/>
    </row>
    <row r="26824" spans="30:30" x14ac:dyDescent="0.25">
      <c r="AD26824"/>
    </row>
    <row r="26825" spans="30:30" x14ac:dyDescent="0.25">
      <c r="AD26825"/>
    </row>
    <row r="26826" spans="30:30" x14ac:dyDescent="0.25">
      <c r="AD26826"/>
    </row>
    <row r="26827" spans="30:30" x14ac:dyDescent="0.25">
      <c r="AD26827"/>
    </row>
    <row r="26828" spans="30:30" x14ac:dyDescent="0.25">
      <c r="AD26828"/>
    </row>
    <row r="26829" spans="30:30" x14ac:dyDescent="0.25">
      <c r="AD26829"/>
    </row>
    <row r="26830" spans="30:30" x14ac:dyDescent="0.25">
      <c r="AD26830"/>
    </row>
    <row r="26831" spans="30:30" x14ac:dyDescent="0.25">
      <c r="AD26831"/>
    </row>
    <row r="26832" spans="30:30" x14ac:dyDescent="0.25">
      <c r="AD26832"/>
    </row>
    <row r="26833" spans="30:30" x14ac:dyDescent="0.25">
      <c r="AD26833"/>
    </row>
    <row r="26834" spans="30:30" x14ac:dyDescent="0.25">
      <c r="AD26834"/>
    </row>
    <row r="26835" spans="30:30" x14ac:dyDescent="0.25">
      <c r="AD26835"/>
    </row>
    <row r="26836" spans="30:30" x14ac:dyDescent="0.25">
      <c r="AD26836"/>
    </row>
    <row r="26837" spans="30:30" x14ac:dyDescent="0.25">
      <c r="AD26837"/>
    </row>
    <row r="26838" spans="30:30" x14ac:dyDescent="0.25">
      <c r="AD26838"/>
    </row>
    <row r="26839" spans="30:30" x14ac:dyDescent="0.25">
      <c r="AD26839"/>
    </row>
    <row r="26840" spans="30:30" x14ac:dyDescent="0.25">
      <c r="AD26840"/>
    </row>
    <row r="26841" spans="30:30" x14ac:dyDescent="0.25">
      <c r="AD26841"/>
    </row>
    <row r="26842" spans="30:30" x14ac:dyDescent="0.25">
      <c r="AD26842"/>
    </row>
    <row r="26843" spans="30:30" x14ac:dyDescent="0.25">
      <c r="AD26843"/>
    </row>
    <row r="26844" spans="30:30" x14ac:dyDescent="0.25">
      <c r="AD26844"/>
    </row>
    <row r="26845" spans="30:30" x14ac:dyDescent="0.25">
      <c r="AD26845"/>
    </row>
    <row r="26846" spans="30:30" x14ac:dyDescent="0.25">
      <c r="AD26846"/>
    </row>
    <row r="26847" spans="30:30" x14ac:dyDescent="0.25">
      <c r="AD26847"/>
    </row>
    <row r="26848" spans="30:30" x14ac:dyDescent="0.25">
      <c r="AD26848"/>
    </row>
    <row r="26849" spans="30:30" x14ac:dyDescent="0.25">
      <c r="AD26849"/>
    </row>
    <row r="26850" spans="30:30" x14ac:dyDescent="0.25">
      <c r="AD26850"/>
    </row>
    <row r="26851" spans="30:30" x14ac:dyDescent="0.25">
      <c r="AD26851"/>
    </row>
    <row r="26852" spans="30:30" x14ac:dyDescent="0.25">
      <c r="AD26852"/>
    </row>
    <row r="26853" spans="30:30" x14ac:dyDescent="0.25">
      <c r="AD26853"/>
    </row>
    <row r="26854" spans="30:30" x14ac:dyDescent="0.25">
      <c r="AD26854"/>
    </row>
    <row r="26855" spans="30:30" x14ac:dyDescent="0.25">
      <c r="AD26855"/>
    </row>
    <row r="26856" spans="30:30" x14ac:dyDescent="0.25">
      <c r="AD26856"/>
    </row>
    <row r="26857" spans="30:30" x14ac:dyDescent="0.25">
      <c r="AD26857"/>
    </row>
    <row r="26858" spans="30:30" x14ac:dyDescent="0.25">
      <c r="AD26858"/>
    </row>
    <row r="26859" spans="30:30" x14ac:dyDescent="0.25">
      <c r="AD26859"/>
    </row>
    <row r="26860" spans="30:30" x14ac:dyDescent="0.25">
      <c r="AD26860"/>
    </row>
    <row r="26861" spans="30:30" x14ac:dyDescent="0.25">
      <c r="AD26861"/>
    </row>
    <row r="26862" spans="30:30" x14ac:dyDescent="0.25">
      <c r="AD26862"/>
    </row>
    <row r="26863" spans="30:30" x14ac:dyDescent="0.25">
      <c r="AD26863"/>
    </row>
    <row r="26864" spans="30:30" x14ac:dyDescent="0.25">
      <c r="AD26864"/>
    </row>
    <row r="26865" spans="30:30" x14ac:dyDescent="0.25">
      <c r="AD26865"/>
    </row>
    <row r="26866" spans="30:30" x14ac:dyDescent="0.25">
      <c r="AD26866"/>
    </row>
    <row r="26867" spans="30:30" x14ac:dyDescent="0.25">
      <c r="AD26867"/>
    </row>
    <row r="26868" spans="30:30" x14ac:dyDescent="0.25">
      <c r="AD26868"/>
    </row>
    <row r="26869" spans="30:30" x14ac:dyDescent="0.25">
      <c r="AD26869"/>
    </row>
    <row r="26870" spans="30:30" x14ac:dyDescent="0.25">
      <c r="AD26870"/>
    </row>
    <row r="26871" spans="30:30" x14ac:dyDescent="0.25">
      <c r="AD26871"/>
    </row>
    <row r="26872" spans="30:30" x14ac:dyDescent="0.25">
      <c r="AD26872"/>
    </row>
    <row r="26873" spans="30:30" x14ac:dyDescent="0.25">
      <c r="AD26873"/>
    </row>
    <row r="26874" spans="30:30" x14ac:dyDescent="0.25">
      <c r="AD26874"/>
    </row>
    <row r="26875" spans="30:30" x14ac:dyDescent="0.25">
      <c r="AD26875"/>
    </row>
    <row r="26876" spans="30:30" x14ac:dyDescent="0.25">
      <c r="AD26876"/>
    </row>
    <row r="26877" spans="30:30" x14ac:dyDescent="0.25">
      <c r="AD26877"/>
    </row>
    <row r="26878" spans="30:30" x14ac:dyDescent="0.25">
      <c r="AD26878"/>
    </row>
    <row r="26879" spans="30:30" x14ac:dyDescent="0.25">
      <c r="AD26879"/>
    </row>
    <row r="26880" spans="30:30" x14ac:dyDescent="0.25">
      <c r="AD26880"/>
    </row>
    <row r="26881" spans="30:30" x14ac:dyDescent="0.25">
      <c r="AD26881"/>
    </row>
    <row r="26882" spans="30:30" x14ac:dyDescent="0.25">
      <c r="AD26882"/>
    </row>
    <row r="26883" spans="30:30" x14ac:dyDescent="0.25">
      <c r="AD26883"/>
    </row>
    <row r="26884" spans="30:30" x14ac:dyDescent="0.25">
      <c r="AD26884"/>
    </row>
    <row r="26885" spans="30:30" x14ac:dyDescent="0.25">
      <c r="AD26885"/>
    </row>
    <row r="26886" spans="30:30" x14ac:dyDescent="0.25">
      <c r="AD26886"/>
    </row>
    <row r="26887" spans="30:30" x14ac:dyDescent="0.25">
      <c r="AD26887"/>
    </row>
    <row r="26888" spans="30:30" x14ac:dyDescent="0.25">
      <c r="AD26888"/>
    </row>
    <row r="26889" spans="30:30" x14ac:dyDescent="0.25">
      <c r="AD26889"/>
    </row>
    <row r="26890" spans="30:30" x14ac:dyDescent="0.25">
      <c r="AD26890"/>
    </row>
    <row r="26891" spans="30:30" x14ac:dyDescent="0.25">
      <c r="AD26891"/>
    </row>
    <row r="26892" spans="30:30" x14ac:dyDescent="0.25">
      <c r="AD26892"/>
    </row>
    <row r="26893" spans="30:30" x14ac:dyDescent="0.25">
      <c r="AD26893"/>
    </row>
    <row r="26894" spans="30:30" x14ac:dyDescent="0.25">
      <c r="AD26894"/>
    </row>
    <row r="26895" spans="30:30" x14ac:dyDescent="0.25">
      <c r="AD26895"/>
    </row>
    <row r="26896" spans="30:30" x14ac:dyDescent="0.25">
      <c r="AD26896"/>
    </row>
    <row r="26897" spans="30:30" x14ac:dyDescent="0.25">
      <c r="AD26897"/>
    </row>
    <row r="26898" spans="30:30" x14ac:dyDescent="0.25">
      <c r="AD26898"/>
    </row>
    <row r="26899" spans="30:30" x14ac:dyDescent="0.25">
      <c r="AD26899"/>
    </row>
    <row r="26900" spans="30:30" x14ac:dyDescent="0.25">
      <c r="AD26900"/>
    </row>
    <row r="26901" spans="30:30" x14ac:dyDescent="0.25">
      <c r="AD26901"/>
    </row>
    <row r="26902" spans="30:30" x14ac:dyDescent="0.25">
      <c r="AD26902"/>
    </row>
    <row r="26903" spans="30:30" x14ac:dyDescent="0.25">
      <c r="AD26903"/>
    </row>
    <row r="26904" spans="30:30" x14ac:dyDescent="0.25">
      <c r="AD26904"/>
    </row>
    <row r="26905" spans="30:30" x14ac:dyDescent="0.25">
      <c r="AD26905"/>
    </row>
    <row r="26906" spans="30:30" x14ac:dyDescent="0.25">
      <c r="AD26906"/>
    </row>
    <row r="26907" spans="30:30" x14ac:dyDescent="0.25">
      <c r="AD26907"/>
    </row>
    <row r="26908" spans="30:30" x14ac:dyDescent="0.25">
      <c r="AD26908"/>
    </row>
    <row r="26909" spans="30:30" x14ac:dyDescent="0.25">
      <c r="AD26909"/>
    </row>
    <row r="26910" spans="30:30" x14ac:dyDescent="0.25">
      <c r="AD26910"/>
    </row>
    <row r="26911" spans="30:30" x14ac:dyDescent="0.25">
      <c r="AD26911"/>
    </row>
    <row r="26912" spans="30:30" x14ac:dyDescent="0.25">
      <c r="AD26912"/>
    </row>
    <row r="26913" spans="30:30" x14ac:dyDescent="0.25">
      <c r="AD26913"/>
    </row>
    <row r="26914" spans="30:30" x14ac:dyDescent="0.25">
      <c r="AD26914"/>
    </row>
    <row r="26915" spans="30:30" x14ac:dyDescent="0.25">
      <c r="AD26915"/>
    </row>
    <row r="26916" spans="30:30" x14ac:dyDescent="0.25">
      <c r="AD26916"/>
    </row>
    <row r="26917" spans="30:30" x14ac:dyDescent="0.25">
      <c r="AD26917"/>
    </row>
    <row r="26918" spans="30:30" x14ac:dyDescent="0.25">
      <c r="AD26918"/>
    </row>
    <row r="26919" spans="30:30" x14ac:dyDescent="0.25">
      <c r="AD26919"/>
    </row>
    <row r="26920" spans="30:30" x14ac:dyDescent="0.25">
      <c r="AD26920"/>
    </row>
    <row r="26921" spans="30:30" x14ac:dyDescent="0.25">
      <c r="AD26921"/>
    </row>
    <row r="26922" spans="30:30" x14ac:dyDescent="0.25">
      <c r="AD26922"/>
    </row>
    <row r="26923" spans="30:30" x14ac:dyDescent="0.25">
      <c r="AD26923"/>
    </row>
    <row r="26924" spans="30:30" x14ac:dyDescent="0.25">
      <c r="AD26924"/>
    </row>
    <row r="26925" spans="30:30" x14ac:dyDescent="0.25">
      <c r="AD26925"/>
    </row>
    <row r="26926" spans="30:30" x14ac:dyDescent="0.25">
      <c r="AD26926"/>
    </row>
    <row r="26927" spans="30:30" x14ac:dyDescent="0.25">
      <c r="AD26927"/>
    </row>
    <row r="26928" spans="30:30" x14ac:dyDescent="0.25">
      <c r="AD26928"/>
    </row>
    <row r="26929" spans="30:30" x14ac:dyDescent="0.25">
      <c r="AD26929"/>
    </row>
    <row r="26930" spans="30:30" x14ac:dyDescent="0.25">
      <c r="AD26930"/>
    </row>
    <row r="26931" spans="30:30" x14ac:dyDescent="0.25">
      <c r="AD26931"/>
    </row>
    <row r="26932" spans="30:30" x14ac:dyDescent="0.25">
      <c r="AD26932"/>
    </row>
    <row r="26933" spans="30:30" x14ac:dyDescent="0.25">
      <c r="AD26933"/>
    </row>
    <row r="26934" spans="30:30" x14ac:dyDescent="0.25">
      <c r="AD26934"/>
    </row>
    <row r="26935" spans="30:30" x14ac:dyDescent="0.25">
      <c r="AD26935"/>
    </row>
    <row r="26936" spans="30:30" x14ac:dyDescent="0.25">
      <c r="AD26936"/>
    </row>
    <row r="26937" spans="30:30" x14ac:dyDescent="0.25">
      <c r="AD26937"/>
    </row>
    <row r="26938" spans="30:30" x14ac:dyDescent="0.25">
      <c r="AD26938"/>
    </row>
    <row r="26939" spans="30:30" x14ac:dyDescent="0.25">
      <c r="AD26939"/>
    </row>
    <row r="26940" spans="30:30" x14ac:dyDescent="0.25">
      <c r="AD26940"/>
    </row>
    <row r="26941" spans="30:30" x14ac:dyDescent="0.25">
      <c r="AD26941"/>
    </row>
    <row r="26942" spans="30:30" x14ac:dyDescent="0.25">
      <c r="AD26942"/>
    </row>
    <row r="26943" spans="30:30" x14ac:dyDescent="0.25">
      <c r="AD26943"/>
    </row>
    <row r="26944" spans="30:30" x14ac:dyDescent="0.25">
      <c r="AD26944"/>
    </row>
    <row r="26945" spans="30:30" x14ac:dyDescent="0.25">
      <c r="AD26945"/>
    </row>
    <row r="26946" spans="30:30" x14ac:dyDescent="0.25">
      <c r="AD26946"/>
    </row>
    <row r="26947" spans="30:30" x14ac:dyDescent="0.25">
      <c r="AD26947"/>
    </row>
    <row r="26948" spans="30:30" x14ac:dyDescent="0.25">
      <c r="AD26948"/>
    </row>
    <row r="26949" spans="30:30" x14ac:dyDescent="0.25">
      <c r="AD26949"/>
    </row>
    <row r="26950" spans="30:30" x14ac:dyDescent="0.25">
      <c r="AD26950"/>
    </row>
    <row r="26951" spans="30:30" x14ac:dyDescent="0.25">
      <c r="AD26951"/>
    </row>
    <row r="26952" spans="30:30" x14ac:dyDescent="0.25">
      <c r="AD26952"/>
    </row>
    <row r="26953" spans="30:30" x14ac:dyDescent="0.25">
      <c r="AD26953"/>
    </row>
    <row r="26954" spans="30:30" x14ac:dyDescent="0.25">
      <c r="AD26954"/>
    </row>
    <row r="26955" spans="30:30" x14ac:dyDescent="0.25">
      <c r="AD26955"/>
    </row>
    <row r="26956" spans="30:30" x14ac:dyDescent="0.25">
      <c r="AD26956"/>
    </row>
    <row r="26957" spans="30:30" x14ac:dyDescent="0.25">
      <c r="AD26957"/>
    </row>
    <row r="26958" spans="30:30" x14ac:dyDescent="0.25">
      <c r="AD26958"/>
    </row>
    <row r="26959" spans="30:30" x14ac:dyDescent="0.25">
      <c r="AD26959"/>
    </row>
    <row r="26960" spans="30:30" x14ac:dyDescent="0.25">
      <c r="AD26960"/>
    </row>
    <row r="26961" spans="30:30" x14ac:dyDescent="0.25">
      <c r="AD26961"/>
    </row>
    <row r="26962" spans="30:30" x14ac:dyDescent="0.25">
      <c r="AD26962"/>
    </row>
    <row r="26963" spans="30:30" x14ac:dyDescent="0.25">
      <c r="AD26963"/>
    </row>
    <row r="26964" spans="30:30" x14ac:dyDescent="0.25">
      <c r="AD26964"/>
    </row>
    <row r="26965" spans="30:30" x14ac:dyDescent="0.25">
      <c r="AD26965"/>
    </row>
    <row r="26966" spans="30:30" x14ac:dyDescent="0.25">
      <c r="AD26966"/>
    </row>
    <row r="26967" spans="30:30" x14ac:dyDescent="0.25">
      <c r="AD26967"/>
    </row>
    <row r="26968" spans="30:30" x14ac:dyDescent="0.25">
      <c r="AD26968"/>
    </row>
    <row r="26969" spans="30:30" x14ac:dyDescent="0.25">
      <c r="AD26969"/>
    </row>
    <row r="26970" spans="30:30" x14ac:dyDescent="0.25">
      <c r="AD26970"/>
    </row>
    <row r="26971" spans="30:30" x14ac:dyDescent="0.25">
      <c r="AD26971"/>
    </row>
    <row r="26972" spans="30:30" x14ac:dyDescent="0.25">
      <c r="AD26972"/>
    </row>
    <row r="26973" spans="30:30" x14ac:dyDescent="0.25">
      <c r="AD26973"/>
    </row>
    <row r="26974" spans="30:30" x14ac:dyDescent="0.25">
      <c r="AD26974"/>
    </row>
    <row r="26975" spans="30:30" x14ac:dyDescent="0.25">
      <c r="AD26975"/>
    </row>
    <row r="26976" spans="30:30" x14ac:dyDescent="0.25">
      <c r="AD26976"/>
    </row>
    <row r="26977" spans="30:30" x14ac:dyDescent="0.25">
      <c r="AD26977"/>
    </row>
    <row r="26978" spans="30:30" x14ac:dyDescent="0.25">
      <c r="AD26978"/>
    </row>
    <row r="26979" spans="30:30" x14ac:dyDescent="0.25">
      <c r="AD26979"/>
    </row>
    <row r="26980" spans="30:30" x14ac:dyDescent="0.25">
      <c r="AD26980"/>
    </row>
    <row r="26981" spans="30:30" x14ac:dyDescent="0.25">
      <c r="AD26981"/>
    </row>
    <row r="26982" spans="30:30" x14ac:dyDescent="0.25">
      <c r="AD26982"/>
    </row>
    <row r="26983" spans="30:30" x14ac:dyDescent="0.25">
      <c r="AD26983"/>
    </row>
    <row r="26984" spans="30:30" x14ac:dyDescent="0.25">
      <c r="AD26984"/>
    </row>
    <row r="26985" spans="30:30" x14ac:dyDescent="0.25">
      <c r="AD26985"/>
    </row>
    <row r="26986" spans="30:30" x14ac:dyDescent="0.25">
      <c r="AD26986"/>
    </row>
    <row r="26987" spans="30:30" x14ac:dyDescent="0.25">
      <c r="AD26987"/>
    </row>
    <row r="26988" spans="30:30" x14ac:dyDescent="0.25">
      <c r="AD26988"/>
    </row>
    <row r="26989" spans="30:30" x14ac:dyDescent="0.25">
      <c r="AD26989"/>
    </row>
    <row r="26990" spans="30:30" x14ac:dyDescent="0.25">
      <c r="AD26990"/>
    </row>
    <row r="26991" spans="30:30" x14ac:dyDescent="0.25">
      <c r="AD26991"/>
    </row>
    <row r="26992" spans="30:30" x14ac:dyDescent="0.25">
      <c r="AD26992"/>
    </row>
    <row r="26993" spans="30:30" x14ac:dyDescent="0.25">
      <c r="AD26993"/>
    </row>
    <row r="26994" spans="30:30" x14ac:dyDescent="0.25">
      <c r="AD26994"/>
    </row>
    <row r="26995" spans="30:30" x14ac:dyDescent="0.25">
      <c r="AD26995"/>
    </row>
    <row r="26996" spans="30:30" x14ac:dyDescent="0.25">
      <c r="AD26996"/>
    </row>
    <row r="26997" spans="30:30" x14ac:dyDescent="0.25">
      <c r="AD26997"/>
    </row>
    <row r="26998" spans="30:30" x14ac:dyDescent="0.25">
      <c r="AD26998"/>
    </row>
    <row r="26999" spans="30:30" x14ac:dyDescent="0.25">
      <c r="AD26999"/>
    </row>
    <row r="27000" spans="30:30" x14ac:dyDescent="0.25">
      <c r="AD27000"/>
    </row>
    <row r="27001" spans="30:30" x14ac:dyDescent="0.25">
      <c r="AD27001"/>
    </row>
    <row r="27002" spans="30:30" x14ac:dyDescent="0.25">
      <c r="AD27002"/>
    </row>
    <row r="27003" spans="30:30" x14ac:dyDescent="0.25">
      <c r="AD27003"/>
    </row>
    <row r="27004" spans="30:30" x14ac:dyDescent="0.25">
      <c r="AD27004"/>
    </row>
    <row r="27005" spans="30:30" x14ac:dyDescent="0.25">
      <c r="AD27005"/>
    </row>
    <row r="27006" spans="30:30" x14ac:dyDescent="0.25">
      <c r="AD27006"/>
    </row>
    <row r="27007" spans="30:30" x14ac:dyDescent="0.25">
      <c r="AD27007"/>
    </row>
    <row r="27008" spans="30:30" x14ac:dyDescent="0.25">
      <c r="AD27008"/>
    </row>
    <row r="27009" spans="30:30" x14ac:dyDescent="0.25">
      <c r="AD27009"/>
    </row>
    <row r="27010" spans="30:30" x14ac:dyDescent="0.25">
      <c r="AD27010"/>
    </row>
    <row r="27011" spans="30:30" x14ac:dyDescent="0.25">
      <c r="AD27011"/>
    </row>
    <row r="27012" spans="30:30" x14ac:dyDescent="0.25">
      <c r="AD27012"/>
    </row>
    <row r="27013" spans="30:30" x14ac:dyDescent="0.25">
      <c r="AD27013"/>
    </row>
    <row r="27014" spans="30:30" x14ac:dyDescent="0.25">
      <c r="AD27014"/>
    </row>
    <row r="27015" spans="30:30" x14ac:dyDescent="0.25">
      <c r="AD27015"/>
    </row>
    <row r="27016" spans="30:30" x14ac:dyDescent="0.25">
      <c r="AD27016"/>
    </row>
    <row r="27017" spans="30:30" x14ac:dyDescent="0.25">
      <c r="AD27017"/>
    </row>
    <row r="27018" spans="30:30" x14ac:dyDescent="0.25">
      <c r="AD27018"/>
    </row>
    <row r="27019" spans="30:30" x14ac:dyDescent="0.25">
      <c r="AD27019"/>
    </row>
    <row r="27020" spans="30:30" x14ac:dyDescent="0.25">
      <c r="AD27020"/>
    </row>
    <row r="27021" spans="30:30" x14ac:dyDescent="0.25">
      <c r="AD27021"/>
    </row>
    <row r="27022" spans="30:30" x14ac:dyDescent="0.25">
      <c r="AD27022"/>
    </row>
    <row r="27023" spans="30:30" x14ac:dyDescent="0.25">
      <c r="AD27023"/>
    </row>
    <row r="27024" spans="30:30" x14ac:dyDescent="0.25">
      <c r="AD27024"/>
    </row>
    <row r="27025" spans="30:30" x14ac:dyDescent="0.25">
      <c r="AD27025"/>
    </row>
    <row r="27026" spans="30:30" x14ac:dyDescent="0.25">
      <c r="AD27026"/>
    </row>
    <row r="27027" spans="30:30" x14ac:dyDescent="0.25">
      <c r="AD27027"/>
    </row>
    <row r="27028" spans="30:30" x14ac:dyDescent="0.25">
      <c r="AD27028"/>
    </row>
    <row r="27029" spans="30:30" x14ac:dyDescent="0.25">
      <c r="AD27029"/>
    </row>
    <row r="27030" spans="30:30" x14ac:dyDescent="0.25">
      <c r="AD27030"/>
    </row>
    <row r="27031" spans="30:30" x14ac:dyDescent="0.25">
      <c r="AD27031"/>
    </row>
    <row r="27032" spans="30:30" x14ac:dyDescent="0.25">
      <c r="AD27032"/>
    </row>
    <row r="27033" spans="30:30" x14ac:dyDescent="0.25">
      <c r="AD27033"/>
    </row>
    <row r="27034" spans="30:30" x14ac:dyDescent="0.25">
      <c r="AD27034"/>
    </row>
    <row r="27035" spans="30:30" x14ac:dyDescent="0.25">
      <c r="AD27035"/>
    </row>
    <row r="27036" spans="30:30" x14ac:dyDescent="0.25">
      <c r="AD27036"/>
    </row>
    <row r="27037" spans="30:30" x14ac:dyDescent="0.25">
      <c r="AD27037"/>
    </row>
    <row r="27038" spans="30:30" x14ac:dyDescent="0.25">
      <c r="AD27038"/>
    </row>
    <row r="27039" spans="30:30" x14ac:dyDescent="0.25">
      <c r="AD27039"/>
    </row>
    <row r="27040" spans="30:30" x14ac:dyDescent="0.25">
      <c r="AD27040"/>
    </row>
    <row r="27041" spans="30:30" x14ac:dyDescent="0.25">
      <c r="AD27041"/>
    </row>
    <row r="27042" spans="30:30" x14ac:dyDescent="0.25">
      <c r="AD27042"/>
    </row>
    <row r="27043" spans="30:30" x14ac:dyDescent="0.25">
      <c r="AD27043"/>
    </row>
    <row r="27044" spans="30:30" x14ac:dyDescent="0.25">
      <c r="AD27044"/>
    </row>
    <row r="27045" spans="30:30" x14ac:dyDescent="0.25">
      <c r="AD27045"/>
    </row>
    <row r="27046" spans="30:30" x14ac:dyDescent="0.25">
      <c r="AD27046"/>
    </row>
    <row r="27047" spans="30:30" x14ac:dyDescent="0.25">
      <c r="AD27047"/>
    </row>
    <row r="27048" spans="30:30" x14ac:dyDescent="0.25">
      <c r="AD27048"/>
    </row>
    <row r="27049" spans="30:30" x14ac:dyDescent="0.25">
      <c r="AD27049"/>
    </row>
    <row r="27050" spans="30:30" x14ac:dyDescent="0.25">
      <c r="AD27050"/>
    </row>
    <row r="27051" spans="30:30" x14ac:dyDescent="0.25">
      <c r="AD27051"/>
    </row>
    <row r="27052" spans="30:30" x14ac:dyDescent="0.25">
      <c r="AD27052"/>
    </row>
    <row r="27053" spans="30:30" x14ac:dyDescent="0.25">
      <c r="AD27053"/>
    </row>
    <row r="27054" spans="30:30" x14ac:dyDescent="0.25">
      <c r="AD27054"/>
    </row>
    <row r="27055" spans="30:30" x14ac:dyDescent="0.25">
      <c r="AD27055"/>
    </row>
    <row r="27056" spans="30:30" x14ac:dyDescent="0.25">
      <c r="AD27056"/>
    </row>
    <row r="27057" spans="30:30" x14ac:dyDescent="0.25">
      <c r="AD27057"/>
    </row>
    <row r="27058" spans="30:30" x14ac:dyDescent="0.25">
      <c r="AD27058"/>
    </row>
    <row r="27059" spans="30:30" x14ac:dyDescent="0.25">
      <c r="AD27059"/>
    </row>
    <row r="27060" spans="30:30" x14ac:dyDescent="0.25">
      <c r="AD27060"/>
    </row>
    <row r="27061" spans="30:30" x14ac:dyDescent="0.25">
      <c r="AD27061"/>
    </row>
    <row r="27062" spans="30:30" x14ac:dyDescent="0.25">
      <c r="AD27062"/>
    </row>
    <row r="27063" spans="30:30" x14ac:dyDescent="0.25">
      <c r="AD27063"/>
    </row>
    <row r="27064" spans="30:30" x14ac:dyDescent="0.25">
      <c r="AD27064"/>
    </row>
    <row r="27065" spans="30:30" x14ac:dyDescent="0.25">
      <c r="AD27065"/>
    </row>
    <row r="27066" spans="30:30" x14ac:dyDescent="0.25">
      <c r="AD27066"/>
    </row>
    <row r="27067" spans="30:30" x14ac:dyDescent="0.25">
      <c r="AD27067"/>
    </row>
    <row r="27068" spans="30:30" x14ac:dyDescent="0.25">
      <c r="AD27068"/>
    </row>
    <row r="27069" spans="30:30" x14ac:dyDescent="0.25">
      <c r="AD27069"/>
    </row>
    <row r="27070" spans="30:30" x14ac:dyDescent="0.25">
      <c r="AD27070"/>
    </row>
    <row r="27071" spans="30:30" x14ac:dyDescent="0.25">
      <c r="AD27071"/>
    </row>
    <row r="27072" spans="30:30" x14ac:dyDescent="0.25">
      <c r="AD27072"/>
    </row>
    <row r="27073" spans="30:30" x14ac:dyDescent="0.25">
      <c r="AD27073"/>
    </row>
    <row r="27074" spans="30:30" x14ac:dyDescent="0.25">
      <c r="AD27074"/>
    </row>
    <row r="27075" spans="30:30" x14ac:dyDescent="0.25">
      <c r="AD27075"/>
    </row>
    <row r="27076" spans="30:30" x14ac:dyDescent="0.25">
      <c r="AD27076"/>
    </row>
    <row r="27077" spans="30:30" x14ac:dyDescent="0.25">
      <c r="AD27077"/>
    </row>
    <row r="27078" spans="30:30" x14ac:dyDescent="0.25">
      <c r="AD27078"/>
    </row>
    <row r="27079" spans="30:30" x14ac:dyDescent="0.25">
      <c r="AD27079"/>
    </row>
    <row r="27080" spans="30:30" x14ac:dyDescent="0.25">
      <c r="AD27080"/>
    </row>
    <row r="27081" spans="30:30" x14ac:dyDescent="0.25">
      <c r="AD27081"/>
    </row>
    <row r="27082" spans="30:30" x14ac:dyDescent="0.25">
      <c r="AD27082"/>
    </row>
    <row r="27083" spans="30:30" x14ac:dyDescent="0.25">
      <c r="AD27083"/>
    </row>
    <row r="27084" spans="30:30" x14ac:dyDescent="0.25">
      <c r="AD27084"/>
    </row>
    <row r="27085" spans="30:30" x14ac:dyDescent="0.25">
      <c r="AD27085"/>
    </row>
    <row r="27086" spans="30:30" x14ac:dyDescent="0.25">
      <c r="AD27086"/>
    </row>
    <row r="27087" spans="30:30" x14ac:dyDescent="0.25">
      <c r="AD27087"/>
    </row>
    <row r="27088" spans="30:30" x14ac:dyDescent="0.25">
      <c r="AD27088"/>
    </row>
    <row r="27089" spans="30:30" x14ac:dyDescent="0.25">
      <c r="AD27089"/>
    </row>
    <row r="27090" spans="30:30" x14ac:dyDescent="0.25">
      <c r="AD27090"/>
    </row>
    <row r="27091" spans="30:30" x14ac:dyDescent="0.25">
      <c r="AD27091"/>
    </row>
    <row r="27092" spans="30:30" x14ac:dyDescent="0.25">
      <c r="AD27092"/>
    </row>
    <row r="27093" spans="30:30" x14ac:dyDescent="0.25">
      <c r="AD27093"/>
    </row>
    <row r="27094" spans="30:30" x14ac:dyDescent="0.25">
      <c r="AD27094"/>
    </row>
    <row r="27095" spans="30:30" x14ac:dyDescent="0.25">
      <c r="AD27095"/>
    </row>
    <row r="27096" spans="30:30" x14ac:dyDescent="0.25">
      <c r="AD27096"/>
    </row>
    <row r="27097" spans="30:30" x14ac:dyDescent="0.25">
      <c r="AD27097"/>
    </row>
    <row r="27098" spans="30:30" x14ac:dyDescent="0.25">
      <c r="AD27098"/>
    </row>
    <row r="27099" spans="30:30" x14ac:dyDescent="0.25">
      <c r="AD27099"/>
    </row>
    <row r="27100" spans="30:30" x14ac:dyDescent="0.25">
      <c r="AD27100"/>
    </row>
    <row r="27101" spans="30:30" x14ac:dyDescent="0.25">
      <c r="AD27101"/>
    </row>
    <row r="27102" spans="30:30" x14ac:dyDescent="0.25">
      <c r="AD27102"/>
    </row>
    <row r="27103" spans="30:30" x14ac:dyDescent="0.25">
      <c r="AD27103"/>
    </row>
    <row r="27104" spans="30:30" x14ac:dyDescent="0.25">
      <c r="AD27104"/>
    </row>
    <row r="27105" spans="30:30" x14ac:dyDescent="0.25">
      <c r="AD27105"/>
    </row>
    <row r="27106" spans="30:30" x14ac:dyDescent="0.25">
      <c r="AD27106"/>
    </row>
    <row r="27107" spans="30:30" x14ac:dyDescent="0.25">
      <c r="AD27107"/>
    </row>
    <row r="27108" spans="30:30" x14ac:dyDescent="0.25">
      <c r="AD27108"/>
    </row>
    <row r="27109" spans="30:30" x14ac:dyDescent="0.25">
      <c r="AD27109"/>
    </row>
    <row r="27110" spans="30:30" x14ac:dyDescent="0.25">
      <c r="AD27110"/>
    </row>
    <row r="27111" spans="30:30" x14ac:dyDescent="0.25">
      <c r="AD27111"/>
    </row>
    <row r="27112" spans="30:30" x14ac:dyDescent="0.25">
      <c r="AD27112"/>
    </row>
    <row r="27113" spans="30:30" x14ac:dyDescent="0.25">
      <c r="AD27113"/>
    </row>
    <row r="27114" spans="30:30" x14ac:dyDescent="0.25">
      <c r="AD27114"/>
    </row>
    <row r="27115" spans="30:30" x14ac:dyDescent="0.25">
      <c r="AD27115"/>
    </row>
    <row r="27116" spans="30:30" x14ac:dyDescent="0.25">
      <c r="AD27116"/>
    </row>
    <row r="27117" spans="30:30" x14ac:dyDescent="0.25">
      <c r="AD27117"/>
    </row>
    <row r="27118" spans="30:30" x14ac:dyDescent="0.25">
      <c r="AD27118"/>
    </row>
    <row r="27119" spans="30:30" x14ac:dyDescent="0.25">
      <c r="AD27119"/>
    </row>
    <row r="27120" spans="30:30" x14ac:dyDescent="0.25">
      <c r="AD27120"/>
    </row>
    <row r="27121" spans="30:30" x14ac:dyDescent="0.25">
      <c r="AD27121"/>
    </row>
    <row r="27122" spans="30:30" x14ac:dyDescent="0.25">
      <c r="AD27122"/>
    </row>
    <row r="27123" spans="30:30" x14ac:dyDescent="0.25">
      <c r="AD27123"/>
    </row>
    <row r="27124" spans="30:30" x14ac:dyDescent="0.25">
      <c r="AD27124"/>
    </row>
    <row r="27125" spans="30:30" x14ac:dyDescent="0.25">
      <c r="AD27125"/>
    </row>
    <row r="27126" spans="30:30" x14ac:dyDescent="0.25">
      <c r="AD27126"/>
    </row>
    <row r="27127" spans="30:30" x14ac:dyDescent="0.25">
      <c r="AD27127"/>
    </row>
    <row r="27128" spans="30:30" x14ac:dyDescent="0.25">
      <c r="AD27128"/>
    </row>
    <row r="27129" spans="30:30" x14ac:dyDescent="0.25">
      <c r="AD27129"/>
    </row>
    <row r="27130" spans="30:30" x14ac:dyDescent="0.25">
      <c r="AD27130"/>
    </row>
    <row r="27131" spans="30:30" x14ac:dyDescent="0.25">
      <c r="AD27131"/>
    </row>
    <row r="27132" spans="30:30" x14ac:dyDescent="0.25">
      <c r="AD27132"/>
    </row>
    <row r="27133" spans="30:30" x14ac:dyDescent="0.25">
      <c r="AD27133"/>
    </row>
    <row r="27134" spans="30:30" x14ac:dyDescent="0.25">
      <c r="AD27134"/>
    </row>
    <row r="27135" spans="30:30" x14ac:dyDescent="0.25">
      <c r="AD27135"/>
    </row>
    <row r="27136" spans="30:30" x14ac:dyDescent="0.25">
      <c r="AD27136"/>
    </row>
    <row r="27137" spans="30:30" x14ac:dyDescent="0.25">
      <c r="AD27137"/>
    </row>
    <row r="27138" spans="30:30" x14ac:dyDescent="0.25">
      <c r="AD27138"/>
    </row>
    <row r="27139" spans="30:30" x14ac:dyDescent="0.25">
      <c r="AD27139"/>
    </row>
    <row r="27140" spans="30:30" x14ac:dyDescent="0.25">
      <c r="AD27140"/>
    </row>
    <row r="27141" spans="30:30" x14ac:dyDescent="0.25">
      <c r="AD27141"/>
    </row>
    <row r="27142" spans="30:30" x14ac:dyDescent="0.25">
      <c r="AD27142"/>
    </row>
    <row r="27143" spans="30:30" x14ac:dyDescent="0.25">
      <c r="AD27143"/>
    </row>
    <row r="27144" spans="30:30" x14ac:dyDescent="0.25">
      <c r="AD27144"/>
    </row>
    <row r="27145" spans="30:30" x14ac:dyDescent="0.25">
      <c r="AD27145"/>
    </row>
    <row r="27146" spans="30:30" x14ac:dyDescent="0.25">
      <c r="AD27146"/>
    </row>
    <row r="27147" spans="30:30" x14ac:dyDescent="0.25">
      <c r="AD27147"/>
    </row>
    <row r="27148" spans="30:30" x14ac:dyDescent="0.25">
      <c r="AD27148"/>
    </row>
    <row r="27149" spans="30:30" x14ac:dyDescent="0.25">
      <c r="AD27149"/>
    </row>
    <row r="27150" spans="30:30" x14ac:dyDescent="0.25">
      <c r="AD27150"/>
    </row>
    <row r="27151" spans="30:30" x14ac:dyDescent="0.25">
      <c r="AD27151"/>
    </row>
    <row r="27152" spans="30:30" x14ac:dyDescent="0.25">
      <c r="AD27152"/>
    </row>
    <row r="27153" spans="30:30" x14ac:dyDescent="0.25">
      <c r="AD27153"/>
    </row>
    <row r="27154" spans="30:30" x14ac:dyDescent="0.25">
      <c r="AD27154"/>
    </row>
    <row r="27155" spans="30:30" x14ac:dyDescent="0.25">
      <c r="AD27155"/>
    </row>
    <row r="27156" spans="30:30" x14ac:dyDescent="0.25">
      <c r="AD27156"/>
    </row>
    <row r="27157" spans="30:30" x14ac:dyDescent="0.25">
      <c r="AD27157"/>
    </row>
    <row r="27158" spans="30:30" x14ac:dyDescent="0.25">
      <c r="AD27158"/>
    </row>
    <row r="27159" spans="30:30" x14ac:dyDescent="0.25">
      <c r="AD27159"/>
    </row>
    <row r="27160" spans="30:30" x14ac:dyDescent="0.25">
      <c r="AD27160"/>
    </row>
    <row r="27161" spans="30:30" x14ac:dyDescent="0.25">
      <c r="AD27161"/>
    </row>
    <row r="27162" spans="30:30" x14ac:dyDescent="0.25">
      <c r="AD27162"/>
    </row>
    <row r="27163" spans="30:30" x14ac:dyDescent="0.25">
      <c r="AD27163"/>
    </row>
    <row r="27164" spans="30:30" x14ac:dyDescent="0.25">
      <c r="AD27164"/>
    </row>
    <row r="27165" spans="30:30" x14ac:dyDescent="0.25">
      <c r="AD27165"/>
    </row>
    <row r="27166" spans="30:30" x14ac:dyDescent="0.25">
      <c r="AD27166"/>
    </row>
    <row r="27167" spans="30:30" x14ac:dyDescent="0.25">
      <c r="AD27167"/>
    </row>
    <row r="27168" spans="30:30" x14ac:dyDescent="0.25">
      <c r="AD27168"/>
    </row>
    <row r="27169" spans="30:30" x14ac:dyDescent="0.25">
      <c r="AD27169"/>
    </row>
    <row r="27170" spans="30:30" x14ac:dyDescent="0.25">
      <c r="AD27170"/>
    </row>
    <row r="27171" spans="30:30" x14ac:dyDescent="0.25">
      <c r="AD27171"/>
    </row>
    <row r="27172" spans="30:30" x14ac:dyDescent="0.25">
      <c r="AD27172"/>
    </row>
    <row r="27173" spans="30:30" x14ac:dyDescent="0.25">
      <c r="AD27173"/>
    </row>
    <row r="27174" spans="30:30" x14ac:dyDescent="0.25">
      <c r="AD27174"/>
    </row>
    <row r="27175" spans="30:30" x14ac:dyDescent="0.25">
      <c r="AD27175"/>
    </row>
    <row r="27176" spans="30:30" x14ac:dyDescent="0.25">
      <c r="AD27176"/>
    </row>
    <row r="27177" spans="30:30" x14ac:dyDescent="0.25">
      <c r="AD27177"/>
    </row>
    <row r="27178" spans="30:30" x14ac:dyDescent="0.25">
      <c r="AD27178"/>
    </row>
    <row r="27179" spans="30:30" x14ac:dyDescent="0.25">
      <c r="AD27179"/>
    </row>
    <row r="27180" spans="30:30" x14ac:dyDescent="0.25">
      <c r="AD27180"/>
    </row>
    <row r="27181" spans="30:30" x14ac:dyDescent="0.25">
      <c r="AD27181"/>
    </row>
    <row r="27182" spans="30:30" x14ac:dyDescent="0.25">
      <c r="AD27182"/>
    </row>
    <row r="27183" spans="30:30" x14ac:dyDescent="0.25">
      <c r="AD27183"/>
    </row>
    <row r="27184" spans="30:30" x14ac:dyDescent="0.25">
      <c r="AD27184"/>
    </row>
    <row r="27185" spans="30:30" x14ac:dyDescent="0.25">
      <c r="AD27185"/>
    </row>
    <row r="27186" spans="30:30" x14ac:dyDescent="0.25">
      <c r="AD27186"/>
    </row>
    <row r="27187" spans="30:30" x14ac:dyDescent="0.25">
      <c r="AD27187"/>
    </row>
    <row r="27188" spans="30:30" x14ac:dyDescent="0.25">
      <c r="AD27188"/>
    </row>
    <row r="27189" spans="30:30" x14ac:dyDescent="0.25">
      <c r="AD27189"/>
    </row>
    <row r="27190" spans="30:30" x14ac:dyDescent="0.25">
      <c r="AD27190"/>
    </row>
    <row r="27191" spans="30:30" x14ac:dyDescent="0.25">
      <c r="AD27191"/>
    </row>
    <row r="27192" spans="30:30" x14ac:dyDescent="0.25">
      <c r="AD27192"/>
    </row>
    <row r="27193" spans="30:30" x14ac:dyDescent="0.25">
      <c r="AD27193"/>
    </row>
    <row r="27194" spans="30:30" x14ac:dyDescent="0.25">
      <c r="AD27194"/>
    </row>
    <row r="27195" spans="30:30" x14ac:dyDescent="0.25">
      <c r="AD27195"/>
    </row>
    <row r="27196" spans="30:30" x14ac:dyDescent="0.25">
      <c r="AD27196"/>
    </row>
    <row r="27197" spans="30:30" x14ac:dyDescent="0.25">
      <c r="AD27197"/>
    </row>
    <row r="27198" spans="30:30" x14ac:dyDescent="0.25">
      <c r="AD27198"/>
    </row>
    <row r="27199" spans="30:30" x14ac:dyDescent="0.25">
      <c r="AD27199"/>
    </row>
    <row r="27200" spans="30:30" x14ac:dyDescent="0.25">
      <c r="AD27200"/>
    </row>
    <row r="27201" spans="30:30" x14ac:dyDescent="0.25">
      <c r="AD27201"/>
    </row>
    <row r="27202" spans="30:30" x14ac:dyDescent="0.25">
      <c r="AD27202"/>
    </row>
    <row r="27203" spans="30:30" x14ac:dyDescent="0.25">
      <c r="AD27203"/>
    </row>
    <row r="27204" spans="30:30" x14ac:dyDescent="0.25">
      <c r="AD27204"/>
    </row>
    <row r="27205" spans="30:30" x14ac:dyDescent="0.25">
      <c r="AD27205"/>
    </row>
    <row r="27206" spans="30:30" x14ac:dyDescent="0.25">
      <c r="AD27206"/>
    </row>
    <row r="27207" spans="30:30" x14ac:dyDescent="0.25">
      <c r="AD27207"/>
    </row>
    <row r="27208" spans="30:30" x14ac:dyDescent="0.25">
      <c r="AD27208"/>
    </row>
    <row r="27209" spans="30:30" x14ac:dyDescent="0.25">
      <c r="AD27209"/>
    </row>
    <row r="27210" spans="30:30" x14ac:dyDescent="0.25">
      <c r="AD27210"/>
    </row>
    <row r="27211" spans="30:30" x14ac:dyDescent="0.25">
      <c r="AD27211"/>
    </row>
    <row r="27212" spans="30:30" x14ac:dyDescent="0.25">
      <c r="AD27212"/>
    </row>
    <row r="27213" spans="30:30" x14ac:dyDescent="0.25">
      <c r="AD27213"/>
    </row>
    <row r="27214" spans="30:30" x14ac:dyDescent="0.25">
      <c r="AD27214"/>
    </row>
    <row r="27215" spans="30:30" x14ac:dyDescent="0.25">
      <c r="AD27215"/>
    </row>
    <row r="27216" spans="30:30" x14ac:dyDescent="0.25">
      <c r="AD27216"/>
    </row>
    <row r="27217" spans="30:30" x14ac:dyDescent="0.25">
      <c r="AD27217"/>
    </row>
    <row r="27218" spans="30:30" x14ac:dyDescent="0.25">
      <c r="AD27218"/>
    </row>
    <row r="27219" spans="30:30" x14ac:dyDescent="0.25">
      <c r="AD27219"/>
    </row>
    <row r="27220" spans="30:30" x14ac:dyDescent="0.25">
      <c r="AD27220"/>
    </row>
    <row r="27221" spans="30:30" x14ac:dyDescent="0.25">
      <c r="AD27221"/>
    </row>
    <row r="27222" spans="30:30" x14ac:dyDescent="0.25">
      <c r="AD27222"/>
    </row>
    <row r="27223" spans="30:30" x14ac:dyDescent="0.25">
      <c r="AD27223"/>
    </row>
    <row r="27224" spans="30:30" x14ac:dyDescent="0.25">
      <c r="AD27224"/>
    </row>
    <row r="27225" spans="30:30" x14ac:dyDescent="0.25">
      <c r="AD27225"/>
    </row>
    <row r="27226" spans="30:30" x14ac:dyDescent="0.25">
      <c r="AD27226"/>
    </row>
    <row r="27227" spans="30:30" x14ac:dyDescent="0.25">
      <c r="AD27227"/>
    </row>
    <row r="27228" spans="30:30" x14ac:dyDescent="0.25">
      <c r="AD27228"/>
    </row>
    <row r="27229" spans="30:30" x14ac:dyDescent="0.25">
      <c r="AD27229"/>
    </row>
    <row r="27230" spans="30:30" x14ac:dyDescent="0.25">
      <c r="AD27230"/>
    </row>
    <row r="27231" spans="30:30" x14ac:dyDescent="0.25">
      <c r="AD27231"/>
    </row>
    <row r="27232" spans="30:30" x14ac:dyDescent="0.25">
      <c r="AD27232"/>
    </row>
    <row r="27233" spans="30:30" x14ac:dyDescent="0.25">
      <c r="AD27233"/>
    </row>
    <row r="27234" spans="30:30" x14ac:dyDescent="0.25">
      <c r="AD27234"/>
    </row>
    <row r="27235" spans="30:30" x14ac:dyDescent="0.25">
      <c r="AD27235"/>
    </row>
    <row r="27236" spans="30:30" x14ac:dyDescent="0.25">
      <c r="AD27236"/>
    </row>
    <row r="27237" spans="30:30" x14ac:dyDescent="0.25">
      <c r="AD27237"/>
    </row>
    <row r="27238" spans="30:30" x14ac:dyDescent="0.25">
      <c r="AD27238"/>
    </row>
    <row r="27239" spans="30:30" x14ac:dyDescent="0.25">
      <c r="AD27239"/>
    </row>
    <row r="27240" spans="30:30" x14ac:dyDescent="0.25">
      <c r="AD27240"/>
    </row>
    <row r="27241" spans="30:30" x14ac:dyDescent="0.25">
      <c r="AD27241"/>
    </row>
    <row r="27242" spans="30:30" x14ac:dyDescent="0.25">
      <c r="AD27242"/>
    </row>
    <row r="27243" spans="30:30" x14ac:dyDescent="0.25">
      <c r="AD27243"/>
    </row>
    <row r="27244" spans="30:30" x14ac:dyDescent="0.25">
      <c r="AD27244"/>
    </row>
    <row r="27245" spans="30:30" x14ac:dyDescent="0.25">
      <c r="AD27245"/>
    </row>
    <row r="27246" spans="30:30" x14ac:dyDescent="0.25">
      <c r="AD27246"/>
    </row>
    <row r="27247" spans="30:30" x14ac:dyDescent="0.25">
      <c r="AD27247"/>
    </row>
    <row r="27248" spans="30:30" x14ac:dyDescent="0.25">
      <c r="AD27248"/>
    </row>
    <row r="27249" spans="30:30" x14ac:dyDescent="0.25">
      <c r="AD27249"/>
    </row>
    <row r="27250" spans="30:30" x14ac:dyDescent="0.25">
      <c r="AD27250"/>
    </row>
    <row r="27251" spans="30:30" x14ac:dyDescent="0.25">
      <c r="AD27251"/>
    </row>
    <row r="27252" spans="30:30" x14ac:dyDescent="0.25">
      <c r="AD27252"/>
    </row>
    <row r="27253" spans="30:30" x14ac:dyDescent="0.25">
      <c r="AD27253"/>
    </row>
    <row r="27254" spans="30:30" x14ac:dyDescent="0.25">
      <c r="AD27254"/>
    </row>
    <row r="27255" spans="30:30" x14ac:dyDescent="0.25">
      <c r="AD27255"/>
    </row>
    <row r="27256" spans="30:30" x14ac:dyDescent="0.25">
      <c r="AD27256"/>
    </row>
    <row r="27257" spans="30:30" x14ac:dyDescent="0.25">
      <c r="AD27257"/>
    </row>
    <row r="27258" spans="30:30" x14ac:dyDescent="0.25">
      <c r="AD27258"/>
    </row>
    <row r="27259" spans="30:30" x14ac:dyDescent="0.25">
      <c r="AD27259"/>
    </row>
    <row r="27260" spans="30:30" x14ac:dyDescent="0.25">
      <c r="AD27260"/>
    </row>
    <row r="27261" spans="30:30" x14ac:dyDescent="0.25">
      <c r="AD27261"/>
    </row>
    <row r="27262" spans="30:30" x14ac:dyDescent="0.25">
      <c r="AD27262"/>
    </row>
    <row r="27263" spans="30:30" x14ac:dyDescent="0.25">
      <c r="AD27263"/>
    </row>
    <row r="27264" spans="30:30" x14ac:dyDescent="0.25">
      <c r="AD27264"/>
    </row>
    <row r="27265" spans="30:30" x14ac:dyDescent="0.25">
      <c r="AD27265"/>
    </row>
    <row r="27266" spans="30:30" x14ac:dyDescent="0.25">
      <c r="AD27266"/>
    </row>
    <row r="27267" spans="30:30" x14ac:dyDescent="0.25">
      <c r="AD27267"/>
    </row>
    <row r="27268" spans="30:30" x14ac:dyDescent="0.25">
      <c r="AD27268"/>
    </row>
    <row r="27269" spans="30:30" x14ac:dyDescent="0.25">
      <c r="AD27269"/>
    </row>
    <row r="27270" spans="30:30" x14ac:dyDescent="0.25">
      <c r="AD27270"/>
    </row>
    <row r="27271" spans="30:30" x14ac:dyDescent="0.25">
      <c r="AD27271"/>
    </row>
    <row r="27272" spans="30:30" x14ac:dyDescent="0.25">
      <c r="AD27272"/>
    </row>
    <row r="27273" spans="30:30" x14ac:dyDescent="0.25">
      <c r="AD27273"/>
    </row>
    <row r="27274" spans="30:30" x14ac:dyDescent="0.25">
      <c r="AD27274"/>
    </row>
    <row r="27275" spans="30:30" x14ac:dyDescent="0.25">
      <c r="AD27275"/>
    </row>
    <row r="27276" spans="30:30" x14ac:dyDescent="0.25">
      <c r="AD27276"/>
    </row>
    <row r="27277" spans="30:30" x14ac:dyDescent="0.25">
      <c r="AD27277"/>
    </row>
    <row r="27278" spans="30:30" x14ac:dyDescent="0.25">
      <c r="AD27278"/>
    </row>
    <row r="27279" spans="30:30" x14ac:dyDescent="0.25">
      <c r="AD27279"/>
    </row>
    <row r="27280" spans="30:30" x14ac:dyDescent="0.25">
      <c r="AD27280"/>
    </row>
    <row r="27281" spans="30:30" x14ac:dyDescent="0.25">
      <c r="AD27281"/>
    </row>
    <row r="27282" spans="30:30" x14ac:dyDescent="0.25">
      <c r="AD27282"/>
    </row>
    <row r="27283" spans="30:30" x14ac:dyDescent="0.25">
      <c r="AD27283"/>
    </row>
    <row r="27284" spans="30:30" x14ac:dyDescent="0.25">
      <c r="AD27284"/>
    </row>
    <row r="27285" spans="30:30" x14ac:dyDescent="0.25">
      <c r="AD27285"/>
    </row>
    <row r="27286" spans="30:30" x14ac:dyDescent="0.25">
      <c r="AD27286"/>
    </row>
    <row r="27287" spans="30:30" x14ac:dyDescent="0.25">
      <c r="AD27287"/>
    </row>
    <row r="27288" spans="30:30" x14ac:dyDescent="0.25">
      <c r="AD27288"/>
    </row>
    <row r="27289" spans="30:30" x14ac:dyDescent="0.25">
      <c r="AD27289"/>
    </row>
    <row r="27290" spans="30:30" x14ac:dyDescent="0.25">
      <c r="AD27290"/>
    </row>
    <row r="27291" spans="30:30" x14ac:dyDescent="0.25">
      <c r="AD27291"/>
    </row>
    <row r="27292" spans="30:30" x14ac:dyDescent="0.25">
      <c r="AD27292"/>
    </row>
    <row r="27293" spans="30:30" x14ac:dyDescent="0.25">
      <c r="AD27293"/>
    </row>
    <row r="27294" spans="30:30" x14ac:dyDescent="0.25">
      <c r="AD27294"/>
    </row>
    <row r="27295" spans="30:30" x14ac:dyDescent="0.25">
      <c r="AD27295"/>
    </row>
    <row r="27296" spans="30:30" x14ac:dyDescent="0.25">
      <c r="AD27296"/>
    </row>
    <row r="27297" spans="30:30" x14ac:dyDescent="0.25">
      <c r="AD27297"/>
    </row>
    <row r="27298" spans="30:30" x14ac:dyDescent="0.25">
      <c r="AD27298"/>
    </row>
    <row r="27299" spans="30:30" x14ac:dyDescent="0.25">
      <c r="AD27299"/>
    </row>
    <row r="27300" spans="30:30" x14ac:dyDescent="0.25">
      <c r="AD27300"/>
    </row>
    <row r="27301" spans="30:30" x14ac:dyDescent="0.25">
      <c r="AD27301"/>
    </row>
    <row r="27302" spans="30:30" x14ac:dyDescent="0.25">
      <c r="AD27302"/>
    </row>
    <row r="27303" spans="30:30" x14ac:dyDescent="0.25">
      <c r="AD27303"/>
    </row>
    <row r="27304" spans="30:30" x14ac:dyDescent="0.25">
      <c r="AD27304"/>
    </row>
    <row r="27305" spans="30:30" x14ac:dyDescent="0.25">
      <c r="AD27305"/>
    </row>
    <row r="27306" spans="30:30" x14ac:dyDescent="0.25">
      <c r="AD27306"/>
    </row>
    <row r="27307" spans="30:30" x14ac:dyDescent="0.25">
      <c r="AD27307"/>
    </row>
    <row r="27308" spans="30:30" x14ac:dyDescent="0.25">
      <c r="AD27308"/>
    </row>
    <row r="27309" spans="30:30" x14ac:dyDescent="0.25">
      <c r="AD27309"/>
    </row>
    <row r="27310" spans="30:30" x14ac:dyDescent="0.25">
      <c r="AD27310"/>
    </row>
    <row r="27311" spans="30:30" x14ac:dyDescent="0.25">
      <c r="AD27311"/>
    </row>
    <row r="27312" spans="30:30" x14ac:dyDescent="0.25">
      <c r="AD27312"/>
    </row>
    <row r="27313" spans="30:30" x14ac:dyDescent="0.25">
      <c r="AD27313"/>
    </row>
    <row r="27314" spans="30:30" x14ac:dyDescent="0.25">
      <c r="AD27314"/>
    </row>
    <row r="27315" spans="30:30" x14ac:dyDescent="0.25">
      <c r="AD27315"/>
    </row>
    <row r="27316" spans="30:30" x14ac:dyDescent="0.25">
      <c r="AD27316"/>
    </row>
    <row r="27317" spans="30:30" x14ac:dyDescent="0.25">
      <c r="AD27317"/>
    </row>
    <row r="27318" spans="30:30" x14ac:dyDescent="0.25">
      <c r="AD27318"/>
    </row>
    <row r="27319" spans="30:30" x14ac:dyDescent="0.25">
      <c r="AD27319"/>
    </row>
    <row r="27320" spans="30:30" x14ac:dyDescent="0.25">
      <c r="AD27320"/>
    </row>
    <row r="27321" spans="30:30" x14ac:dyDescent="0.25">
      <c r="AD27321"/>
    </row>
    <row r="27322" spans="30:30" x14ac:dyDescent="0.25">
      <c r="AD27322"/>
    </row>
    <row r="27323" spans="30:30" x14ac:dyDescent="0.25">
      <c r="AD27323"/>
    </row>
    <row r="27324" spans="30:30" x14ac:dyDescent="0.25">
      <c r="AD27324"/>
    </row>
    <row r="27325" spans="30:30" x14ac:dyDescent="0.25">
      <c r="AD27325"/>
    </row>
    <row r="27326" spans="30:30" x14ac:dyDescent="0.25">
      <c r="AD27326"/>
    </row>
    <row r="27327" spans="30:30" x14ac:dyDescent="0.25">
      <c r="AD27327"/>
    </row>
    <row r="27328" spans="30:30" x14ac:dyDescent="0.25">
      <c r="AD27328"/>
    </row>
    <row r="27329" spans="30:30" x14ac:dyDescent="0.25">
      <c r="AD27329"/>
    </row>
    <row r="27330" spans="30:30" x14ac:dyDescent="0.25">
      <c r="AD27330"/>
    </row>
    <row r="27331" spans="30:30" x14ac:dyDescent="0.25">
      <c r="AD27331"/>
    </row>
    <row r="27332" spans="30:30" x14ac:dyDescent="0.25">
      <c r="AD27332"/>
    </row>
    <row r="27333" spans="30:30" x14ac:dyDescent="0.25">
      <c r="AD27333"/>
    </row>
    <row r="27334" spans="30:30" x14ac:dyDescent="0.25">
      <c r="AD27334"/>
    </row>
    <row r="27335" spans="30:30" x14ac:dyDescent="0.25">
      <c r="AD27335"/>
    </row>
    <row r="27336" spans="30:30" x14ac:dyDescent="0.25">
      <c r="AD27336"/>
    </row>
    <row r="27337" spans="30:30" x14ac:dyDescent="0.25">
      <c r="AD27337"/>
    </row>
    <row r="27338" spans="30:30" x14ac:dyDescent="0.25">
      <c r="AD27338"/>
    </row>
    <row r="27339" spans="30:30" x14ac:dyDescent="0.25">
      <c r="AD27339"/>
    </row>
    <row r="27340" spans="30:30" x14ac:dyDescent="0.25">
      <c r="AD27340"/>
    </row>
    <row r="27341" spans="30:30" x14ac:dyDescent="0.25">
      <c r="AD27341"/>
    </row>
    <row r="27342" spans="30:30" x14ac:dyDescent="0.25">
      <c r="AD27342"/>
    </row>
    <row r="27343" spans="30:30" x14ac:dyDescent="0.25">
      <c r="AD27343"/>
    </row>
    <row r="27344" spans="30:30" x14ac:dyDescent="0.25">
      <c r="AD27344"/>
    </row>
    <row r="27345" spans="30:30" x14ac:dyDescent="0.25">
      <c r="AD27345"/>
    </row>
    <row r="27346" spans="30:30" x14ac:dyDescent="0.25">
      <c r="AD27346"/>
    </row>
    <row r="27347" spans="30:30" x14ac:dyDescent="0.25">
      <c r="AD27347"/>
    </row>
    <row r="27348" spans="30:30" x14ac:dyDescent="0.25">
      <c r="AD27348"/>
    </row>
    <row r="27349" spans="30:30" x14ac:dyDescent="0.25">
      <c r="AD27349"/>
    </row>
    <row r="27350" spans="30:30" x14ac:dyDescent="0.25">
      <c r="AD27350"/>
    </row>
    <row r="27351" spans="30:30" x14ac:dyDescent="0.25">
      <c r="AD27351"/>
    </row>
    <row r="27352" spans="30:30" x14ac:dyDescent="0.25">
      <c r="AD27352"/>
    </row>
    <row r="27353" spans="30:30" x14ac:dyDescent="0.25">
      <c r="AD27353"/>
    </row>
    <row r="27354" spans="30:30" x14ac:dyDescent="0.25">
      <c r="AD27354"/>
    </row>
    <row r="27355" spans="30:30" x14ac:dyDescent="0.25">
      <c r="AD27355"/>
    </row>
    <row r="27356" spans="30:30" x14ac:dyDescent="0.25">
      <c r="AD27356"/>
    </row>
    <row r="27357" spans="30:30" x14ac:dyDescent="0.25">
      <c r="AD27357"/>
    </row>
    <row r="27358" spans="30:30" x14ac:dyDescent="0.25">
      <c r="AD27358"/>
    </row>
    <row r="27359" spans="30:30" x14ac:dyDescent="0.25">
      <c r="AD27359"/>
    </row>
    <row r="27360" spans="30:30" x14ac:dyDescent="0.25">
      <c r="AD27360"/>
    </row>
    <row r="27361" spans="30:30" x14ac:dyDescent="0.25">
      <c r="AD27361"/>
    </row>
    <row r="27362" spans="30:30" x14ac:dyDescent="0.25">
      <c r="AD27362"/>
    </row>
    <row r="27363" spans="30:30" x14ac:dyDescent="0.25">
      <c r="AD27363"/>
    </row>
    <row r="27364" spans="30:30" x14ac:dyDescent="0.25">
      <c r="AD27364"/>
    </row>
    <row r="27365" spans="30:30" x14ac:dyDescent="0.25">
      <c r="AD27365"/>
    </row>
    <row r="27366" spans="30:30" x14ac:dyDescent="0.25">
      <c r="AD27366"/>
    </row>
    <row r="27367" spans="30:30" x14ac:dyDescent="0.25">
      <c r="AD27367"/>
    </row>
    <row r="27368" spans="30:30" x14ac:dyDescent="0.25">
      <c r="AD27368"/>
    </row>
    <row r="27369" spans="30:30" x14ac:dyDescent="0.25">
      <c r="AD27369"/>
    </row>
    <row r="27370" spans="30:30" x14ac:dyDescent="0.25">
      <c r="AD27370"/>
    </row>
    <row r="27371" spans="30:30" x14ac:dyDescent="0.25">
      <c r="AD27371"/>
    </row>
    <row r="27372" spans="30:30" x14ac:dyDescent="0.25">
      <c r="AD27372"/>
    </row>
    <row r="27373" spans="30:30" x14ac:dyDescent="0.25">
      <c r="AD27373"/>
    </row>
    <row r="27374" spans="30:30" x14ac:dyDescent="0.25">
      <c r="AD27374"/>
    </row>
    <row r="27375" spans="30:30" x14ac:dyDescent="0.25">
      <c r="AD27375"/>
    </row>
    <row r="27376" spans="30:30" x14ac:dyDescent="0.25">
      <c r="AD27376"/>
    </row>
    <row r="27377" spans="30:30" x14ac:dyDescent="0.25">
      <c r="AD27377"/>
    </row>
    <row r="27378" spans="30:30" x14ac:dyDescent="0.25">
      <c r="AD27378"/>
    </row>
    <row r="27379" spans="30:30" x14ac:dyDescent="0.25">
      <c r="AD27379"/>
    </row>
    <row r="27380" spans="30:30" x14ac:dyDescent="0.25">
      <c r="AD27380"/>
    </row>
    <row r="27381" spans="30:30" x14ac:dyDescent="0.25">
      <c r="AD27381"/>
    </row>
    <row r="27382" spans="30:30" x14ac:dyDescent="0.25">
      <c r="AD27382"/>
    </row>
    <row r="27383" spans="30:30" x14ac:dyDescent="0.25">
      <c r="AD27383"/>
    </row>
    <row r="27384" spans="30:30" x14ac:dyDescent="0.25">
      <c r="AD27384"/>
    </row>
    <row r="27385" spans="30:30" x14ac:dyDescent="0.25">
      <c r="AD27385"/>
    </row>
    <row r="27386" spans="30:30" x14ac:dyDescent="0.25">
      <c r="AD27386"/>
    </row>
    <row r="27387" spans="30:30" x14ac:dyDescent="0.25">
      <c r="AD27387"/>
    </row>
    <row r="27388" spans="30:30" x14ac:dyDescent="0.25">
      <c r="AD27388"/>
    </row>
    <row r="27389" spans="30:30" x14ac:dyDescent="0.25">
      <c r="AD27389"/>
    </row>
    <row r="27390" spans="30:30" x14ac:dyDescent="0.25">
      <c r="AD27390"/>
    </row>
    <row r="27391" spans="30:30" x14ac:dyDescent="0.25">
      <c r="AD27391"/>
    </row>
    <row r="27392" spans="30:30" x14ac:dyDescent="0.25">
      <c r="AD27392"/>
    </row>
    <row r="27393" spans="30:30" x14ac:dyDescent="0.25">
      <c r="AD27393"/>
    </row>
    <row r="27394" spans="30:30" x14ac:dyDescent="0.25">
      <c r="AD27394"/>
    </row>
    <row r="27395" spans="30:30" x14ac:dyDescent="0.25">
      <c r="AD27395"/>
    </row>
    <row r="27396" spans="30:30" x14ac:dyDescent="0.25">
      <c r="AD27396"/>
    </row>
    <row r="27397" spans="30:30" x14ac:dyDescent="0.25">
      <c r="AD27397"/>
    </row>
    <row r="27398" spans="30:30" x14ac:dyDescent="0.25">
      <c r="AD27398"/>
    </row>
    <row r="27399" spans="30:30" x14ac:dyDescent="0.25">
      <c r="AD27399"/>
    </row>
    <row r="27400" spans="30:30" x14ac:dyDescent="0.25">
      <c r="AD27400"/>
    </row>
    <row r="27401" spans="30:30" x14ac:dyDescent="0.25">
      <c r="AD27401"/>
    </row>
    <row r="27402" spans="30:30" x14ac:dyDescent="0.25">
      <c r="AD27402"/>
    </row>
    <row r="27403" spans="30:30" x14ac:dyDescent="0.25">
      <c r="AD27403"/>
    </row>
    <row r="27404" spans="30:30" x14ac:dyDescent="0.25">
      <c r="AD27404"/>
    </row>
    <row r="27405" spans="30:30" x14ac:dyDescent="0.25">
      <c r="AD27405"/>
    </row>
    <row r="27406" spans="30:30" x14ac:dyDescent="0.25">
      <c r="AD27406"/>
    </row>
    <row r="27407" spans="30:30" x14ac:dyDescent="0.25">
      <c r="AD27407"/>
    </row>
    <row r="27408" spans="30:30" x14ac:dyDescent="0.25">
      <c r="AD27408"/>
    </row>
    <row r="27409" spans="30:30" x14ac:dyDescent="0.25">
      <c r="AD27409"/>
    </row>
    <row r="27410" spans="30:30" x14ac:dyDescent="0.25">
      <c r="AD27410"/>
    </row>
    <row r="27411" spans="30:30" x14ac:dyDescent="0.25">
      <c r="AD27411"/>
    </row>
    <row r="27412" spans="30:30" x14ac:dyDescent="0.25">
      <c r="AD27412"/>
    </row>
    <row r="27413" spans="30:30" x14ac:dyDescent="0.25">
      <c r="AD27413"/>
    </row>
    <row r="27414" spans="30:30" x14ac:dyDescent="0.25">
      <c r="AD27414"/>
    </row>
    <row r="27415" spans="30:30" x14ac:dyDescent="0.25">
      <c r="AD27415"/>
    </row>
    <row r="27416" spans="30:30" x14ac:dyDescent="0.25">
      <c r="AD27416"/>
    </row>
    <row r="27417" spans="30:30" x14ac:dyDescent="0.25">
      <c r="AD27417"/>
    </row>
    <row r="27418" spans="30:30" x14ac:dyDescent="0.25">
      <c r="AD27418"/>
    </row>
    <row r="27419" spans="30:30" x14ac:dyDescent="0.25">
      <c r="AD27419"/>
    </row>
    <row r="27420" spans="30:30" x14ac:dyDescent="0.25">
      <c r="AD27420"/>
    </row>
    <row r="27421" spans="30:30" x14ac:dyDescent="0.25">
      <c r="AD27421"/>
    </row>
    <row r="27422" spans="30:30" x14ac:dyDescent="0.25">
      <c r="AD27422"/>
    </row>
    <row r="27423" spans="30:30" x14ac:dyDescent="0.25">
      <c r="AD27423"/>
    </row>
    <row r="27424" spans="30:30" x14ac:dyDescent="0.25">
      <c r="AD27424"/>
    </row>
    <row r="27425" spans="30:30" x14ac:dyDescent="0.25">
      <c r="AD27425"/>
    </row>
    <row r="27426" spans="30:30" x14ac:dyDescent="0.25">
      <c r="AD27426"/>
    </row>
    <row r="27427" spans="30:30" x14ac:dyDescent="0.25">
      <c r="AD27427"/>
    </row>
    <row r="27428" spans="30:30" x14ac:dyDescent="0.25">
      <c r="AD27428"/>
    </row>
    <row r="27429" spans="30:30" x14ac:dyDescent="0.25">
      <c r="AD27429"/>
    </row>
    <row r="27430" spans="30:30" x14ac:dyDescent="0.25">
      <c r="AD27430"/>
    </row>
    <row r="27431" spans="30:30" x14ac:dyDescent="0.25">
      <c r="AD27431"/>
    </row>
    <row r="27432" spans="30:30" x14ac:dyDescent="0.25">
      <c r="AD27432"/>
    </row>
    <row r="27433" spans="30:30" x14ac:dyDescent="0.25">
      <c r="AD27433"/>
    </row>
    <row r="27434" spans="30:30" x14ac:dyDescent="0.25">
      <c r="AD27434"/>
    </row>
    <row r="27435" spans="30:30" x14ac:dyDescent="0.25">
      <c r="AD27435"/>
    </row>
    <row r="27436" spans="30:30" x14ac:dyDescent="0.25">
      <c r="AD27436"/>
    </row>
    <row r="27437" spans="30:30" x14ac:dyDescent="0.25">
      <c r="AD27437"/>
    </row>
    <row r="27438" spans="30:30" x14ac:dyDescent="0.25">
      <c r="AD27438"/>
    </row>
    <row r="27439" spans="30:30" x14ac:dyDescent="0.25">
      <c r="AD27439"/>
    </row>
    <row r="27440" spans="30:30" x14ac:dyDescent="0.25">
      <c r="AD27440"/>
    </row>
    <row r="27441" spans="30:30" x14ac:dyDescent="0.25">
      <c r="AD27441"/>
    </row>
    <row r="27442" spans="30:30" x14ac:dyDescent="0.25">
      <c r="AD27442"/>
    </row>
    <row r="27443" spans="30:30" x14ac:dyDescent="0.25">
      <c r="AD27443"/>
    </row>
    <row r="27444" spans="30:30" x14ac:dyDescent="0.25">
      <c r="AD27444"/>
    </row>
    <row r="27445" spans="30:30" x14ac:dyDescent="0.25">
      <c r="AD27445"/>
    </row>
    <row r="27446" spans="30:30" x14ac:dyDescent="0.25">
      <c r="AD27446"/>
    </row>
    <row r="27447" spans="30:30" x14ac:dyDescent="0.25">
      <c r="AD27447"/>
    </row>
    <row r="27448" spans="30:30" x14ac:dyDescent="0.25">
      <c r="AD27448"/>
    </row>
    <row r="27449" spans="30:30" x14ac:dyDescent="0.25">
      <c r="AD27449"/>
    </row>
    <row r="27450" spans="30:30" x14ac:dyDescent="0.25">
      <c r="AD27450"/>
    </row>
    <row r="27451" spans="30:30" x14ac:dyDescent="0.25">
      <c r="AD27451"/>
    </row>
    <row r="27452" spans="30:30" x14ac:dyDescent="0.25">
      <c r="AD27452"/>
    </row>
    <row r="27453" spans="30:30" x14ac:dyDescent="0.25">
      <c r="AD27453"/>
    </row>
    <row r="27454" spans="30:30" x14ac:dyDescent="0.25">
      <c r="AD27454"/>
    </row>
    <row r="27455" spans="30:30" x14ac:dyDescent="0.25">
      <c r="AD27455"/>
    </row>
    <row r="27456" spans="30:30" x14ac:dyDescent="0.25">
      <c r="AD27456"/>
    </row>
    <row r="27457" spans="30:30" x14ac:dyDescent="0.25">
      <c r="AD27457"/>
    </row>
    <row r="27458" spans="30:30" x14ac:dyDescent="0.25">
      <c r="AD27458"/>
    </row>
    <row r="27459" spans="30:30" x14ac:dyDescent="0.25">
      <c r="AD27459"/>
    </row>
    <row r="27460" spans="30:30" x14ac:dyDescent="0.25">
      <c r="AD27460"/>
    </row>
    <row r="27461" spans="30:30" x14ac:dyDescent="0.25">
      <c r="AD27461"/>
    </row>
    <row r="27462" spans="30:30" x14ac:dyDescent="0.25">
      <c r="AD27462"/>
    </row>
    <row r="27463" spans="30:30" x14ac:dyDescent="0.25">
      <c r="AD27463"/>
    </row>
    <row r="27464" spans="30:30" x14ac:dyDescent="0.25">
      <c r="AD27464"/>
    </row>
    <row r="27465" spans="30:30" x14ac:dyDescent="0.25">
      <c r="AD27465"/>
    </row>
    <row r="27466" spans="30:30" x14ac:dyDescent="0.25">
      <c r="AD27466"/>
    </row>
    <row r="27467" spans="30:30" x14ac:dyDescent="0.25">
      <c r="AD27467"/>
    </row>
    <row r="27468" spans="30:30" x14ac:dyDescent="0.25">
      <c r="AD27468"/>
    </row>
    <row r="27469" spans="30:30" x14ac:dyDescent="0.25">
      <c r="AD27469"/>
    </row>
    <row r="27470" spans="30:30" x14ac:dyDescent="0.25">
      <c r="AD27470"/>
    </row>
    <row r="27471" spans="30:30" x14ac:dyDescent="0.25">
      <c r="AD27471"/>
    </row>
    <row r="27472" spans="30:30" x14ac:dyDescent="0.25">
      <c r="AD27472"/>
    </row>
    <row r="27473" spans="30:30" x14ac:dyDescent="0.25">
      <c r="AD27473"/>
    </row>
    <row r="27474" spans="30:30" x14ac:dyDescent="0.25">
      <c r="AD27474"/>
    </row>
    <row r="27475" spans="30:30" x14ac:dyDescent="0.25">
      <c r="AD27475"/>
    </row>
    <row r="27476" spans="30:30" x14ac:dyDescent="0.25">
      <c r="AD27476"/>
    </row>
    <row r="27477" spans="30:30" x14ac:dyDescent="0.25">
      <c r="AD27477"/>
    </row>
    <row r="27478" spans="30:30" x14ac:dyDescent="0.25">
      <c r="AD27478"/>
    </row>
    <row r="27479" spans="30:30" x14ac:dyDescent="0.25">
      <c r="AD27479"/>
    </row>
    <row r="27480" spans="30:30" x14ac:dyDescent="0.25">
      <c r="AD27480"/>
    </row>
    <row r="27481" spans="30:30" x14ac:dyDescent="0.25">
      <c r="AD27481"/>
    </row>
    <row r="27482" spans="30:30" x14ac:dyDescent="0.25">
      <c r="AD27482"/>
    </row>
    <row r="27483" spans="30:30" x14ac:dyDescent="0.25">
      <c r="AD27483"/>
    </row>
    <row r="27484" spans="30:30" x14ac:dyDescent="0.25">
      <c r="AD27484"/>
    </row>
    <row r="27485" spans="30:30" x14ac:dyDescent="0.25">
      <c r="AD27485"/>
    </row>
    <row r="27486" spans="30:30" x14ac:dyDescent="0.25">
      <c r="AD27486"/>
    </row>
    <row r="27487" spans="30:30" x14ac:dyDescent="0.25">
      <c r="AD27487"/>
    </row>
    <row r="27488" spans="30:30" x14ac:dyDescent="0.25">
      <c r="AD27488"/>
    </row>
    <row r="27489" spans="30:30" x14ac:dyDescent="0.25">
      <c r="AD27489"/>
    </row>
    <row r="27490" spans="30:30" x14ac:dyDescent="0.25">
      <c r="AD27490"/>
    </row>
    <row r="27491" spans="30:30" x14ac:dyDescent="0.25">
      <c r="AD27491"/>
    </row>
    <row r="27492" spans="30:30" x14ac:dyDescent="0.25">
      <c r="AD27492"/>
    </row>
    <row r="27493" spans="30:30" x14ac:dyDescent="0.25">
      <c r="AD27493"/>
    </row>
    <row r="27494" spans="30:30" x14ac:dyDescent="0.25">
      <c r="AD27494"/>
    </row>
    <row r="27495" spans="30:30" x14ac:dyDescent="0.25">
      <c r="AD27495"/>
    </row>
    <row r="27496" spans="30:30" x14ac:dyDescent="0.25">
      <c r="AD27496"/>
    </row>
    <row r="27497" spans="30:30" x14ac:dyDescent="0.25">
      <c r="AD27497"/>
    </row>
    <row r="27498" spans="30:30" x14ac:dyDescent="0.25">
      <c r="AD27498"/>
    </row>
    <row r="27499" spans="30:30" x14ac:dyDescent="0.25">
      <c r="AD27499"/>
    </row>
    <row r="27500" spans="30:30" x14ac:dyDescent="0.25">
      <c r="AD27500"/>
    </row>
    <row r="27501" spans="30:30" x14ac:dyDescent="0.25">
      <c r="AD27501"/>
    </row>
    <row r="27502" spans="30:30" x14ac:dyDescent="0.25">
      <c r="AD27502"/>
    </row>
    <row r="27503" spans="30:30" x14ac:dyDescent="0.25">
      <c r="AD27503"/>
    </row>
    <row r="27504" spans="30:30" x14ac:dyDescent="0.25">
      <c r="AD27504"/>
    </row>
    <row r="27505" spans="30:30" x14ac:dyDescent="0.25">
      <c r="AD27505"/>
    </row>
    <row r="27506" spans="30:30" x14ac:dyDescent="0.25">
      <c r="AD27506"/>
    </row>
    <row r="27507" spans="30:30" x14ac:dyDescent="0.25">
      <c r="AD27507"/>
    </row>
    <row r="27508" spans="30:30" x14ac:dyDescent="0.25">
      <c r="AD27508"/>
    </row>
    <row r="27509" spans="30:30" x14ac:dyDescent="0.25">
      <c r="AD27509"/>
    </row>
    <row r="27510" spans="30:30" x14ac:dyDescent="0.25">
      <c r="AD27510"/>
    </row>
    <row r="27511" spans="30:30" x14ac:dyDescent="0.25">
      <c r="AD27511"/>
    </row>
    <row r="27512" spans="30:30" x14ac:dyDescent="0.25">
      <c r="AD27512"/>
    </row>
    <row r="27513" spans="30:30" x14ac:dyDescent="0.25">
      <c r="AD27513"/>
    </row>
    <row r="27514" spans="30:30" x14ac:dyDescent="0.25">
      <c r="AD27514"/>
    </row>
    <row r="27515" spans="30:30" x14ac:dyDescent="0.25">
      <c r="AD27515"/>
    </row>
    <row r="27516" spans="30:30" x14ac:dyDescent="0.25">
      <c r="AD27516"/>
    </row>
    <row r="27517" spans="30:30" x14ac:dyDescent="0.25">
      <c r="AD27517"/>
    </row>
    <row r="27518" spans="30:30" x14ac:dyDescent="0.25">
      <c r="AD27518"/>
    </row>
    <row r="27519" spans="30:30" x14ac:dyDescent="0.25">
      <c r="AD27519"/>
    </row>
    <row r="27520" spans="30:30" x14ac:dyDescent="0.25">
      <c r="AD27520"/>
    </row>
    <row r="27521" spans="30:30" x14ac:dyDescent="0.25">
      <c r="AD27521"/>
    </row>
    <row r="27522" spans="30:30" x14ac:dyDescent="0.25">
      <c r="AD27522"/>
    </row>
    <row r="27523" spans="30:30" x14ac:dyDescent="0.25">
      <c r="AD27523"/>
    </row>
    <row r="27524" spans="30:30" x14ac:dyDescent="0.25">
      <c r="AD27524"/>
    </row>
    <row r="27525" spans="30:30" x14ac:dyDescent="0.25">
      <c r="AD27525"/>
    </row>
    <row r="27526" spans="30:30" x14ac:dyDescent="0.25">
      <c r="AD27526"/>
    </row>
    <row r="27527" spans="30:30" x14ac:dyDescent="0.25">
      <c r="AD27527"/>
    </row>
    <row r="27528" spans="30:30" x14ac:dyDescent="0.25">
      <c r="AD27528"/>
    </row>
    <row r="27529" spans="30:30" x14ac:dyDescent="0.25">
      <c r="AD27529"/>
    </row>
    <row r="27530" spans="30:30" x14ac:dyDescent="0.25">
      <c r="AD27530"/>
    </row>
    <row r="27531" spans="30:30" x14ac:dyDescent="0.25">
      <c r="AD27531"/>
    </row>
    <row r="27532" spans="30:30" x14ac:dyDescent="0.25">
      <c r="AD27532"/>
    </row>
    <row r="27533" spans="30:30" x14ac:dyDescent="0.25">
      <c r="AD27533"/>
    </row>
    <row r="27534" spans="30:30" x14ac:dyDescent="0.25">
      <c r="AD27534"/>
    </row>
    <row r="27535" spans="30:30" x14ac:dyDescent="0.25">
      <c r="AD27535"/>
    </row>
    <row r="27536" spans="30:30" x14ac:dyDescent="0.25">
      <c r="AD27536"/>
    </row>
    <row r="27537" spans="30:30" x14ac:dyDescent="0.25">
      <c r="AD27537"/>
    </row>
    <row r="27538" spans="30:30" x14ac:dyDescent="0.25">
      <c r="AD27538"/>
    </row>
    <row r="27539" spans="30:30" x14ac:dyDescent="0.25">
      <c r="AD27539"/>
    </row>
    <row r="27540" spans="30:30" x14ac:dyDescent="0.25">
      <c r="AD27540"/>
    </row>
    <row r="27541" spans="30:30" x14ac:dyDescent="0.25">
      <c r="AD27541"/>
    </row>
    <row r="27542" spans="30:30" x14ac:dyDescent="0.25">
      <c r="AD27542"/>
    </row>
    <row r="27543" spans="30:30" x14ac:dyDescent="0.25">
      <c r="AD27543"/>
    </row>
    <row r="27544" spans="30:30" x14ac:dyDescent="0.25">
      <c r="AD27544"/>
    </row>
    <row r="27545" spans="30:30" x14ac:dyDescent="0.25">
      <c r="AD27545"/>
    </row>
    <row r="27546" spans="30:30" x14ac:dyDescent="0.25">
      <c r="AD27546"/>
    </row>
    <row r="27547" spans="30:30" x14ac:dyDescent="0.25">
      <c r="AD27547"/>
    </row>
    <row r="27548" spans="30:30" x14ac:dyDescent="0.25">
      <c r="AD27548"/>
    </row>
    <row r="27549" spans="30:30" x14ac:dyDescent="0.25">
      <c r="AD27549"/>
    </row>
    <row r="27550" spans="30:30" x14ac:dyDescent="0.25">
      <c r="AD27550"/>
    </row>
    <row r="27551" spans="30:30" x14ac:dyDescent="0.25">
      <c r="AD27551"/>
    </row>
    <row r="27552" spans="30:30" x14ac:dyDescent="0.25">
      <c r="AD27552"/>
    </row>
    <row r="27553" spans="30:30" x14ac:dyDescent="0.25">
      <c r="AD27553"/>
    </row>
    <row r="27554" spans="30:30" x14ac:dyDescent="0.25">
      <c r="AD27554"/>
    </row>
    <row r="27555" spans="30:30" x14ac:dyDescent="0.25">
      <c r="AD27555"/>
    </row>
    <row r="27556" spans="30:30" x14ac:dyDescent="0.25">
      <c r="AD27556"/>
    </row>
    <row r="27557" spans="30:30" x14ac:dyDescent="0.25">
      <c r="AD27557"/>
    </row>
    <row r="27558" spans="30:30" x14ac:dyDescent="0.25">
      <c r="AD27558"/>
    </row>
    <row r="27559" spans="30:30" x14ac:dyDescent="0.25">
      <c r="AD27559"/>
    </row>
    <row r="27560" spans="30:30" x14ac:dyDescent="0.25">
      <c r="AD27560"/>
    </row>
    <row r="27561" spans="30:30" x14ac:dyDescent="0.25">
      <c r="AD27561"/>
    </row>
    <row r="27562" spans="30:30" x14ac:dyDescent="0.25">
      <c r="AD27562"/>
    </row>
    <row r="27563" spans="30:30" x14ac:dyDescent="0.25">
      <c r="AD27563"/>
    </row>
    <row r="27564" spans="30:30" x14ac:dyDescent="0.25">
      <c r="AD27564"/>
    </row>
    <row r="27565" spans="30:30" x14ac:dyDescent="0.25">
      <c r="AD27565"/>
    </row>
    <row r="27566" spans="30:30" x14ac:dyDescent="0.25">
      <c r="AD27566"/>
    </row>
    <row r="27567" spans="30:30" x14ac:dyDescent="0.25">
      <c r="AD27567"/>
    </row>
    <row r="27568" spans="30:30" x14ac:dyDescent="0.25">
      <c r="AD27568"/>
    </row>
    <row r="27569" spans="30:30" x14ac:dyDescent="0.25">
      <c r="AD27569"/>
    </row>
    <row r="27570" spans="30:30" x14ac:dyDescent="0.25">
      <c r="AD27570"/>
    </row>
    <row r="27571" spans="30:30" x14ac:dyDescent="0.25">
      <c r="AD27571"/>
    </row>
    <row r="27572" spans="30:30" x14ac:dyDescent="0.25">
      <c r="AD27572"/>
    </row>
    <row r="27573" spans="30:30" x14ac:dyDescent="0.25">
      <c r="AD27573"/>
    </row>
    <row r="27574" spans="30:30" x14ac:dyDescent="0.25">
      <c r="AD27574"/>
    </row>
    <row r="27575" spans="30:30" x14ac:dyDescent="0.25">
      <c r="AD27575"/>
    </row>
    <row r="27576" spans="30:30" x14ac:dyDescent="0.25">
      <c r="AD27576"/>
    </row>
    <row r="27577" spans="30:30" x14ac:dyDescent="0.25">
      <c r="AD27577"/>
    </row>
    <row r="27578" spans="30:30" x14ac:dyDescent="0.25">
      <c r="AD27578"/>
    </row>
    <row r="27579" spans="30:30" x14ac:dyDescent="0.25">
      <c r="AD27579"/>
    </row>
    <row r="27580" spans="30:30" x14ac:dyDescent="0.25">
      <c r="AD27580"/>
    </row>
    <row r="27581" spans="30:30" x14ac:dyDescent="0.25">
      <c r="AD27581"/>
    </row>
    <row r="27582" spans="30:30" x14ac:dyDescent="0.25">
      <c r="AD27582"/>
    </row>
    <row r="27583" spans="30:30" x14ac:dyDescent="0.25">
      <c r="AD27583"/>
    </row>
    <row r="27584" spans="30:30" x14ac:dyDescent="0.25">
      <c r="AD27584"/>
    </row>
    <row r="27585" spans="30:30" x14ac:dyDescent="0.25">
      <c r="AD27585"/>
    </row>
    <row r="27586" spans="30:30" x14ac:dyDescent="0.25">
      <c r="AD27586"/>
    </row>
    <row r="27587" spans="30:30" x14ac:dyDescent="0.25">
      <c r="AD27587"/>
    </row>
    <row r="27588" spans="30:30" x14ac:dyDescent="0.25">
      <c r="AD27588"/>
    </row>
    <row r="27589" spans="30:30" x14ac:dyDescent="0.25">
      <c r="AD27589"/>
    </row>
    <row r="27590" spans="30:30" x14ac:dyDescent="0.25">
      <c r="AD27590"/>
    </row>
    <row r="27591" spans="30:30" x14ac:dyDescent="0.25">
      <c r="AD27591"/>
    </row>
    <row r="27592" spans="30:30" x14ac:dyDescent="0.25">
      <c r="AD27592"/>
    </row>
    <row r="27593" spans="30:30" x14ac:dyDescent="0.25">
      <c r="AD27593"/>
    </row>
    <row r="27594" spans="30:30" x14ac:dyDescent="0.25">
      <c r="AD27594"/>
    </row>
    <row r="27595" spans="30:30" x14ac:dyDescent="0.25">
      <c r="AD27595"/>
    </row>
    <row r="27596" spans="30:30" x14ac:dyDescent="0.25">
      <c r="AD27596"/>
    </row>
    <row r="27597" spans="30:30" x14ac:dyDescent="0.25">
      <c r="AD27597"/>
    </row>
    <row r="27598" spans="30:30" x14ac:dyDescent="0.25">
      <c r="AD27598"/>
    </row>
    <row r="27599" spans="30:30" x14ac:dyDescent="0.25">
      <c r="AD27599"/>
    </row>
    <row r="27600" spans="30:30" x14ac:dyDescent="0.25">
      <c r="AD27600"/>
    </row>
    <row r="27601" spans="30:30" x14ac:dyDescent="0.25">
      <c r="AD27601"/>
    </row>
    <row r="27602" spans="30:30" x14ac:dyDescent="0.25">
      <c r="AD27602"/>
    </row>
    <row r="27603" spans="30:30" x14ac:dyDescent="0.25">
      <c r="AD27603"/>
    </row>
    <row r="27604" spans="30:30" x14ac:dyDescent="0.25">
      <c r="AD27604"/>
    </row>
    <row r="27605" spans="30:30" x14ac:dyDescent="0.25">
      <c r="AD27605"/>
    </row>
    <row r="27606" spans="30:30" x14ac:dyDescent="0.25">
      <c r="AD27606"/>
    </row>
    <row r="27607" spans="30:30" x14ac:dyDescent="0.25">
      <c r="AD27607"/>
    </row>
    <row r="27608" spans="30:30" x14ac:dyDescent="0.25">
      <c r="AD27608"/>
    </row>
    <row r="27609" spans="30:30" x14ac:dyDescent="0.25">
      <c r="AD27609"/>
    </row>
    <row r="27610" spans="30:30" x14ac:dyDescent="0.25">
      <c r="AD27610"/>
    </row>
    <row r="27611" spans="30:30" x14ac:dyDescent="0.25">
      <c r="AD27611"/>
    </row>
    <row r="27612" spans="30:30" x14ac:dyDescent="0.25">
      <c r="AD27612"/>
    </row>
    <row r="27613" spans="30:30" x14ac:dyDescent="0.25">
      <c r="AD27613"/>
    </row>
    <row r="27614" spans="30:30" x14ac:dyDescent="0.25">
      <c r="AD27614"/>
    </row>
    <row r="27615" spans="30:30" x14ac:dyDescent="0.25">
      <c r="AD27615"/>
    </row>
    <row r="27616" spans="30:30" x14ac:dyDescent="0.25">
      <c r="AD27616"/>
    </row>
    <row r="27617" spans="30:30" x14ac:dyDescent="0.25">
      <c r="AD27617"/>
    </row>
    <row r="27618" spans="30:30" x14ac:dyDescent="0.25">
      <c r="AD27618"/>
    </row>
    <row r="27619" spans="30:30" x14ac:dyDescent="0.25">
      <c r="AD27619"/>
    </row>
    <row r="27620" spans="30:30" x14ac:dyDescent="0.25">
      <c r="AD27620"/>
    </row>
    <row r="27621" spans="30:30" x14ac:dyDescent="0.25">
      <c r="AD27621"/>
    </row>
    <row r="27622" spans="30:30" x14ac:dyDescent="0.25">
      <c r="AD27622"/>
    </row>
    <row r="27623" spans="30:30" x14ac:dyDescent="0.25">
      <c r="AD27623"/>
    </row>
    <row r="27624" spans="30:30" x14ac:dyDescent="0.25">
      <c r="AD27624"/>
    </row>
    <row r="27625" spans="30:30" x14ac:dyDescent="0.25">
      <c r="AD27625"/>
    </row>
    <row r="27626" spans="30:30" x14ac:dyDescent="0.25">
      <c r="AD27626"/>
    </row>
    <row r="27627" spans="30:30" x14ac:dyDescent="0.25">
      <c r="AD27627"/>
    </row>
    <row r="27628" spans="30:30" x14ac:dyDescent="0.25">
      <c r="AD27628"/>
    </row>
    <row r="27629" spans="30:30" x14ac:dyDescent="0.25">
      <c r="AD27629"/>
    </row>
    <row r="27630" spans="30:30" x14ac:dyDescent="0.25">
      <c r="AD27630"/>
    </row>
    <row r="27631" spans="30:30" x14ac:dyDescent="0.25">
      <c r="AD27631"/>
    </row>
    <row r="27632" spans="30:30" x14ac:dyDescent="0.25">
      <c r="AD27632"/>
    </row>
    <row r="27633" spans="30:30" x14ac:dyDescent="0.25">
      <c r="AD27633"/>
    </row>
    <row r="27634" spans="30:30" x14ac:dyDescent="0.25">
      <c r="AD27634"/>
    </row>
    <row r="27635" spans="30:30" x14ac:dyDescent="0.25">
      <c r="AD27635"/>
    </row>
    <row r="27636" spans="30:30" x14ac:dyDescent="0.25">
      <c r="AD27636"/>
    </row>
    <row r="27637" spans="30:30" x14ac:dyDescent="0.25">
      <c r="AD27637"/>
    </row>
    <row r="27638" spans="30:30" x14ac:dyDescent="0.25">
      <c r="AD27638"/>
    </row>
    <row r="27639" spans="30:30" x14ac:dyDescent="0.25">
      <c r="AD27639"/>
    </row>
    <row r="27640" spans="30:30" x14ac:dyDescent="0.25">
      <c r="AD27640"/>
    </row>
    <row r="27641" spans="30:30" x14ac:dyDescent="0.25">
      <c r="AD27641"/>
    </row>
    <row r="27642" spans="30:30" x14ac:dyDescent="0.25">
      <c r="AD27642"/>
    </row>
    <row r="27643" spans="30:30" x14ac:dyDescent="0.25">
      <c r="AD27643"/>
    </row>
    <row r="27644" spans="30:30" x14ac:dyDescent="0.25">
      <c r="AD27644"/>
    </row>
    <row r="27645" spans="30:30" x14ac:dyDescent="0.25">
      <c r="AD27645"/>
    </row>
    <row r="27646" spans="30:30" x14ac:dyDescent="0.25">
      <c r="AD27646"/>
    </row>
    <row r="27647" spans="30:30" x14ac:dyDescent="0.25">
      <c r="AD27647"/>
    </row>
    <row r="27648" spans="30:30" x14ac:dyDescent="0.25">
      <c r="AD27648"/>
    </row>
    <row r="27649" spans="30:30" x14ac:dyDescent="0.25">
      <c r="AD27649"/>
    </row>
    <row r="27650" spans="30:30" x14ac:dyDescent="0.25">
      <c r="AD27650"/>
    </row>
    <row r="27651" spans="30:30" x14ac:dyDescent="0.25">
      <c r="AD27651"/>
    </row>
    <row r="27652" spans="30:30" x14ac:dyDescent="0.25">
      <c r="AD27652"/>
    </row>
    <row r="27653" spans="30:30" x14ac:dyDescent="0.25">
      <c r="AD27653"/>
    </row>
    <row r="27654" spans="30:30" x14ac:dyDescent="0.25">
      <c r="AD27654"/>
    </row>
    <row r="27655" spans="30:30" x14ac:dyDescent="0.25">
      <c r="AD27655"/>
    </row>
    <row r="27656" spans="30:30" x14ac:dyDescent="0.25">
      <c r="AD27656"/>
    </row>
    <row r="27657" spans="30:30" x14ac:dyDescent="0.25">
      <c r="AD27657"/>
    </row>
    <row r="27658" spans="30:30" x14ac:dyDescent="0.25">
      <c r="AD27658"/>
    </row>
    <row r="27659" spans="30:30" x14ac:dyDescent="0.25">
      <c r="AD27659"/>
    </row>
    <row r="27660" spans="30:30" x14ac:dyDescent="0.25">
      <c r="AD27660"/>
    </row>
    <row r="27661" spans="30:30" x14ac:dyDescent="0.25">
      <c r="AD27661"/>
    </row>
    <row r="27662" spans="30:30" x14ac:dyDescent="0.25">
      <c r="AD27662"/>
    </row>
    <row r="27663" spans="30:30" x14ac:dyDescent="0.25">
      <c r="AD27663"/>
    </row>
    <row r="27664" spans="30:30" x14ac:dyDescent="0.25">
      <c r="AD27664"/>
    </row>
    <row r="27665" spans="30:30" x14ac:dyDescent="0.25">
      <c r="AD27665"/>
    </row>
    <row r="27666" spans="30:30" x14ac:dyDescent="0.25">
      <c r="AD27666"/>
    </row>
    <row r="27667" spans="30:30" x14ac:dyDescent="0.25">
      <c r="AD27667"/>
    </row>
    <row r="27668" spans="30:30" x14ac:dyDescent="0.25">
      <c r="AD27668"/>
    </row>
    <row r="27669" spans="30:30" x14ac:dyDescent="0.25">
      <c r="AD27669"/>
    </row>
    <row r="27670" spans="30:30" x14ac:dyDescent="0.25">
      <c r="AD27670"/>
    </row>
    <row r="27671" spans="30:30" x14ac:dyDescent="0.25">
      <c r="AD27671"/>
    </row>
    <row r="27672" spans="30:30" x14ac:dyDescent="0.25">
      <c r="AD27672"/>
    </row>
    <row r="27673" spans="30:30" x14ac:dyDescent="0.25">
      <c r="AD27673"/>
    </row>
    <row r="27674" spans="30:30" x14ac:dyDescent="0.25">
      <c r="AD27674"/>
    </row>
    <row r="27675" spans="30:30" x14ac:dyDescent="0.25">
      <c r="AD27675"/>
    </row>
    <row r="27676" spans="30:30" x14ac:dyDescent="0.25">
      <c r="AD27676"/>
    </row>
    <row r="27677" spans="30:30" x14ac:dyDescent="0.25">
      <c r="AD27677"/>
    </row>
    <row r="27678" spans="30:30" x14ac:dyDescent="0.25">
      <c r="AD27678"/>
    </row>
    <row r="27679" spans="30:30" x14ac:dyDescent="0.25">
      <c r="AD27679"/>
    </row>
    <row r="27680" spans="30:30" x14ac:dyDescent="0.25">
      <c r="AD27680"/>
    </row>
    <row r="27681" spans="30:30" x14ac:dyDescent="0.25">
      <c r="AD27681"/>
    </row>
    <row r="27682" spans="30:30" x14ac:dyDescent="0.25">
      <c r="AD27682"/>
    </row>
    <row r="27683" spans="30:30" x14ac:dyDescent="0.25">
      <c r="AD27683"/>
    </row>
    <row r="27684" spans="30:30" x14ac:dyDescent="0.25">
      <c r="AD27684"/>
    </row>
    <row r="27685" spans="30:30" x14ac:dyDescent="0.25">
      <c r="AD27685"/>
    </row>
    <row r="27686" spans="30:30" x14ac:dyDescent="0.25">
      <c r="AD27686"/>
    </row>
    <row r="27687" spans="30:30" x14ac:dyDescent="0.25">
      <c r="AD27687"/>
    </row>
    <row r="27688" spans="30:30" x14ac:dyDescent="0.25">
      <c r="AD27688"/>
    </row>
    <row r="27689" spans="30:30" x14ac:dyDescent="0.25">
      <c r="AD27689"/>
    </row>
    <row r="27690" spans="30:30" x14ac:dyDescent="0.25">
      <c r="AD27690"/>
    </row>
    <row r="27691" spans="30:30" x14ac:dyDescent="0.25">
      <c r="AD27691"/>
    </row>
    <row r="27692" spans="30:30" x14ac:dyDescent="0.25">
      <c r="AD27692"/>
    </row>
    <row r="27693" spans="30:30" x14ac:dyDescent="0.25">
      <c r="AD27693"/>
    </row>
    <row r="27694" spans="30:30" x14ac:dyDescent="0.25">
      <c r="AD27694"/>
    </row>
    <row r="27695" spans="30:30" x14ac:dyDescent="0.25">
      <c r="AD27695"/>
    </row>
    <row r="27696" spans="30:30" x14ac:dyDescent="0.25">
      <c r="AD27696"/>
    </row>
    <row r="27697" spans="30:30" x14ac:dyDescent="0.25">
      <c r="AD27697"/>
    </row>
    <row r="27698" spans="30:30" x14ac:dyDescent="0.25">
      <c r="AD27698"/>
    </row>
    <row r="27699" spans="30:30" x14ac:dyDescent="0.25">
      <c r="AD27699"/>
    </row>
    <row r="27700" spans="30:30" x14ac:dyDescent="0.25">
      <c r="AD27700"/>
    </row>
    <row r="27701" spans="30:30" x14ac:dyDescent="0.25">
      <c r="AD27701"/>
    </row>
    <row r="27702" spans="30:30" x14ac:dyDescent="0.25">
      <c r="AD27702"/>
    </row>
    <row r="27703" spans="30:30" x14ac:dyDescent="0.25">
      <c r="AD27703"/>
    </row>
    <row r="27704" spans="30:30" x14ac:dyDescent="0.25">
      <c r="AD27704"/>
    </row>
    <row r="27705" spans="30:30" x14ac:dyDescent="0.25">
      <c r="AD27705"/>
    </row>
    <row r="27706" spans="30:30" x14ac:dyDescent="0.25">
      <c r="AD27706"/>
    </row>
    <row r="27707" spans="30:30" x14ac:dyDescent="0.25">
      <c r="AD27707"/>
    </row>
    <row r="27708" spans="30:30" x14ac:dyDescent="0.25">
      <c r="AD27708"/>
    </row>
    <row r="27709" spans="30:30" x14ac:dyDescent="0.25">
      <c r="AD27709"/>
    </row>
    <row r="27710" spans="30:30" x14ac:dyDescent="0.25">
      <c r="AD27710"/>
    </row>
    <row r="27711" spans="30:30" x14ac:dyDescent="0.25">
      <c r="AD27711"/>
    </row>
    <row r="27712" spans="30:30" x14ac:dyDescent="0.25">
      <c r="AD27712"/>
    </row>
    <row r="27713" spans="30:30" x14ac:dyDescent="0.25">
      <c r="AD27713"/>
    </row>
    <row r="27714" spans="30:30" x14ac:dyDescent="0.25">
      <c r="AD27714"/>
    </row>
    <row r="27715" spans="30:30" x14ac:dyDescent="0.25">
      <c r="AD27715"/>
    </row>
    <row r="27716" spans="30:30" x14ac:dyDescent="0.25">
      <c r="AD27716"/>
    </row>
    <row r="27717" spans="30:30" x14ac:dyDescent="0.25">
      <c r="AD27717"/>
    </row>
    <row r="27718" spans="30:30" x14ac:dyDescent="0.25">
      <c r="AD27718"/>
    </row>
    <row r="27719" spans="30:30" x14ac:dyDescent="0.25">
      <c r="AD27719"/>
    </row>
    <row r="27720" spans="30:30" x14ac:dyDescent="0.25">
      <c r="AD27720"/>
    </row>
    <row r="27721" spans="30:30" x14ac:dyDescent="0.25">
      <c r="AD27721"/>
    </row>
    <row r="27722" spans="30:30" x14ac:dyDescent="0.25">
      <c r="AD27722"/>
    </row>
    <row r="27723" spans="30:30" x14ac:dyDescent="0.25">
      <c r="AD27723"/>
    </row>
    <row r="27724" spans="30:30" x14ac:dyDescent="0.25">
      <c r="AD27724"/>
    </row>
    <row r="27725" spans="30:30" x14ac:dyDescent="0.25">
      <c r="AD27725"/>
    </row>
    <row r="27726" spans="30:30" x14ac:dyDescent="0.25">
      <c r="AD27726"/>
    </row>
    <row r="27727" spans="30:30" x14ac:dyDescent="0.25">
      <c r="AD27727"/>
    </row>
    <row r="27728" spans="30:30" x14ac:dyDescent="0.25">
      <c r="AD27728"/>
    </row>
    <row r="27729" spans="30:30" x14ac:dyDescent="0.25">
      <c r="AD27729"/>
    </row>
    <row r="27730" spans="30:30" x14ac:dyDescent="0.25">
      <c r="AD27730"/>
    </row>
    <row r="27731" spans="30:30" x14ac:dyDescent="0.25">
      <c r="AD27731"/>
    </row>
    <row r="27732" spans="30:30" x14ac:dyDescent="0.25">
      <c r="AD27732"/>
    </row>
    <row r="27733" spans="30:30" x14ac:dyDescent="0.25">
      <c r="AD27733"/>
    </row>
    <row r="27734" spans="30:30" x14ac:dyDescent="0.25">
      <c r="AD27734"/>
    </row>
    <row r="27735" spans="30:30" x14ac:dyDescent="0.25">
      <c r="AD27735"/>
    </row>
    <row r="27736" spans="30:30" x14ac:dyDescent="0.25">
      <c r="AD27736"/>
    </row>
    <row r="27737" spans="30:30" x14ac:dyDescent="0.25">
      <c r="AD27737"/>
    </row>
    <row r="27738" spans="30:30" x14ac:dyDescent="0.25">
      <c r="AD27738"/>
    </row>
    <row r="27739" spans="30:30" x14ac:dyDescent="0.25">
      <c r="AD27739"/>
    </row>
    <row r="27740" spans="30:30" x14ac:dyDescent="0.25">
      <c r="AD27740"/>
    </row>
    <row r="27741" spans="30:30" x14ac:dyDescent="0.25">
      <c r="AD27741"/>
    </row>
    <row r="27742" spans="30:30" x14ac:dyDescent="0.25">
      <c r="AD27742"/>
    </row>
    <row r="27743" spans="30:30" x14ac:dyDescent="0.25">
      <c r="AD27743"/>
    </row>
    <row r="27744" spans="30:30" x14ac:dyDescent="0.25">
      <c r="AD27744"/>
    </row>
    <row r="27745" spans="30:30" x14ac:dyDescent="0.25">
      <c r="AD27745"/>
    </row>
    <row r="27746" spans="30:30" x14ac:dyDescent="0.25">
      <c r="AD27746"/>
    </row>
    <row r="27747" spans="30:30" x14ac:dyDescent="0.25">
      <c r="AD27747"/>
    </row>
    <row r="27748" spans="30:30" x14ac:dyDescent="0.25">
      <c r="AD27748"/>
    </row>
    <row r="27749" spans="30:30" x14ac:dyDescent="0.25">
      <c r="AD27749"/>
    </row>
    <row r="27750" spans="30:30" x14ac:dyDescent="0.25">
      <c r="AD27750"/>
    </row>
    <row r="27751" spans="30:30" x14ac:dyDescent="0.25">
      <c r="AD27751"/>
    </row>
    <row r="27752" spans="30:30" x14ac:dyDescent="0.25">
      <c r="AD27752"/>
    </row>
    <row r="27753" spans="30:30" x14ac:dyDescent="0.25">
      <c r="AD27753"/>
    </row>
    <row r="27754" spans="30:30" x14ac:dyDescent="0.25">
      <c r="AD27754"/>
    </row>
    <row r="27755" spans="30:30" x14ac:dyDescent="0.25">
      <c r="AD27755"/>
    </row>
    <row r="27756" spans="30:30" x14ac:dyDescent="0.25">
      <c r="AD27756"/>
    </row>
    <row r="27757" spans="30:30" x14ac:dyDescent="0.25">
      <c r="AD27757"/>
    </row>
    <row r="27758" spans="30:30" x14ac:dyDescent="0.25">
      <c r="AD27758"/>
    </row>
    <row r="27759" spans="30:30" x14ac:dyDescent="0.25">
      <c r="AD27759"/>
    </row>
    <row r="27760" spans="30:30" x14ac:dyDescent="0.25">
      <c r="AD27760"/>
    </row>
    <row r="27761" spans="30:30" x14ac:dyDescent="0.25">
      <c r="AD27761"/>
    </row>
    <row r="27762" spans="30:30" x14ac:dyDescent="0.25">
      <c r="AD27762"/>
    </row>
    <row r="27763" spans="30:30" x14ac:dyDescent="0.25">
      <c r="AD27763"/>
    </row>
    <row r="27764" spans="30:30" x14ac:dyDescent="0.25">
      <c r="AD27764"/>
    </row>
    <row r="27765" spans="30:30" x14ac:dyDescent="0.25">
      <c r="AD27765"/>
    </row>
    <row r="27766" spans="30:30" x14ac:dyDescent="0.25">
      <c r="AD27766"/>
    </row>
    <row r="27767" spans="30:30" x14ac:dyDescent="0.25">
      <c r="AD27767"/>
    </row>
    <row r="27768" spans="30:30" x14ac:dyDescent="0.25">
      <c r="AD27768"/>
    </row>
    <row r="27769" spans="30:30" x14ac:dyDescent="0.25">
      <c r="AD27769"/>
    </row>
    <row r="27770" spans="30:30" x14ac:dyDescent="0.25">
      <c r="AD27770"/>
    </row>
    <row r="27771" spans="30:30" x14ac:dyDescent="0.25">
      <c r="AD27771"/>
    </row>
    <row r="27772" spans="30:30" x14ac:dyDescent="0.25">
      <c r="AD27772"/>
    </row>
    <row r="27773" spans="30:30" x14ac:dyDescent="0.25">
      <c r="AD27773"/>
    </row>
    <row r="27774" spans="30:30" x14ac:dyDescent="0.25">
      <c r="AD27774"/>
    </row>
    <row r="27775" spans="30:30" x14ac:dyDescent="0.25">
      <c r="AD27775"/>
    </row>
    <row r="27776" spans="30:30" x14ac:dyDescent="0.25">
      <c r="AD27776"/>
    </row>
    <row r="27777" spans="30:30" x14ac:dyDescent="0.25">
      <c r="AD27777"/>
    </row>
    <row r="27778" spans="30:30" x14ac:dyDescent="0.25">
      <c r="AD27778"/>
    </row>
    <row r="27779" spans="30:30" x14ac:dyDescent="0.25">
      <c r="AD27779"/>
    </row>
    <row r="27780" spans="30:30" x14ac:dyDescent="0.25">
      <c r="AD27780"/>
    </row>
    <row r="27781" spans="30:30" x14ac:dyDescent="0.25">
      <c r="AD27781"/>
    </row>
    <row r="27782" spans="30:30" x14ac:dyDescent="0.25">
      <c r="AD27782"/>
    </row>
    <row r="27783" spans="30:30" x14ac:dyDescent="0.25">
      <c r="AD27783"/>
    </row>
    <row r="27784" spans="30:30" x14ac:dyDescent="0.25">
      <c r="AD27784"/>
    </row>
    <row r="27785" spans="30:30" x14ac:dyDescent="0.25">
      <c r="AD27785"/>
    </row>
    <row r="27786" spans="30:30" x14ac:dyDescent="0.25">
      <c r="AD27786"/>
    </row>
    <row r="27787" spans="30:30" x14ac:dyDescent="0.25">
      <c r="AD27787"/>
    </row>
    <row r="27788" spans="30:30" x14ac:dyDescent="0.25">
      <c r="AD27788"/>
    </row>
    <row r="27789" spans="30:30" x14ac:dyDescent="0.25">
      <c r="AD27789"/>
    </row>
    <row r="27790" spans="30:30" x14ac:dyDescent="0.25">
      <c r="AD27790"/>
    </row>
    <row r="27791" spans="30:30" x14ac:dyDescent="0.25">
      <c r="AD27791"/>
    </row>
    <row r="27792" spans="30:30" x14ac:dyDescent="0.25">
      <c r="AD27792"/>
    </row>
    <row r="27793" spans="30:30" x14ac:dyDescent="0.25">
      <c r="AD27793"/>
    </row>
    <row r="27794" spans="30:30" x14ac:dyDescent="0.25">
      <c r="AD27794"/>
    </row>
    <row r="27795" spans="30:30" x14ac:dyDescent="0.25">
      <c r="AD27795"/>
    </row>
    <row r="27796" spans="30:30" x14ac:dyDescent="0.25">
      <c r="AD27796"/>
    </row>
    <row r="27797" spans="30:30" x14ac:dyDescent="0.25">
      <c r="AD27797"/>
    </row>
    <row r="27798" spans="30:30" x14ac:dyDescent="0.25">
      <c r="AD27798"/>
    </row>
    <row r="27799" spans="30:30" x14ac:dyDescent="0.25">
      <c r="AD27799"/>
    </row>
    <row r="27800" spans="30:30" x14ac:dyDescent="0.25">
      <c r="AD27800"/>
    </row>
    <row r="27801" spans="30:30" x14ac:dyDescent="0.25">
      <c r="AD27801"/>
    </row>
    <row r="27802" spans="30:30" x14ac:dyDescent="0.25">
      <c r="AD27802"/>
    </row>
    <row r="27803" spans="30:30" x14ac:dyDescent="0.25">
      <c r="AD27803"/>
    </row>
    <row r="27804" spans="30:30" x14ac:dyDescent="0.25">
      <c r="AD27804"/>
    </row>
    <row r="27805" spans="30:30" x14ac:dyDescent="0.25">
      <c r="AD27805"/>
    </row>
    <row r="27806" spans="30:30" x14ac:dyDescent="0.25">
      <c r="AD27806"/>
    </row>
    <row r="27807" spans="30:30" x14ac:dyDescent="0.25">
      <c r="AD27807"/>
    </row>
    <row r="27808" spans="30:30" x14ac:dyDescent="0.25">
      <c r="AD27808"/>
    </row>
    <row r="27809" spans="30:30" x14ac:dyDescent="0.25">
      <c r="AD27809"/>
    </row>
    <row r="27810" spans="30:30" x14ac:dyDescent="0.25">
      <c r="AD27810"/>
    </row>
    <row r="27811" spans="30:30" x14ac:dyDescent="0.25">
      <c r="AD27811"/>
    </row>
    <row r="27812" spans="30:30" x14ac:dyDescent="0.25">
      <c r="AD27812"/>
    </row>
    <row r="27813" spans="30:30" x14ac:dyDescent="0.25">
      <c r="AD27813"/>
    </row>
    <row r="27814" spans="30:30" x14ac:dyDescent="0.25">
      <c r="AD27814"/>
    </row>
    <row r="27815" spans="30:30" x14ac:dyDescent="0.25">
      <c r="AD27815"/>
    </row>
    <row r="27816" spans="30:30" x14ac:dyDescent="0.25">
      <c r="AD27816"/>
    </row>
    <row r="27817" spans="30:30" x14ac:dyDescent="0.25">
      <c r="AD27817"/>
    </row>
    <row r="27818" spans="30:30" x14ac:dyDescent="0.25">
      <c r="AD27818"/>
    </row>
    <row r="27819" spans="30:30" x14ac:dyDescent="0.25">
      <c r="AD27819"/>
    </row>
    <row r="27820" spans="30:30" x14ac:dyDescent="0.25">
      <c r="AD27820"/>
    </row>
    <row r="27821" spans="30:30" x14ac:dyDescent="0.25">
      <c r="AD27821"/>
    </row>
    <row r="27822" spans="30:30" x14ac:dyDescent="0.25">
      <c r="AD27822"/>
    </row>
    <row r="27823" spans="30:30" x14ac:dyDescent="0.25">
      <c r="AD27823"/>
    </row>
    <row r="27824" spans="30:30" x14ac:dyDescent="0.25">
      <c r="AD27824"/>
    </row>
    <row r="27825" spans="30:30" x14ac:dyDescent="0.25">
      <c r="AD27825"/>
    </row>
    <row r="27826" spans="30:30" x14ac:dyDescent="0.25">
      <c r="AD27826"/>
    </row>
    <row r="27827" spans="30:30" x14ac:dyDescent="0.25">
      <c r="AD27827"/>
    </row>
    <row r="27828" spans="30:30" x14ac:dyDescent="0.25">
      <c r="AD27828"/>
    </row>
    <row r="27829" spans="30:30" x14ac:dyDescent="0.25">
      <c r="AD27829"/>
    </row>
    <row r="27830" spans="30:30" x14ac:dyDescent="0.25">
      <c r="AD27830"/>
    </row>
    <row r="27831" spans="30:30" x14ac:dyDescent="0.25">
      <c r="AD27831"/>
    </row>
    <row r="27832" spans="30:30" x14ac:dyDescent="0.25">
      <c r="AD27832"/>
    </row>
    <row r="27833" spans="30:30" x14ac:dyDescent="0.25">
      <c r="AD27833"/>
    </row>
    <row r="27834" spans="30:30" x14ac:dyDescent="0.25">
      <c r="AD27834"/>
    </row>
    <row r="27835" spans="30:30" x14ac:dyDescent="0.25">
      <c r="AD27835"/>
    </row>
    <row r="27836" spans="30:30" x14ac:dyDescent="0.25">
      <c r="AD27836"/>
    </row>
    <row r="27837" spans="30:30" x14ac:dyDescent="0.25">
      <c r="AD27837"/>
    </row>
    <row r="27838" spans="30:30" x14ac:dyDescent="0.25">
      <c r="AD27838"/>
    </row>
    <row r="27839" spans="30:30" x14ac:dyDescent="0.25">
      <c r="AD27839"/>
    </row>
    <row r="27840" spans="30:30" x14ac:dyDescent="0.25">
      <c r="AD27840"/>
    </row>
    <row r="27841" spans="30:30" x14ac:dyDescent="0.25">
      <c r="AD27841"/>
    </row>
    <row r="27842" spans="30:30" x14ac:dyDescent="0.25">
      <c r="AD27842"/>
    </row>
    <row r="27843" spans="30:30" x14ac:dyDescent="0.25">
      <c r="AD27843"/>
    </row>
    <row r="27844" spans="30:30" x14ac:dyDescent="0.25">
      <c r="AD27844"/>
    </row>
    <row r="27845" spans="30:30" x14ac:dyDescent="0.25">
      <c r="AD27845"/>
    </row>
    <row r="27846" spans="30:30" x14ac:dyDescent="0.25">
      <c r="AD27846"/>
    </row>
    <row r="27847" spans="30:30" x14ac:dyDescent="0.25">
      <c r="AD27847"/>
    </row>
    <row r="27848" spans="30:30" x14ac:dyDescent="0.25">
      <c r="AD27848"/>
    </row>
    <row r="27849" spans="30:30" x14ac:dyDescent="0.25">
      <c r="AD27849"/>
    </row>
    <row r="27850" spans="30:30" x14ac:dyDescent="0.25">
      <c r="AD27850"/>
    </row>
    <row r="27851" spans="30:30" x14ac:dyDescent="0.25">
      <c r="AD27851"/>
    </row>
    <row r="27852" spans="30:30" x14ac:dyDescent="0.25">
      <c r="AD27852"/>
    </row>
    <row r="27853" spans="30:30" x14ac:dyDescent="0.25">
      <c r="AD27853"/>
    </row>
    <row r="27854" spans="30:30" x14ac:dyDescent="0.25">
      <c r="AD27854"/>
    </row>
    <row r="27855" spans="30:30" x14ac:dyDescent="0.25">
      <c r="AD27855"/>
    </row>
    <row r="27856" spans="30:30" x14ac:dyDescent="0.25">
      <c r="AD27856"/>
    </row>
    <row r="27857" spans="30:30" x14ac:dyDescent="0.25">
      <c r="AD27857"/>
    </row>
    <row r="27858" spans="30:30" x14ac:dyDescent="0.25">
      <c r="AD27858"/>
    </row>
    <row r="27859" spans="30:30" x14ac:dyDescent="0.25">
      <c r="AD27859"/>
    </row>
    <row r="27860" spans="30:30" x14ac:dyDescent="0.25">
      <c r="AD27860"/>
    </row>
    <row r="27861" spans="30:30" x14ac:dyDescent="0.25">
      <c r="AD27861"/>
    </row>
    <row r="27862" spans="30:30" x14ac:dyDescent="0.25">
      <c r="AD27862"/>
    </row>
    <row r="27863" spans="30:30" x14ac:dyDescent="0.25">
      <c r="AD27863"/>
    </row>
    <row r="27864" spans="30:30" x14ac:dyDescent="0.25">
      <c r="AD27864"/>
    </row>
    <row r="27865" spans="30:30" x14ac:dyDescent="0.25">
      <c r="AD27865"/>
    </row>
    <row r="27866" spans="30:30" x14ac:dyDescent="0.25">
      <c r="AD27866"/>
    </row>
    <row r="27867" spans="30:30" x14ac:dyDescent="0.25">
      <c r="AD27867"/>
    </row>
    <row r="27868" spans="30:30" x14ac:dyDescent="0.25">
      <c r="AD27868"/>
    </row>
    <row r="27869" spans="30:30" x14ac:dyDescent="0.25">
      <c r="AD27869"/>
    </row>
    <row r="27870" spans="30:30" x14ac:dyDescent="0.25">
      <c r="AD27870"/>
    </row>
    <row r="27871" spans="30:30" x14ac:dyDescent="0.25">
      <c r="AD27871"/>
    </row>
    <row r="27872" spans="30:30" x14ac:dyDescent="0.25">
      <c r="AD27872"/>
    </row>
    <row r="27873" spans="30:30" x14ac:dyDescent="0.25">
      <c r="AD27873"/>
    </row>
    <row r="27874" spans="30:30" x14ac:dyDescent="0.25">
      <c r="AD27874"/>
    </row>
    <row r="27875" spans="30:30" x14ac:dyDescent="0.25">
      <c r="AD27875"/>
    </row>
    <row r="27876" spans="30:30" x14ac:dyDescent="0.25">
      <c r="AD27876"/>
    </row>
    <row r="27877" spans="30:30" x14ac:dyDescent="0.25">
      <c r="AD27877"/>
    </row>
    <row r="27878" spans="30:30" x14ac:dyDescent="0.25">
      <c r="AD27878"/>
    </row>
    <row r="27879" spans="30:30" x14ac:dyDescent="0.25">
      <c r="AD27879"/>
    </row>
    <row r="27880" spans="30:30" x14ac:dyDescent="0.25">
      <c r="AD27880"/>
    </row>
    <row r="27881" spans="30:30" x14ac:dyDescent="0.25">
      <c r="AD27881"/>
    </row>
    <row r="27882" spans="30:30" x14ac:dyDescent="0.25">
      <c r="AD27882"/>
    </row>
    <row r="27883" spans="30:30" x14ac:dyDescent="0.25">
      <c r="AD27883"/>
    </row>
    <row r="27884" spans="30:30" x14ac:dyDescent="0.25">
      <c r="AD27884"/>
    </row>
    <row r="27885" spans="30:30" x14ac:dyDescent="0.25">
      <c r="AD27885"/>
    </row>
    <row r="27886" spans="30:30" x14ac:dyDescent="0.25">
      <c r="AD27886"/>
    </row>
    <row r="27887" spans="30:30" x14ac:dyDescent="0.25">
      <c r="AD27887"/>
    </row>
    <row r="27888" spans="30:30" x14ac:dyDescent="0.25">
      <c r="AD27888"/>
    </row>
    <row r="27889" spans="30:30" x14ac:dyDescent="0.25">
      <c r="AD27889"/>
    </row>
    <row r="27890" spans="30:30" x14ac:dyDescent="0.25">
      <c r="AD27890"/>
    </row>
    <row r="27891" spans="30:30" x14ac:dyDescent="0.25">
      <c r="AD27891"/>
    </row>
    <row r="27892" spans="30:30" x14ac:dyDescent="0.25">
      <c r="AD27892"/>
    </row>
    <row r="27893" spans="30:30" x14ac:dyDescent="0.25">
      <c r="AD27893"/>
    </row>
    <row r="27894" spans="30:30" x14ac:dyDescent="0.25">
      <c r="AD27894"/>
    </row>
    <row r="27895" spans="30:30" x14ac:dyDescent="0.25">
      <c r="AD27895"/>
    </row>
    <row r="27896" spans="30:30" x14ac:dyDescent="0.25">
      <c r="AD27896"/>
    </row>
    <row r="27897" spans="30:30" x14ac:dyDescent="0.25">
      <c r="AD27897"/>
    </row>
    <row r="27898" spans="30:30" x14ac:dyDescent="0.25">
      <c r="AD27898"/>
    </row>
    <row r="27899" spans="30:30" x14ac:dyDescent="0.25">
      <c r="AD27899"/>
    </row>
    <row r="27900" spans="30:30" x14ac:dyDescent="0.25">
      <c r="AD27900"/>
    </row>
    <row r="27901" spans="30:30" x14ac:dyDescent="0.25">
      <c r="AD27901"/>
    </row>
    <row r="27902" spans="30:30" x14ac:dyDescent="0.25">
      <c r="AD27902"/>
    </row>
    <row r="27903" spans="30:30" x14ac:dyDescent="0.25">
      <c r="AD27903"/>
    </row>
    <row r="27904" spans="30:30" x14ac:dyDescent="0.25">
      <c r="AD27904"/>
    </row>
    <row r="27905" spans="30:30" x14ac:dyDescent="0.25">
      <c r="AD27905"/>
    </row>
    <row r="27906" spans="30:30" x14ac:dyDescent="0.25">
      <c r="AD27906"/>
    </row>
    <row r="27907" spans="30:30" x14ac:dyDescent="0.25">
      <c r="AD27907"/>
    </row>
    <row r="27908" spans="30:30" x14ac:dyDescent="0.25">
      <c r="AD27908"/>
    </row>
    <row r="27909" spans="30:30" x14ac:dyDescent="0.25">
      <c r="AD27909"/>
    </row>
    <row r="27910" spans="30:30" x14ac:dyDescent="0.25">
      <c r="AD27910"/>
    </row>
    <row r="27911" spans="30:30" x14ac:dyDescent="0.25">
      <c r="AD27911"/>
    </row>
    <row r="27912" spans="30:30" x14ac:dyDescent="0.25">
      <c r="AD27912"/>
    </row>
    <row r="27913" spans="30:30" x14ac:dyDescent="0.25">
      <c r="AD27913"/>
    </row>
    <row r="27914" spans="30:30" x14ac:dyDescent="0.25">
      <c r="AD27914"/>
    </row>
    <row r="27915" spans="30:30" x14ac:dyDescent="0.25">
      <c r="AD27915"/>
    </row>
    <row r="27916" spans="30:30" x14ac:dyDescent="0.25">
      <c r="AD27916"/>
    </row>
    <row r="27917" spans="30:30" x14ac:dyDescent="0.25">
      <c r="AD27917"/>
    </row>
    <row r="27918" spans="30:30" x14ac:dyDescent="0.25">
      <c r="AD27918"/>
    </row>
    <row r="27919" spans="30:30" x14ac:dyDescent="0.25">
      <c r="AD27919"/>
    </row>
    <row r="27920" spans="30:30" x14ac:dyDescent="0.25">
      <c r="AD27920"/>
    </row>
    <row r="27921" spans="30:30" x14ac:dyDescent="0.25">
      <c r="AD27921"/>
    </row>
    <row r="27922" spans="30:30" x14ac:dyDescent="0.25">
      <c r="AD27922"/>
    </row>
    <row r="27923" spans="30:30" x14ac:dyDescent="0.25">
      <c r="AD27923"/>
    </row>
    <row r="27924" spans="30:30" x14ac:dyDescent="0.25">
      <c r="AD27924"/>
    </row>
    <row r="27925" spans="30:30" x14ac:dyDescent="0.25">
      <c r="AD27925"/>
    </row>
    <row r="27926" spans="30:30" x14ac:dyDescent="0.25">
      <c r="AD27926"/>
    </row>
    <row r="27927" spans="30:30" x14ac:dyDescent="0.25">
      <c r="AD27927"/>
    </row>
    <row r="27928" spans="30:30" x14ac:dyDescent="0.25">
      <c r="AD27928"/>
    </row>
    <row r="27929" spans="30:30" x14ac:dyDescent="0.25">
      <c r="AD27929"/>
    </row>
    <row r="27930" spans="30:30" x14ac:dyDescent="0.25">
      <c r="AD27930"/>
    </row>
    <row r="27931" spans="30:30" x14ac:dyDescent="0.25">
      <c r="AD27931"/>
    </row>
    <row r="27932" spans="30:30" x14ac:dyDescent="0.25">
      <c r="AD27932"/>
    </row>
    <row r="27933" spans="30:30" x14ac:dyDescent="0.25">
      <c r="AD27933"/>
    </row>
    <row r="27934" spans="30:30" x14ac:dyDescent="0.25">
      <c r="AD27934"/>
    </row>
    <row r="27935" spans="30:30" x14ac:dyDescent="0.25">
      <c r="AD27935"/>
    </row>
    <row r="27936" spans="30:30" x14ac:dyDescent="0.25">
      <c r="AD27936"/>
    </row>
    <row r="27937" spans="30:30" x14ac:dyDescent="0.25">
      <c r="AD27937"/>
    </row>
    <row r="27938" spans="30:30" x14ac:dyDescent="0.25">
      <c r="AD27938"/>
    </row>
    <row r="27939" spans="30:30" x14ac:dyDescent="0.25">
      <c r="AD27939"/>
    </row>
    <row r="27940" spans="30:30" x14ac:dyDescent="0.25">
      <c r="AD27940"/>
    </row>
    <row r="27941" spans="30:30" x14ac:dyDescent="0.25">
      <c r="AD27941"/>
    </row>
    <row r="27942" spans="30:30" x14ac:dyDescent="0.25">
      <c r="AD27942"/>
    </row>
    <row r="27943" spans="30:30" x14ac:dyDescent="0.25">
      <c r="AD27943"/>
    </row>
    <row r="27944" spans="30:30" x14ac:dyDescent="0.25">
      <c r="AD27944"/>
    </row>
    <row r="27945" spans="30:30" x14ac:dyDescent="0.25">
      <c r="AD27945"/>
    </row>
    <row r="27946" spans="30:30" x14ac:dyDescent="0.25">
      <c r="AD27946"/>
    </row>
    <row r="27947" spans="30:30" x14ac:dyDescent="0.25">
      <c r="AD27947"/>
    </row>
    <row r="27948" spans="30:30" x14ac:dyDescent="0.25">
      <c r="AD27948"/>
    </row>
    <row r="27949" spans="30:30" x14ac:dyDescent="0.25">
      <c r="AD27949"/>
    </row>
    <row r="27950" spans="30:30" x14ac:dyDescent="0.25">
      <c r="AD27950"/>
    </row>
    <row r="27951" spans="30:30" x14ac:dyDescent="0.25">
      <c r="AD27951"/>
    </row>
    <row r="27952" spans="30:30" x14ac:dyDescent="0.25">
      <c r="AD27952"/>
    </row>
    <row r="27953" spans="30:30" x14ac:dyDescent="0.25">
      <c r="AD27953"/>
    </row>
    <row r="27954" spans="30:30" x14ac:dyDescent="0.25">
      <c r="AD27954"/>
    </row>
    <row r="27955" spans="30:30" x14ac:dyDescent="0.25">
      <c r="AD27955"/>
    </row>
    <row r="27956" spans="30:30" x14ac:dyDescent="0.25">
      <c r="AD27956"/>
    </row>
    <row r="27957" spans="30:30" x14ac:dyDescent="0.25">
      <c r="AD27957"/>
    </row>
    <row r="27958" spans="30:30" x14ac:dyDescent="0.25">
      <c r="AD27958"/>
    </row>
    <row r="27959" spans="30:30" x14ac:dyDescent="0.25">
      <c r="AD27959"/>
    </row>
    <row r="27960" spans="30:30" x14ac:dyDescent="0.25">
      <c r="AD27960"/>
    </row>
    <row r="27961" spans="30:30" x14ac:dyDescent="0.25">
      <c r="AD27961"/>
    </row>
    <row r="27962" spans="30:30" x14ac:dyDescent="0.25">
      <c r="AD27962"/>
    </row>
    <row r="27963" spans="30:30" x14ac:dyDescent="0.25">
      <c r="AD27963"/>
    </row>
    <row r="27964" spans="30:30" x14ac:dyDescent="0.25">
      <c r="AD27964"/>
    </row>
    <row r="27965" spans="30:30" x14ac:dyDescent="0.25">
      <c r="AD27965"/>
    </row>
    <row r="27966" spans="30:30" x14ac:dyDescent="0.25">
      <c r="AD27966"/>
    </row>
    <row r="27967" spans="30:30" x14ac:dyDescent="0.25">
      <c r="AD27967"/>
    </row>
    <row r="27968" spans="30:30" x14ac:dyDescent="0.25">
      <c r="AD27968"/>
    </row>
    <row r="27969" spans="30:30" x14ac:dyDescent="0.25">
      <c r="AD27969"/>
    </row>
    <row r="27970" spans="30:30" x14ac:dyDescent="0.25">
      <c r="AD27970"/>
    </row>
    <row r="27971" spans="30:30" x14ac:dyDescent="0.25">
      <c r="AD27971"/>
    </row>
    <row r="27972" spans="30:30" x14ac:dyDescent="0.25">
      <c r="AD27972"/>
    </row>
    <row r="27973" spans="30:30" x14ac:dyDescent="0.25">
      <c r="AD27973"/>
    </row>
    <row r="27974" spans="30:30" x14ac:dyDescent="0.25">
      <c r="AD27974"/>
    </row>
    <row r="27975" spans="30:30" x14ac:dyDescent="0.25">
      <c r="AD27975"/>
    </row>
    <row r="27976" spans="30:30" x14ac:dyDescent="0.25">
      <c r="AD27976"/>
    </row>
    <row r="27977" spans="30:30" x14ac:dyDescent="0.25">
      <c r="AD27977"/>
    </row>
    <row r="27978" spans="30:30" x14ac:dyDescent="0.25">
      <c r="AD27978"/>
    </row>
    <row r="27979" spans="30:30" x14ac:dyDescent="0.25">
      <c r="AD27979"/>
    </row>
    <row r="27980" spans="30:30" x14ac:dyDescent="0.25">
      <c r="AD27980"/>
    </row>
    <row r="27981" spans="30:30" x14ac:dyDescent="0.25">
      <c r="AD27981"/>
    </row>
    <row r="27982" spans="30:30" x14ac:dyDescent="0.25">
      <c r="AD27982"/>
    </row>
    <row r="27983" spans="30:30" x14ac:dyDescent="0.25">
      <c r="AD27983"/>
    </row>
    <row r="27984" spans="30:30" x14ac:dyDescent="0.25">
      <c r="AD27984"/>
    </row>
    <row r="27985" spans="30:30" x14ac:dyDescent="0.25">
      <c r="AD27985"/>
    </row>
    <row r="27986" spans="30:30" x14ac:dyDescent="0.25">
      <c r="AD27986"/>
    </row>
    <row r="27987" spans="30:30" x14ac:dyDescent="0.25">
      <c r="AD27987"/>
    </row>
    <row r="27988" spans="30:30" x14ac:dyDescent="0.25">
      <c r="AD27988"/>
    </row>
    <row r="27989" spans="30:30" x14ac:dyDescent="0.25">
      <c r="AD27989"/>
    </row>
    <row r="27990" spans="30:30" x14ac:dyDescent="0.25">
      <c r="AD27990"/>
    </row>
    <row r="27991" spans="30:30" x14ac:dyDescent="0.25">
      <c r="AD27991"/>
    </row>
    <row r="27992" spans="30:30" x14ac:dyDescent="0.25">
      <c r="AD27992"/>
    </row>
    <row r="27993" spans="30:30" x14ac:dyDescent="0.25">
      <c r="AD27993"/>
    </row>
    <row r="27994" spans="30:30" x14ac:dyDescent="0.25">
      <c r="AD27994"/>
    </row>
    <row r="27995" spans="30:30" x14ac:dyDescent="0.25">
      <c r="AD27995"/>
    </row>
    <row r="27996" spans="30:30" x14ac:dyDescent="0.25">
      <c r="AD27996"/>
    </row>
    <row r="27997" spans="30:30" x14ac:dyDescent="0.25">
      <c r="AD27997"/>
    </row>
    <row r="27998" spans="30:30" x14ac:dyDescent="0.25">
      <c r="AD27998"/>
    </row>
    <row r="27999" spans="30:30" x14ac:dyDescent="0.25">
      <c r="AD27999"/>
    </row>
    <row r="28000" spans="30:30" x14ac:dyDescent="0.25">
      <c r="AD28000"/>
    </row>
    <row r="28001" spans="30:30" x14ac:dyDescent="0.25">
      <c r="AD28001"/>
    </row>
    <row r="28002" spans="30:30" x14ac:dyDescent="0.25">
      <c r="AD28002"/>
    </row>
    <row r="28003" spans="30:30" x14ac:dyDescent="0.25">
      <c r="AD28003"/>
    </row>
    <row r="28004" spans="30:30" x14ac:dyDescent="0.25">
      <c r="AD28004"/>
    </row>
    <row r="28005" spans="30:30" x14ac:dyDescent="0.25">
      <c r="AD28005"/>
    </row>
    <row r="28006" spans="30:30" x14ac:dyDescent="0.25">
      <c r="AD28006"/>
    </row>
    <row r="28007" spans="30:30" x14ac:dyDescent="0.25">
      <c r="AD28007"/>
    </row>
    <row r="28008" spans="30:30" x14ac:dyDescent="0.25">
      <c r="AD28008"/>
    </row>
    <row r="28009" spans="30:30" x14ac:dyDescent="0.25">
      <c r="AD28009"/>
    </row>
    <row r="28010" spans="30:30" x14ac:dyDescent="0.25">
      <c r="AD28010"/>
    </row>
    <row r="28011" spans="30:30" x14ac:dyDescent="0.25">
      <c r="AD28011"/>
    </row>
    <row r="28012" spans="30:30" x14ac:dyDescent="0.25">
      <c r="AD28012"/>
    </row>
    <row r="28013" spans="30:30" x14ac:dyDescent="0.25">
      <c r="AD28013"/>
    </row>
    <row r="28014" spans="30:30" x14ac:dyDescent="0.25">
      <c r="AD28014"/>
    </row>
    <row r="28015" spans="30:30" x14ac:dyDescent="0.25">
      <c r="AD28015"/>
    </row>
    <row r="28016" spans="30:30" x14ac:dyDescent="0.25">
      <c r="AD28016"/>
    </row>
    <row r="28017" spans="30:30" x14ac:dyDescent="0.25">
      <c r="AD28017"/>
    </row>
    <row r="28018" spans="30:30" x14ac:dyDescent="0.25">
      <c r="AD28018"/>
    </row>
    <row r="28019" spans="30:30" x14ac:dyDescent="0.25">
      <c r="AD28019"/>
    </row>
    <row r="28020" spans="30:30" x14ac:dyDescent="0.25">
      <c r="AD28020"/>
    </row>
    <row r="28021" spans="30:30" x14ac:dyDescent="0.25">
      <c r="AD28021"/>
    </row>
    <row r="28022" spans="30:30" x14ac:dyDescent="0.25">
      <c r="AD28022"/>
    </row>
    <row r="28023" spans="30:30" x14ac:dyDescent="0.25">
      <c r="AD28023"/>
    </row>
    <row r="28024" spans="30:30" x14ac:dyDescent="0.25">
      <c r="AD28024"/>
    </row>
    <row r="28025" spans="30:30" x14ac:dyDescent="0.25">
      <c r="AD28025"/>
    </row>
    <row r="28026" spans="30:30" x14ac:dyDescent="0.25">
      <c r="AD28026"/>
    </row>
    <row r="28027" spans="30:30" x14ac:dyDescent="0.25">
      <c r="AD28027"/>
    </row>
    <row r="28028" spans="30:30" x14ac:dyDescent="0.25">
      <c r="AD28028"/>
    </row>
    <row r="28029" spans="30:30" x14ac:dyDescent="0.25">
      <c r="AD28029"/>
    </row>
    <row r="28030" spans="30:30" x14ac:dyDescent="0.25">
      <c r="AD28030"/>
    </row>
    <row r="28031" spans="30:30" x14ac:dyDescent="0.25">
      <c r="AD28031"/>
    </row>
    <row r="28032" spans="30:30" x14ac:dyDescent="0.25">
      <c r="AD28032"/>
    </row>
    <row r="28033" spans="30:30" x14ac:dyDescent="0.25">
      <c r="AD28033"/>
    </row>
    <row r="28034" spans="30:30" x14ac:dyDescent="0.25">
      <c r="AD28034"/>
    </row>
    <row r="28035" spans="30:30" x14ac:dyDescent="0.25">
      <c r="AD28035"/>
    </row>
    <row r="28036" spans="30:30" x14ac:dyDescent="0.25">
      <c r="AD28036"/>
    </row>
    <row r="28037" spans="30:30" x14ac:dyDescent="0.25">
      <c r="AD28037"/>
    </row>
    <row r="28038" spans="30:30" x14ac:dyDescent="0.25">
      <c r="AD28038"/>
    </row>
    <row r="28039" spans="30:30" x14ac:dyDescent="0.25">
      <c r="AD28039"/>
    </row>
    <row r="28040" spans="30:30" x14ac:dyDescent="0.25">
      <c r="AD28040"/>
    </row>
    <row r="28041" spans="30:30" x14ac:dyDescent="0.25">
      <c r="AD28041"/>
    </row>
    <row r="28042" spans="30:30" x14ac:dyDescent="0.25">
      <c r="AD28042"/>
    </row>
    <row r="28043" spans="30:30" x14ac:dyDescent="0.25">
      <c r="AD28043"/>
    </row>
    <row r="28044" spans="30:30" x14ac:dyDescent="0.25">
      <c r="AD28044"/>
    </row>
    <row r="28045" spans="30:30" x14ac:dyDescent="0.25">
      <c r="AD28045"/>
    </row>
    <row r="28046" spans="30:30" x14ac:dyDescent="0.25">
      <c r="AD28046"/>
    </row>
    <row r="28047" spans="30:30" x14ac:dyDescent="0.25">
      <c r="AD28047"/>
    </row>
    <row r="28048" spans="30:30" x14ac:dyDescent="0.25">
      <c r="AD28048"/>
    </row>
    <row r="28049" spans="30:30" x14ac:dyDescent="0.25">
      <c r="AD28049"/>
    </row>
    <row r="28050" spans="30:30" x14ac:dyDescent="0.25">
      <c r="AD28050"/>
    </row>
    <row r="28051" spans="30:30" x14ac:dyDescent="0.25">
      <c r="AD28051"/>
    </row>
    <row r="28052" spans="30:30" x14ac:dyDescent="0.25">
      <c r="AD28052"/>
    </row>
    <row r="28053" spans="30:30" x14ac:dyDescent="0.25">
      <c r="AD28053"/>
    </row>
    <row r="28054" spans="30:30" x14ac:dyDescent="0.25">
      <c r="AD28054"/>
    </row>
    <row r="28055" spans="30:30" x14ac:dyDescent="0.25">
      <c r="AD28055"/>
    </row>
    <row r="28056" spans="30:30" x14ac:dyDescent="0.25">
      <c r="AD28056"/>
    </row>
    <row r="28057" spans="30:30" x14ac:dyDescent="0.25">
      <c r="AD28057"/>
    </row>
    <row r="28058" spans="30:30" x14ac:dyDescent="0.25">
      <c r="AD28058"/>
    </row>
    <row r="28059" spans="30:30" x14ac:dyDescent="0.25">
      <c r="AD28059"/>
    </row>
    <row r="28060" spans="30:30" x14ac:dyDescent="0.25">
      <c r="AD28060"/>
    </row>
    <row r="28061" spans="30:30" x14ac:dyDescent="0.25">
      <c r="AD28061"/>
    </row>
    <row r="28062" spans="30:30" x14ac:dyDescent="0.25">
      <c r="AD28062"/>
    </row>
    <row r="28063" spans="30:30" x14ac:dyDescent="0.25">
      <c r="AD28063"/>
    </row>
    <row r="28064" spans="30:30" x14ac:dyDescent="0.25">
      <c r="AD28064"/>
    </row>
    <row r="28065" spans="30:30" x14ac:dyDescent="0.25">
      <c r="AD28065"/>
    </row>
    <row r="28066" spans="30:30" x14ac:dyDescent="0.25">
      <c r="AD28066"/>
    </row>
    <row r="28067" spans="30:30" x14ac:dyDescent="0.25">
      <c r="AD28067"/>
    </row>
    <row r="28068" spans="30:30" x14ac:dyDescent="0.25">
      <c r="AD28068"/>
    </row>
    <row r="28069" spans="30:30" x14ac:dyDescent="0.25">
      <c r="AD28069"/>
    </row>
    <row r="28070" spans="30:30" x14ac:dyDescent="0.25">
      <c r="AD28070"/>
    </row>
    <row r="28071" spans="30:30" x14ac:dyDescent="0.25">
      <c r="AD28071"/>
    </row>
    <row r="28072" spans="30:30" x14ac:dyDescent="0.25">
      <c r="AD28072"/>
    </row>
    <row r="28073" spans="30:30" x14ac:dyDescent="0.25">
      <c r="AD28073"/>
    </row>
    <row r="28074" spans="30:30" x14ac:dyDescent="0.25">
      <c r="AD28074"/>
    </row>
    <row r="28075" spans="30:30" x14ac:dyDescent="0.25">
      <c r="AD28075"/>
    </row>
    <row r="28076" spans="30:30" x14ac:dyDescent="0.25">
      <c r="AD28076"/>
    </row>
    <row r="28077" spans="30:30" x14ac:dyDescent="0.25">
      <c r="AD28077"/>
    </row>
    <row r="28078" spans="30:30" x14ac:dyDescent="0.25">
      <c r="AD28078"/>
    </row>
    <row r="28079" spans="30:30" x14ac:dyDescent="0.25">
      <c r="AD28079"/>
    </row>
    <row r="28080" spans="30:30" x14ac:dyDescent="0.25">
      <c r="AD28080"/>
    </row>
    <row r="28081" spans="30:30" x14ac:dyDescent="0.25">
      <c r="AD28081"/>
    </row>
    <row r="28082" spans="30:30" x14ac:dyDescent="0.25">
      <c r="AD28082"/>
    </row>
    <row r="28083" spans="30:30" x14ac:dyDescent="0.25">
      <c r="AD28083"/>
    </row>
    <row r="28084" spans="30:30" x14ac:dyDescent="0.25">
      <c r="AD28084"/>
    </row>
    <row r="28085" spans="30:30" x14ac:dyDescent="0.25">
      <c r="AD28085"/>
    </row>
    <row r="28086" spans="30:30" x14ac:dyDescent="0.25">
      <c r="AD28086"/>
    </row>
    <row r="28087" spans="30:30" x14ac:dyDescent="0.25">
      <c r="AD28087"/>
    </row>
    <row r="28088" spans="30:30" x14ac:dyDescent="0.25">
      <c r="AD28088"/>
    </row>
    <row r="28089" spans="30:30" x14ac:dyDescent="0.25">
      <c r="AD28089"/>
    </row>
    <row r="28090" spans="30:30" x14ac:dyDescent="0.25">
      <c r="AD28090"/>
    </row>
    <row r="28091" spans="30:30" x14ac:dyDescent="0.25">
      <c r="AD28091"/>
    </row>
    <row r="28092" spans="30:30" x14ac:dyDescent="0.25">
      <c r="AD28092"/>
    </row>
    <row r="28093" spans="30:30" x14ac:dyDescent="0.25">
      <c r="AD28093"/>
    </row>
    <row r="28094" spans="30:30" x14ac:dyDescent="0.25">
      <c r="AD28094"/>
    </row>
    <row r="28095" spans="30:30" x14ac:dyDescent="0.25">
      <c r="AD28095"/>
    </row>
    <row r="28096" spans="30:30" x14ac:dyDescent="0.25">
      <c r="AD28096"/>
    </row>
    <row r="28097" spans="30:30" x14ac:dyDescent="0.25">
      <c r="AD28097"/>
    </row>
    <row r="28098" spans="30:30" x14ac:dyDescent="0.25">
      <c r="AD28098"/>
    </row>
    <row r="28099" spans="30:30" x14ac:dyDescent="0.25">
      <c r="AD28099"/>
    </row>
    <row r="28100" spans="30:30" x14ac:dyDescent="0.25">
      <c r="AD28100"/>
    </row>
    <row r="28101" spans="30:30" x14ac:dyDescent="0.25">
      <c r="AD28101"/>
    </row>
    <row r="28102" spans="30:30" x14ac:dyDescent="0.25">
      <c r="AD28102"/>
    </row>
    <row r="28103" spans="30:30" x14ac:dyDescent="0.25">
      <c r="AD28103"/>
    </row>
    <row r="28104" spans="30:30" x14ac:dyDescent="0.25">
      <c r="AD28104"/>
    </row>
    <row r="28105" spans="30:30" x14ac:dyDescent="0.25">
      <c r="AD28105"/>
    </row>
    <row r="28106" spans="30:30" x14ac:dyDescent="0.25">
      <c r="AD28106"/>
    </row>
    <row r="28107" spans="30:30" x14ac:dyDescent="0.25">
      <c r="AD28107"/>
    </row>
    <row r="28108" spans="30:30" x14ac:dyDescent="0.25">
      <c r="AD28108"/>
    </row>
    <row r="28109" spans="30:30" x14ac:dyDescent="0.25">
      <c r="AD28109"/>
    </row>
    <row r="28110" spans="30:30" x14ac:dyDescent="0.25">
      <c r="AD28110"/>
    </row>
    <row r="28111" spans="30:30" x14ac:dyDescent="0.25">
      <c r="AD28111"/>
    </row>
    <row r="28112" spans="30:30" x14ac:dyDescent="0.25">
      <c r="AD28112"/>
    </row>
    <row r="28113" spans="30:30" x14ac:dyDescent="0.25">
      <c r="AD28113"/>
    </row>
    <row r="28114" spans="30:30" x14ac:dyDescent="0.25">
      <c r="AD28114"/>
    </row>
    <row r="28115" spans="30:30" x14ac:dyDescent="0.25">
      <c r="AD28115"/>
    </row>
    <row r="28116" spans="30:30" x14ac:dyDescent="0.25">
      <c r="AD28116"/>
    </row>
    <row r="28117" spans="30:30" x14ac:dyDescent="0.25">
      <c r="AD28117"/>
    </row>
    <row r="28118" spans="30:30" x14ac:dyDescent="0.25">
      <c r="AD28118"/>
    </row>
    <row r="28119" spans="30:30" x14ac:dyDescent="0.25">
      <c r="AD28119"/>
    </row>
    <row r="28120" spans="30:30" x14ac:dyDescent="0.25">
      <c r="AD28120"/>
    </row>
    <row r="28121" spans="30:30" x14ac:dyDescent="0.25">
      <c r="AD28121"/>
    </row>
    <row r="28122" spans="30:30" x14ac:dyDescent="0.25">
      <c r="AD28122"/>
    </row>
    <row r="28123" spans="30:30" x14ac:dyDescent="0.25">
      <c r="AD28123"/>
    </row>
    <row r="28124" spans="30:30" x14ac:dyDescent="0.25">
      <c r="AD28124"/>
    </row>
    <row r="28125" spans="30:30" x14ac:dyDescent="0.25">
      <c r="AD28125"/>
    </row>
    <row r="28126" spans="30:30" x14ac:dyDescent="0.25">
      <c r="AD28126"/>
    </row>
    <row r="28127" spans="30:30" x14ac:dyDescent="0.25">
      <c r="AD28127"/>
    </row>
    <row r="28128" spans="30:30" x14ac:dyDescent="0.25">
      <c r="AD28128"/>
    </row>
    <row r="28129" spans="30:30" x14ac:dyDescent="0.25">
      <c r="AD28129"/>
    </row>
    <row r="28130" spans="30:30" x14ac:dyDescent="0.25">
      <c r="AD28130"/>
    </row>
    <row r="28131" spans="30:30" x14ac:dyDescent="0.25">
      <c r="AD28131"/>
    </row>
    <row r="28132" spans="30:30" x14ac:dyDescent="0.25">
      <c r="AD28132"/>
    </row>
    <row r="28133" spans="30:30" x14ac:dyDescent="0.25">
      <c r="AD28133"/>
    </row>
    <row r="28134" spans="30:30" x14ac:dyDescent="0.25">
      <c r="AD28134"/>
    </row>
    <row r="28135" spans="30:30" x14ac:dyDescent="0.25">
      <c r="AD28135"/>
    </row>
    <row r="28136" spans="30:30" x14ac:dyDescent="0.25">
      <c r="AD28136"/>
    </row>
    <row r="28137" spans="30:30" x14ac:dyDescent="0.25">
      <c r="AD28137"/>
    </row>
    <row r="28138" spans="30:30" x14ac:dyDescent="0.25">
      <c r="AD28138"/>
    </row>
    <row r="28139" spans="30:30" x14ac:dyDescent="0.25">
      <c r="AD28139"/>
    </row>
    <row r="28140" spans="30:30" x14ac:dyDescent="0.25">
      <c r="AD28140"/>
    </row>
    <row r="28141" spans="30:30" x14ac:dyDescent="0.25">
      <c r="AD28141"/>
    </row>
    <row r="28142" spans="30:30" x14ac:dyDescent="0.25">
      <c r="AD28142"/>
    </row>
    <row r="28143" spans="30:30" x14ac:dyDescent="0.25">
      <c r="AD28143"/>
    </row>
    <row r="28144" spans="30:30" x14ac:dyDescent="0.25">
      <c r="AD28144"/>
    </row>
    <row r="28145" spans="30:30" x14ac:dyDescent="0.25">
      <c r="AD28145"/>
    </row>
    <row r="28146" spans="30:30" x14ac:dyDescent="0.25">
      <c r="AD28146"/>
    </row>
    <row r="28147" spans="30:30" x14ac:dyDescent="0.25">
      <c r="AD28147"/>
    </row>
    <row r="28148" spans="30:30" x14ac:dyDescent="0.25">
      <c r="AD28148"/>
    </row>
    <row r="28149" spans="30:30" x14ac:dyDescent="0.25">
      <c r="AD28149"/>
    </row>
    <row r="28150" spans="30:30" x14ac:dyDescent="0.25">
      <c r="AD28150"/>
    </row>
    <row r="28151" spans="30:30" x14ac:dyDescent="0.25">
      <c r="AD28151"/>
    </row>
    <row r="28152" spans="30:30" x14ac:dyDescent="0.25">
      <c r="AD28152"/>
    </row>
    <row r="28153" spans="30:30" x14ac:dyDescent="0.25">
      <c r="AD28153"/>
    </row>
    <row r="28154" spans="30:30" x14ac:dyDescent="0.25">
      <c r="AD28154"/>
    </row>
    <row r="28155" spans="30:30" x14ac:dyDescent="0.25">
      <c r="AD28155"/>
    </row>
    <row r="28156" spans="30:30" x14ac:dyDescent="0.25">
      <c r="AD28156"/>
    </row>
    <row r="28157" spans="30:30" x14ac:dyDescent="0.25">
      <c r="AD28157"/>
    </row>
    <row r="28158" spans="30:30" x14ac:dyDescent="0.25">
      <c r="AD28158"/>
    </row>
    <row r="28159" spans="30:30" x14ac:dyDescent="0.25">
      <c r="AD28159"/>
    </row>
    <row r="28160" spans="30:30" x14ac:dyDescent="0.25">
      <c r="AD28160"/>
    </row>
    <row r="28161" spans="30:30" x14ac:dyDescent="0.25">
      <c r="AD28161"/>
    </row>
    <row r="28162" spans="30:30" x14ac:dyDescent="0.25">
      <c r="AD28162"/>
    </row>
    <row r="28163" spans="30:30" x14ac:dyDescent="0.25">
      <c r="AD28163"/>
    </row>
    <row r="28164" spans="30:30" x14ac:dyDescent="0.25">
      <c r="AD28164"/>
    </row>
    <row r="28165" spans="30:30" x14ac:dyDescent="0.25">
      <c r="AD28165"/>
    </row>
    <row r="28166" spans="30:30" x14ac:dyDescent="0.25">
      <c r="AD28166"/>
    </row>
    <row r="28167" spans="30:30" x14ac:dyDescent="0.25">
      <c r="AD28167"/>
    </row>
    <row r="28168" spans="30:30" x14ac:dyDescent="0.25">
      <c r="AD28168"/>
    </row>
    <row r="28169" spans="30:30" x14ac:dyDescent="0.25">
      <c r="AD28169"/>
    </row>
    <row r="28170" spans="30:30" x14ac:dyDescent="0.25">
      <c r="AD28170"/>
    </row>
    <row r="28171" spans="30:30" x14ac:dyDescent="0.25">
      <c r="AD28171"/>
    </row>
    <row r="28172" spans="30:30" x14ac:dyDescent="0.25">
      <c r="AD28172"/>
    </row>
    <row r="28173" spans="30:30" x14ac:dyDescent="0.25">
      <c r="AD28173"/>
    </row>
    <row r="28174" spans="30:30" x14ac:dyDescent="0.25">
      <c r="AD28174"/>
    </row>
    <row r="28175" spans="30:30" x14ac:dyDescent="0.25">
      <c r="AD28175"/>
    </row>
    <row r="28176" spans="30:30" x14ac:dyDescent="0.25">
      <c r="AD28176"/>
    </row>
    <row r="28177" spans="30:30" x14ac:dyDescent="0.25">
      <c r="AD28177"/>
    </row>
    <row r="28178" spans="30:30" x14ac:dyDescent="0.25">
      <c r="AD28178"/>
    </row>
    <row r="28179" spans="30:30" x14ac:dyDescent="0.25">
      <c r="AD28179"/>
    </row>
    <row r="28180" spans="30:30" x14ac:dyDescent="0.25">
      <c r="AD28180"/>
    </row>
    <row r="28181" spans="30:30" x14ac:dyDescent="0.25">
      <c r="AD28181"/>
    </row>
    <row r="28182" spans="30:30" x14ac:dyDescent="0.25">
      <c r="AD28182"/>
    </row>
    <row r="28183" spans="30:30" x14ac:dyDescent="0.25">
      <c r="AD28183"/>
    </row>
    <row r="28184" spans="30:30" x14ac:dyDescent="0.25">
      <c r="AD28184"/>
    </row>
    <row r="28185" spans="30:30" x14ac:dyDescent="0.25">
      <c r="AD28185"/>
    </row>
    <row r="28186" spans="30:30" x14ac:dyDescent="0.25">
      <c r="AD28186"/>
    </row>
    <row r="28187" spans="30:30" x14ac:dyDescent="0.25">
      <c r="AD28187"/>
    </row>
    <row r="28188" spans="30:30" x14ac:dyDescent="0.25">
      <c r="AD28188"/>
    </row>
    <row r="28189" spans="30:30" x14ac:dyDescent="0.25">
      <c r="AD28189"/>
    </row>
    <row r="28190" spans="30:30" x14ac:dyDescent="0.25">
      <c r="AD28190"/>
    </row>
    <row r="28191" spans="30:30" x14ac:dyDescent="0.25">
      <c r="AD28191"/>
    </row>
    <row r="28192" spans="30:30" x14ac:dyDescent="0.25">
      <c r="AD28192"/>
    </row>
    <row r="28193" spans="30:30" x14ac:dyDescent="0.25">
      <c r="AD28193"/>
    </row>
    <row r="28194" spans="30:30" x14ac:dyDescent="0.25">
      <c r="AD28194"/>
    </row>
    <row r="28195" spans="30:30" x14ac:dyDescent="0.25">
      <c r="AD28195"/>
    </row>
    <row r="28196" spans="30:30" x14ac:dyDescent="0.25">
      <c r="AD28196"/>
    </row>
    <row r="28197" spans="30:30" x14ac:dyDescent="0.25">
      <c r="AD28197"/>
    </row>
    <row r="28198" spans="30:30" x14ac:dyDescent="0.25">
      <c r="AD28198"/>
    </row>
    <row r="28199" spans="30:30" x14ac:dyDescent="0.25">
      <c r="AD28199"/>
    </row>
    <row r="28200" spans="30:30" x14ac:dyDescent="0.25">
      <c r="AD28200"/>
    </row>
    <row r="28201" spans="30:30" x14ac:dyDescent="0.25">
      <c r="AD28201"/>
    </row>
    <row r="28202" spans="30:30" x14ac:dyDescent="0.25">
      <c r="AD28202"/>
    </row>
    <row r="28203" spans="30:30" x14ac:dyDescent="0.25">
      <c r="AD28203"/>
    </row>
    <row r="28204" spans="30:30" x14ac:dyDescent="0.25">
      <c r="AD28204"/>
    </row>
    <row r="28205" spans="30:30" x14ac:dyDescent="0.25">
      <c r="AD28205"/>
    </row>
    <row r="28206" spans="30:30" x14ac:dyDescent="0.25">
      <c r="AD28206"/>
    </row>
    <row r="28207" spans="30:30" x14ac:dyDescent="0.25">
      <c r="AD28207"/>
    </row>
    <row r="28208" spans="30:30" x14ac:dyDescent="0.25">
      <c r="AD28208"/>
    </row>
    <row r="28209" spans="30:30" x14ac:dyDescent="0.25">
      <c r="AD28209"/>
    </row>
    <row r="28210" spans="30:30" x14ac:dyDescent="0.25">
      <c r="AD28210"/>
    </row>
    <row r="28211" spans="30:30" x14ac:dyDescent="0.25">
      <c r="AD28211"/>
    </row>
    <row r="28212" spans="30:30" x14ac:dyDescent="0.25">
      <c r="AD28212"/>
    </row>
    <row r="28213" spans="30:30" x14ac:dyDescent="0.25">
      <c r="AD28213"/>
    </row>
    <row r="28214" spans="30:30" x14ac:dyDescent="0.25">
      <c r="AD28214"/>
    </row>
    <row r="28215" spans="30:30" x14ac:dyDescent="0.25">
      <c r="AD28215"/>
    </row>
    <row r="28216" spans="30:30" x14ac:dyDescent="0.25">
      <c r="AD28216"/>
    </row>
    <row r="28217" spans="30:30" x14ac:dyDescent="0.25">
      <c r="AD28217"/>
    </row>
    <row r="28218" spans="30:30" x14ac:dyDescent="0.25">
      <c r="AD28218"/>
    </row>
    <row r="28219" spans="30:30" x14ac:dyDescent="0.25">
      <c r="AD28219"/>
    </row>
    <row r="28220" spans="30:30" x14ac:dyDescent="0.25">
      <c r="AD28220"/>
    </row>
    <row r="28221" spans="30:30" x14ac:dyDescent="0.25">
      <c r="AD28221"/>
    </row>
    <row r="28222" spans="30:30" x14ac:dyDescent="0.25">
      <c r="AD28222"/>
    </row>
    <row r="28223" spans="30:30" x14ac:dyDescent="0.25">
      <c r="AD28223"/>
    </row>
    <row r="28224" spans="30:30" x14ac:dyDescent="0.25">
      <c r="AD28224"/>
    </row>
    <row r="28225" spans="30:30" x14ac:dyDescent="0.25">
      <c r="AD28225"/>
    </row>
    <row r="28226" spans="30:30" x14ac:dyDescent="0.25">
      <c r="AD28226"/>
    </row>
    <row r="28227" spans="30:30" x14ac:dyDescent="0.25">
      <c r="AD28227"/>
    </row>
    <row r="28228" spans="30:30" x14ac:dyDescent="0.25">
      <c r="AD28228"/>
    </row>
    <row r="28229" spans="30:30" x14ac:dyDescent="0.25">
      <c r="AD28229"/>
    </row>
    <row r="28230" spans="30:30" x14ac:dyDescent="0.25">
      <c r="AD28230"/>
    </row>
    <row r="28231" spans="30:30" x14ac:dyDescent="0.25">
      <c r="AD28231"/>
    </row>
    <row r="28232" spans="30:30" x14ac:dyDescent="0.25">
      <c r="AD28232"/>
    </row>
    <row r="28233" spans="30:30" x14ac:dyDescent="0.25">
      <c r="AD28233"/>
    </row>
    <row r="28234" spans="30:30" x14ac:dyDescent="0.25">
      <c r="AD28234"/>
    </row>
    <row r="28235" spans="30:30" x14ac:dyDescent="0.25">
      <c r="AD28235"/>
    </row>
    <row r="28236" spans="30:30" x14ac:dyDescent="0.25">
      <c r="AD28236"/>
    </row>
    <row r="28237" spans="30:30" x14ac:dyDescent="0.25">
      <c r="AD28237"/>
    </row>
    <row r="28238" spans="30:30" x14ac:dyDescent="0.25">
      <c r="AD28238"/>
    </row>
    <row r="28239" spans="30:30" x14ac:dyDescent="0.25">
      <c r="AD28239"/>
    </row>
    <row r="28240" spans="30:30" x14ac:dyDescent="0.25">
      <c r="AD28240"/>
    </row>
    <row r="28241" spans="30:30" x14ac:dyDescent="0.25">
      <c r="AD28241"/>
    </row>
    <row r="28242" spans="30:30" x14ac:dyDescent="0.25">
      <c r="AD28242"/>
    </row>
    <row r="28243" spans="30:30" x14ac:dyDescent="0.25">
      <c r="AD28243"/>
    </row>
    <row r="28244" spans="30:30" x14ac:dyDescent="0.25">
      <c r="AD28244"/>
    </row>
    <row r="28245" spans="30:30" x14ac:dyDescent="0.25">
      <c r="AD28245"/>
    </row>
    <row r="28246" spans="30:30" x14ac:dyDescent="0.25">
      <c r="AD28246"/>
    </row>
    <row r="28247" spans="30:30" x14ac:dyDescent="0.25">
      <c r="AD28247"/>
    </row>
    <row r="28248" spans="30:30" x14ac:dyDescent="0.25">
      <c r="AD28248"/>
    </row>
    <row r="28249" spans="30:30" x14ac:dyDescent="0.25">
      <c r="AD28249"/>
    </row>
    <row r="28250" spans="30:30" x14ac:dyDescent="0.25">
      <c r="AD28250"/>
    </row>
    <row r="28251" spans="30:30" x14ac:dyDescent="0.25">
      <c r="AD28251"/>
    </row>
    <row r="28252" spans="30:30" x14ac:dyDescent="0.25">
      <c r="AD28252"/>
    </row>
    <row r="28253" spans="30:30" x14ac:dyDescent="0.25">
      <c r="AD28253"/>
    </row>
    <row r="28254" spans="30:30" x14ac:dyDescent="0.25">
      <c r="AD28254"/>
    </row>
    <row r="28255" spans="30:30" x14ac:dyDescent="0.25">
      <c r="AD28255"/>
    </row>
    <row r="28256" spans="30:30" x14ac:dyDescent="0.25">
      <c r="AD28256"/>
    </row>
    <row r="28257" spans="30:30" x14ac:dyDescent="0.25">
      <c r="AD28257"/>
    </row>
    <row r="28258" spans="30:30" x14ac:dyDescent="0.25">
      <c r="AD28258"/>
    </row>
    <row r="28259" spans="30:30" x14ac:dyDescent="0.25">
      <c r="AD28259"/>
    </row>
    <row r="28260" spans="30:30" x14ac:dyDescent="0.25">
      <c r="AD28260"/>
    </row>
    <row r="28261" spans="30:30" x14ac:dyDescent="0.25">
      <c r="AD28261"/>
    </row>
    <row r="28262" spans="30:30" x14ac:dyDescent="0.25">
      <c r="AD28262"/>
    </row>
    <row r="28263" spans="30:30" x14ac:dyDescent="0.25">
      <c r="AD28263"/>
    </row>
    <row r="28264" spans="30:30" x14ac:dyDescent="0.25">
      <c r="AD28264"/>
    </row>
    <row r="28265" spans="30:30" x14ac:dyDescent="0.25">
      <c r="AD28265"/>
    </row>
    <row r="28266" spans="30:30" x14ac:dyDescent="0.25">
      <c r="AD28266"/>
    </row>
    <row r="28267" spans="30:30" x14ac:dyDescent="0.25">
      <c r="AD28267"/>
    </row>
    <row r="28268" spans="30:30" x14ac:dyDescent="0.25">
      <c r="AD28268"/>
    </row>
    <row r="28269" spans="30:30" x14ac:dyDescent="0.25">
      <c r="AD28269"/>
    </row>
    <row r="28270" spans="30:30" x14ac:dyDescent="0.25">
      <c r="AD28270"/>
    </row>
    <row r="28271" spans="30:30" x14ac:dyDescent="0.25">
      <c r="AD28271"/>
    </row>
    <row r="28272" spans="30:30" x14ac:dyDescent="0.25">
      <c r="AD28272"/>
    </row>
    <row r="28273" spans="30:30" x14ac:dyDescent="0.25">
      <c r="AD28273"/>
    </row>
    <row r="28274" spans="30:30" x14ac:dyDescent="0.25">
      <c r="AD28274"/>
    </row>
    <row r="28275" spans="30:30" x14ac:dyDescent="0.25">
      <c r="AD28275"/>
    </row>
    <row r="28276" spans="30:30" x14ac:dyDescent="0.25">
      <c r="AD28276"/>
    </row>
    <row r="28277" spans="30:30" x14ac:dyDescent="0.25">
      <c r="AD28277"/>
    </row>
    <row r="28278" spans="30:30" x14ac:dyDescent="0.25">
      <c r="AD28278"/>
    </row>
    <row r="28279" spans="30:30" x14ac:dyDescent="0.25">
      <c r="AD28279"/>
    </row>
    <row r="28280" spans="30:30" x14ac:dyDescent="0.25">
      <c r="AD28280"/>
    </row>
    <row r="28281" spans="30:30" x14ac:dyDescent="0.25">
      <c r="AD28281"/>
    </row>
    <row r="28282" spans="30:30" x14ac:dyDescent="0.25">
      <c r="AD28282"/>
    </row>
    <row r="28283" spans="30:30" x14ac:dyDescent="0.25">
      <c r="AD28283"/>
    </row>
    <row r="28284" spans="30:30" x14ac:dyDescent="0.25">
      <c r="AD28284"/>
    </row>
    <row r="28285" spans="30:30" x14ac:dyDescent="0.25">
      <c r="AD28285"/>
    </row>
    <row r="28286" spans="30:30" x14ac:dyDescent="0.25">
      <c r="AD28286"/>
    </row>
    <row r="28287" spans="30:30" x14ac:dyDescent="0.25">
      <c r="AD28287"/>
    </row>
    <row r="28288" spans="30:30" x14ac:dyDescent="0.25">
      <c r="AD28288"/>
    </row>
    <row r="28289" spans="30:30" x14ac:dyDescent="0.25">
      <c r="AD28289"/>
    </row>
    <row r="28290" spans="30:30" x14ac:dyDescent="0.25">
      <c r="AD28290"/>
    </row>
    <row r="28291" spans="30:30" x14ac:dyDescent="0.25">
      <c r="AD28291"/>
    </row>
    <row r="28292" spans="30:30" x14ac:dyDescent="0.25">
      <c r="AD28292"/>
    </row>
    <row r="28293" spans="30:30" x14ac:dyDescent="0.25">
      <c r="AD28293"/>
    </row>
    <row r="28294" spans="30:30" x14ac:dyDescent="0.25">
      <c r="AD28294"/>
    </row>
    <row r="28295" spans="30:30" x14ac:dyDescent="0.25">
      <c r="AD28295"/>
    </row>
    <row r="28296" spans="30:30" x14ac:dyDescent="0.25">
      <c r="AD28296"/>
    </row>
    <row r="28297" spans="30:30" x14ac:dyDescent="0.25">
      <c r="AD28297"/>
    </row>
    <row r="28298" spans="30:30" x14ac:dyDescent="0.25">
      <c r="AD28298"/>
    </row>
    <row r="28299" spans="30:30" x14ac:dyDescent="0.25">
      <c r="AD28299"/>
    </row>
    <row r="28300" spans="30:30" x14ac:dyDescent="0.25">
      <c r="AD28300"/>
    </row>
    <row r="28301" spans="30:30" x14ac:dyDescent="0.25">
      <c r="AD28301"/>
    </row>
    <row r="28302" spans="30:30" x14ac:dyDescent="0.25">
      <c r="AD28302"/>
    </row>
    <row r="28303" spans="30:30" x14ac:dyDescent="0.25">
      <c r="AD28303"/>
    </row>
    <row r="28304" spans="30:30" x14ac:dyDescent="0.25">
      <c r="AD28304"/>
    </row>
    <row r="28305" spans="30:30" x14ac:dyDescent="0.25">
      <c r="AD28305"/>
    </row>
    <row r="28306" spans="30:30" x14ac:dyDescent="0.25">
      <c r="AD28306"/>
    </row>
    <row r="28307" spans="30:30" x14ac:dyDescent="0.25">
      <c r="AD28307"/>
    </row>
    <row r="28308" spans="30:30" x14ac:dyDescent="0.25">
      <c r="AD28308"/>
    </row>
    <row r="28309" spans="30:30" x14ac:dyDescent="0.25">
      <c r="AD28309"/>
    </row>
    <row r="28310" spans="30:30" x14ac:dyDescent="0.25">
      <c r="AD28310"/>
    </row>
    <row r="28311" spans="30:30" x14ac:dyDescent="0.25">
      <c r="AD28311"/>
    </row>
    <row r="28312" spans="30:30" x14ac:dyDescent="0.25">
      <c r="AD28312"/>
    </row>
    <row r="28313" spans="30:30" x14ac:dyDescent="0.25">
      <c r="AD28313"/>
    </row>
    <row r="28314" spans="30:30" x14ac:dyDescent="0.25">
      <c r="AD28314"/>
    </row>
    <row r="28315" spans="30:30" x14ac:dyDescent="0.25">
      <c r="AD28315"/>
    </row>
    <row r="28316" spans="30:30" x14ac:dyDescent="0.25">
      <c r="AD28316"/>
    </row>
    <row r="28317" spans="30:30" x14ac:dyDescent="0.25">
      <c r="AD28317"/>
    </row>
    <row r="28318" spans="30:30" x14ac:dyDescent="0.25">
      <c r="AD28318"/>
    </row>
    <row r="28319" spans="30:30" x14ac:dyDescent="0.25">
      <c r="AD28319"/>
    </row>
    <row r="28320" spans="30:30" x14ac:dyDescent="0.25">
      <c r="AD28320"/>
    </row>
    <row r="28321" spans="30:30" x14ac:dyDescent="0.25">
      <c r="AD28321"/>
    </row>
    <row r="28322" spans="30:30" x14ac:dyDescent="0.25">
      <c r="AD28322"/>
    </row>
    <row r="28323" spans="30:30" x14ac:dyDescent="0.25">
      <c r="AD28323"/>
    </row>
    <row r="28324" spans="30:30" x14ac:dyDescent="0.25">
      <c r="AD28324"/>
    </row>
    <row r="28325" spans="30:30" x14ac:dyDescent="0.25">
      <c r="AD28325"/>
    </row>
    <row r="28326" spans="30:30" x14ac:dyDescent="0.25">
      <c r="AD28326"/>
    </row>
    <row r="28327" spans="30:30" x14ac:dyDescent="0.25">
      <c r="AD28327"/>
    </row>
    <row r="28328" spans="30:30" x14ac:dyDescent="0.25">
      <c r="AD28328"/>
    </row>
    <row r="28329" spans="30:30" x14ac:dyDescent="0.25">
      <c r="AD28329"/>
    </row>
    <row r="28330" spans="30:30" x14ac:dyDescent="0.25">
      <c r="AD28330"/>
    </row>
    <row r="28331" spans="30:30" x14ac:dyDescent="0.25">
      <c r="AD28331"/>
    </row>
    <row r="28332" spans="30:30" x14ac:dyDescent="0.25">
      <c r="AD28332"/>
    </row>
    <row r="28333" spans="30:30" x14ac:dyDescent="0.25">
      <c r="AD28333"/>
    </row>
    <row r="28334" spans="30:30" x14ac:dyDescent="0.25">
      <c r="AD28334"/>
    </row>
    <row r="28335" spans="30:30" x14ac:dyDescent="0.25">
      <c r="AD28335"/>
    </row>
    <row r="28336" spans="30:30" x14ac:dyDescent="0.25">
      <c r="AD28336"/>
    </row>
    <row r="28337" spans="30:30" x14ac:dyDescent="0.25">
      <c r="AD28337"/>
    </row>
    <row r="28338" spans="30:30" x14ac:dyDescent="0.25">
      <c r="AD28338"/>
    </row>
    <row r="28339" spans="30:30" x14ac:dyDescent="0.25">
      <c r="AD28339"/>
    </row>
    <row r="28340" spans="30:30" x14ac:dyDescent="0.25">
      <c r="AD28340"/>
    </row>
    <row r="28341" spans="30:30" x14ac:dyDescent="0.25">
      <c r="AD28341"/>
    </row>
    <row r="28342" spans="30:30" x14ac:dyDescent="0.25">
      <c r="AD28342"/>
    </row>
    <row r="28343" spans="30:30" x14ac:dyDescent="0.25">
      <c r="AD28343"/>
    </row>
    <row r="28344" spans="30:30" x14ac:dyDescent="0.25">
      <c r="AD28344"/>
    </row>
    <row r="28345" spans="30:30" x14ac:dyDescent="0.25">
      <c r="AD28345"/>
    </row>
    <row r="28346" spans="30:30" x14ac:dyDescent="0.25">
      <c r="AD28346"/>
    </row>
    <row r="28347" spans="30:30" x14ac:dyDescent="0.25">
      <c r="AD28347"/>
    </row>
    <row r="28348" spans="30:30" x14ac:dyDescent="0.25">
      <c r="AD28348"/>
    </row>
    <row r="28349" spans="30:30" x14ac:dyDescent="0.25">
      <c r="AD28349"/>
    </row>
    <row r="28350" spans="30:30" x14ac:dyDescent="0.25">
      <c r="AD28350"/>
    </row>
    <row r="28351" spans="30:30" x14ac:dyDescent="0.25">
      <c r="AD28351"/>
    </row>
    <row r="28352" spans="30:30" x14ac:dyDescent="0.25">
      <c r="AD28352"/>
    </row>
    <row r="28353" spans="30:30" x14ac:dyDescent="0.25">
      <c r="AD28353"/>
    </row>
    <row r="28354" spans="30:30" x14ac:dyDescent="0.25">
      <c r="AD28354"/>
    </row>
    <row r="28355" spans="30:30" x14ac:dyDescent="0.25">
      <c r="AD28355"/>
    </row>
    <row r="28356" spans="30:30" x14ac:dyDescent="0.25">
      <c r="AD28356"/>
    </row>
    <row r="28357" spans="30:30" x14ac:dyDescent="0.25">
      <c r="AD28357"/>
    </row>
    <row r="28358" spans="30:30" x14ac:dyDescent="0.25">
      <c r="AD28358"/>
    </row>
    <row r="28359" spans="30:30" x14ac:dyDescent="0.25">
      <c r="AD28359"/>
    </row>
    <row r="28360" spans="30:30" x14ac:dyDescent="0.25">
      <c r="AD28360"/>
    </row>
    <row r="28361" spans="30:30" x14ac:dyDescent="0.25">
      <c r="AD28361"/>
    </row>
    <row r="28362" spans="30:30" x14ac:dyDescent="0.25">
      <c r="AD28362"/>
    </row>
    <row r="28363" spans="30:30" x14ac:dyDescent="0.25">
      <c r="AD28363"/>
    </row>
    <row r="28364" spans="30:30" x14ac:dyDescent="0.25">
      <c r="AD28364"/>
    </row>
    <row r="28365" spans="30:30" x14ac:dyDescent="0.25">
      <c r="AD28365"/>
    </row>
    <row r="28366" spans="30:30" x14ac:dyDescent="0.25">
      <c r="AD28366"/>
    </row>
    <row r="28367" spans="30:30" x14ac:dyDescent="0.25">
      <c r="AD28367"/>
    </row>
    <row r="28368" spans="30:30" x14ac:dyDescent="0.25">
      <c r="AD28368"/>
    </row>
    <row r="28369" spans="30:30" x14ac:dyDescent="0.25">
      <c r="AD28369"/>
    </row>
    <row r="28370" spans="30:30" x14ac:dyDescent="0.25">
      <c r="AD28370"/>
    </row>
    <row r="28371" spans="30:30" x14ac:dyDescent="0.25">
      <c r="AD28371"/>
    </row>
    <row r="28372" spans="30:30" x14ac:dyDescent="0.25">
      <c r="AD28372"/>
    </row>
    <row r="28373" spans="30:30" x14ac:dyDescent="0.25">
      <c r="AD28373"/>
    </row>
    <row r="28374" spans="30:30" x14ac:dyDescent="0.25">
      <c r="AD28374"/>
    </row>
    <row r="28375" spans="30:30" x14ac:dyDescent="0.25">
      <c r="AD28375"/>
    </row>
    <row r="28376" spans="30:30" x14ac:dyDescent="0.25">
      <c r="AD28376"/>
    </row>
    <row r="28377" spans="30:30" x14ac:dyDescent="0.25">
      <c r="AD28377"/>
    </row>
    <row r="28378" spans="30:30" x14ac:dyDescent="0.25">
      <c r="AD28378"/>
    </row>
    <row r="28379" spans="30:30" x14ac:dyDescent="0.25">
      <c r="AD28379"/>
    </row>
    <row r="28380" spans="30:30" x14ac:dyDescent="0.25">
      <c r="AD28380"/>
    </row>
    <row r="28381" spans="30:30" x14ac:dyDescent="0.25">
      <c r="AD28381"/>
    </row>
    <row r="28382" spans="30:30" x14ac:dyDescent="0.25">
      <c r="AD28382"/>
    </row>
    <row r="28383" spans="30:30" x14ac:dyDescent="0.25">
      <c r="AD28383"/>
    </row>
    <row r="28384" spans="30:30" x14ac:dyDescent="0.25">
      <c r="AD28384"/>
    </row>
    <row r="28385" spans="30:30" x14ac:dyDescent="0.25">
      <c r="AD28385"/>
    </row>
    <row r="28386" spans="30:30" x14ac:dyDescent="0.25">
      <c r="AD28386"/>
    </row>
    <row r="28387" spans="30:30" x14ac:dyDescent="0.25">
      <c r="AD28387"/>
    </row>
    <row r="28388" spans="30:30" x14ac:dyDescent="0.25">
      <c r="AD28388"/>
    </row>
    <row r="28389" spans="30:30" x14ac:dyDescent="0.25">
      <c r="AD28389"/>
    </row>
    <row r="28390" spans="30:30" x14ac:dyDescent="0.25">
      <c r="AD28390"/>
    </row>
    <row r="28391" spans="30:30" x14ac:dyDescent="0.25">
      <c r="AD28391"/>
    </row>
    <row r="28392" spans="30:30" x14ac:dyDescent="0.25">
      <c r="AD28392"/>
    </row>
    <row r="28393" spans="30:30" x14ac:dyDescent="0.25">
      <c r="AD28393"/>
    </row>
    <row r="28394" spans="30:30" x14ac:dyDescent="0.25">
      <c r="AD28394"/>
    </row>
    <row r="28395" spans="30:30" x14ac:dyDescent="0.25">
      <c r="AD28395"/>
    </row>
    <row r="28396" spans="30:30" x14ac:dyDescent="0.25">
      <c r="AD28396"/>
    </row>
    <row r="28397" spans="30:30" x14ac:dyDescent="0.25">
      <c r="AD28397"/>
    </row>
    <row r="28398" spans="30:30" x14ac:dyDescent="0.25">
      <c r="AD28398"/>
    </row>
    <row r="28399" spans="30:30" x14ac:dyDescent="0.25">
      <c r="AD28399"/>
    </row>
    <row r="28400" spans="30:30" x14ac:dyDescent="0.25">
      <c r="AD28400"/>
    </row>
    <row r="28401" spans="30:30" x14ac:dyDescent="0.25">
      <c r="AD28401"/>
    </row>
    <row r="28402" spans="30:30" x14ac:dyDescent="0.25">
      <c r="AD28402"/>
    </row>
    <row r="28403" spans="30:30" x14ac:dyDescent="0.25">
      <c r="AD28403"/>
    </row>
    <row r="28404" spans="30:30" x14ac:dyDescent="0.25">
      <c r="AD28404"/>
    </row>
    <row r="28405" spans="30:30" x14ac:dyDescent="0.25">
      <c r="AD28405"/>
    </row>
    <row r="28406" spans="30:30" x14ac:dyDescent="0.25">
      <c r="AD28406"/>
    </row>
    <row r="28407" spans="30:30" x14ac:dyDescent="0.25">
      <c r="AD28407"/>
    </row>
    <row r="28408" spans="30:30" x14ac:dyDescent="0.25">
      <c r="AD28408"/>
    </row>
    <row r="28409" spans="30:30" x14ac:dyDescent="0.25">
      <c r="AD28409"/>
    </row>
    <row r="28410" spans="30:30" x14ac:dyDescent="0.25">
      <c r="AD28410"/>
    </row>
    <row r="28411" spans="30:30" x14ac:dyDescent="0.25">
      <c r="AD28411"/>
    </row>
    <row r="28412" spans="30:30" x14ac:dyDescent="0.25">
      <c r="AD28412"/>
    </row>
    <row r="28413" spans="30:30" x14ac:dyDescent="0.25">
      <c r="AD28413"/>
    </row>
    <row r="28414" spans="30:30" x14ac:dyDescent="0.25">
      <c r="AD28414"/>
    </row>
    <row r="28415" spans="30:30" x14ac:dyDescent="0.25">
      <c r="AD28415"/>
    </row>
    <row r="28416" spans="30:30" x14ac:dyDescent="0.25">
      <c r="AD28416"/>
    </row>
    <row r="28417" spans="30:30" x14ac:dyDescent="0.25">
      <c r="AD28417"/>
    </row>
    <row r="28418" spans="30:30" x14ac:dyDescent="0.25">
      <c r="AD28418"/>
    </row>
    <row r="28419" spans="30:30" x14ac:dyDescent="0.25">
      <c r="AD28419"/>
    </row>
    <row r="28420" spans="30:30" x14ac:dyDescent="0.25">
      <c r="AD28420"/>
    </row>
    <row r="28421" spans="30:30" x14ac:dyDescent="0.25">
      <c r="AD28421"/>
    </row>
    <row r="28422" spans="30:30" x14ac:dyDescent="0.25">
      <c r="AD28422"/>
    </row>
    <row r="28423" spans="30:30" x14ac:dyDescent="0.25">
      <c r="AD28423"/>
    </row>
    <row r="28424" spans="30:30" x14ac:dyDescent="0.25">
      <c r="AD28424"/>
    </row>
    <row r="28425" spans="30:30" x14ac:dyDescent="0.25">
      <c r="AD28425"/>
    </row>
    <row r="28426" spans="30:30" x14ac:dyDescent="0.25">
      <c r="AD28426"/>
    </row>
    <row r="28427" spans="30:30" x14ac:dyDescent="0.25">
      <c r="AD28427"/>
    </row>
    <row r="28428" spans="30:30" x14ac:dyDescent="0.25">
      <c r="AD28428"/>
    </row>
    <row r="28429" spans="30:30" x14ac:dyDescent="0.25">
      <c r="AD28429"/>
    </row>
    <row r="28430" spans="30:30" x14ac:dyDescent="0.25">
      <c r="AD28430"/>
    </row>
    <row r="28431" spans="30:30" x14ac:dyDescent="0.25">
      <c r="AD28431"/>
    </row>
    <row r="28432" spans="30:30" x14ac:dyDescent="0.25">
      <c r="AD28432"/>
    </row>
    <row r="28433" spans="30:30" x14ac:dyDescent="0.25">
      <c r="AD28433"/>
    </row>
    <row r="28434" spans="30:30" x14ac:dyDescent="0.25">
      <c r="AD28434"/>
    </row>
    <row r="28435" spans="30:30" x14ac:dyDescent="0.25">
      <c r="AD28435"/>
    </row>
    <row r="28436" spans="30:30" x14ac:dyDescent="0.25">
      <c r="AD28436"/>
    </row>
    <row r="28437" spans="30:30" x14ac:dyDescent="0.25">
      <c r="AD28437"/>
    </row>
    <row r="28438" spans="30:30" x14ac:dyDescent="0.25">
      <c r="AD28438"/>
    </row>
    <row r="28439" spans="30:30" x14ac:dyDescent="0.25">
      <c r="AD28439"/>
    </row>
    <row r="28440" spans="30:30" x14ac:dyDescent="0.25">
      <c r="AD28440"/>
    </row>
    <row r="28441" spans="30:30" x14ac:dyDescent="0.25">
      <c r="AD28441"/>
    </row>
    <row r="28442" spans="30:30" x14ac:dyDescent="0.25">
      <c r="AD28442"/>
    </row>
    <row r="28443" spans="30:30" x14ac:dyDescent="0.25">
      <c r="AD28443"/>
    </row>
    <row r="28444" spans="30:30" x14ac:dyDescent="0.25">
      <c r="AD28444"/>
    </row>
    <row r="28445" spans="30:30" x14ac:dyDescent="0.25">
      <c r="AD28445"/>
    </row>
    <row r="28446" spans="30:30" x14ac:dyDescent="0.25">
      <c r="AD28446"/>
    </row>
    <row r="28447" spans="30:30" x14ac:dyDescent="0.25">
      <c r="AD28447"/>
    </row>
    <row r="28448" spans="30:30" x14ac:dyDescent="0.25">
      <c r="AD28448"/>
    </row>
    <row r="28449" spans="30:30" x14ac:dyDescent="0.25">
      <c r="AD28449"/>
    </row>
    <row r="28450" spans="30:30" x14ac:dyDescent="0.25">
      <c r="AD28450"/>
    </row>
    <row r="28451" spans="30:30" x14ac:dyDescent="0.25">
      <c r="AD28451"/>
    </row>
    <row r="28452" spans="30:30" x14ac:dyDescent="0.25">
      <c r="AD28452"/>
    </row>
    <row r="28453" spans="30:30" x14ac:dyDescent="0.25">
      <c r="AD28453"/>
    </row>
    <row r="28454" spans="30:30" x14ac:dyDescent="0.25">
      <c r="AD28454"/>
    </row>
    <row r="28455" spans="30:30" x14ac:dyDescent="0.25">
      <c r="AD28455"/>
    </row>
    <row r="28456" spans="30:30" x14ac:dyDescent="0.25">
      <c r="AD28456"/>
    </row>
    <row r="28457" spans="30:30" x14ac:dyDescent="0.25">
      <c r="AD28457"/>
    </row>
    <row r="28458" spans="30:30" x14ac:dyDescent="0.25">
      <c r="AD28458"/>
    </row>
    <row r="28459" spans="30:30" x14ac:dyDescent="0.25">
      <c r="AD28459"/>
    </row>
    <row r="28460" spans="30:30" x14ac:dyDescent="0.25">
      <c r="AD28460"/>
    </row>
    <row r="28461" spans="30:30" x14ac:dyDescent="0.25">
      <c r="AD28461"/>
    </row>
    <row r="28462" spans="30:30" x14ac:dyDescent="0.25">
      <c r="AD28462"/>
    </row>
    <row r="28463" spans="30:30" x14ac:dyDescent="0.25">
      <c r="AD28463"/>
    </row>
    <row r="28464" spans="30:30" x14ac:dyDescent="0.25">
      <c r="AD28464"/>
    </row>
    <row r="28465" spans="30:30" x14ac:dyDescent="0.25">
      <c r="AD28465"/>
    </row>
    <row r="28466" spans="30:30" x14ac:dyDescent="0.25">
      <c r="AD28466"/>
    </row>
    <row r="28467" spans="30:30" x14ac:dyDescent="0.25">
      <c r="AD28467"/>
    </row>
    <row r="28468" spans="30:30" x14ac:dyDescent="0.25">
      <c r="AD28468"/>
    </row>
    <row r="28469" spans="30:30" x14ac:dyDescent="0.25">
      <c r="AD28469"/>
    </row>
    <row r="28470" spans="30:30" x14ac:dyDescent="0.25">
      <c r="AD28470"/>
    </row>
    <row r="28471" spans="30:30" x14ac:dyDescent="0.25">
      <c r="AD28471"/>
    </row>
    <row r="28472" spans="30:30" x14ac:dyDescent="0.25">
      <c r="AD28472"/>
    </row>
    <row r="28473" spans="30:30" x14ac:dyDescent="0.25">
      <c r="AD28473"/>
    </row>
    <row r="28474" spans="30:30" x14ac:dyDescent="0.25">
      <c r="AD28474"/>
    </row>
    <row r="28475" spans="30:30" x14ac:dyDescent="0.25">
      <c r="AD28475"/>
    </row>
    <row r="28476" spans="30:30" x14ac:dyDescent="0.25">
      <c r="AD28476"/>
    </row>
    <row r="28477" spans="30:30" x14ac:dyDescent="0.25">
      <c r="AD28477"/>
    </row>
    <row r="28478" spans="30:30" x14ac:dyDescent="0.25">
      <c r="AD28478"/>
    </row>
    <row r="28479" spans="30:30" x14ac:dyDescent="0.25">
      <c r="AD28479"/>
    </row>
    <row r="28480" spans="30:30" x14ac:dyDescent="0.25">
      <c r="AD28480"/>
    </row>
    <row r="28481" spans="30:30" x14ac:dyDescent="0.25">
      <c r="AD28481"/>
    </row>
    <row r="28482" spans="30:30" x14ac:dyDescent="0.25">
      <c r="AD28482"/>
    </row>
    <row r="28483" spans="30:30" x14ac:dyDescent="0.25">
      <c r="AD28483"/>
    </row>
    <row r="28484" spans="30:30" x14ac:dyDescent="0.25">
      <c r="AD28484"/>
    </row>
    <row r="28485" spans="30:30" x14ac:dyDescent="0.25">
      <c r="AD28485"/>
    </row>
    <row r="28486" spans="30:30" x14ac:dyDescent="0.25">
      <c r="AD28486"/>
    </row>
    <row r="28487" spans="30:30" x14ac:dyDescent="0.25">
      <c r="AD28487"/>
    </row>
    <row r="28488" spans="30:30" x14ac:dyDescent="0.25">
      <c r="AD28488"/>
    </row>
    <row r="28489" spans="30:30" x14ac:dyDescent="0.25">
      <c r="AD28489"/>
    </row>
    <row r="28490" spans="30:30" x14ac:dyDescent="0.25">
      <c r="AD28490"/>
    </row>
    <row r="28491" spans="30:30" x14ac:dyDescent="0.25">
      <c r="AD28491"/>
    </row>
    <row r="28492" spans="30:30" x14ac:dyDescent="0.25">
      <c r="AD28492"/>
    </row>
    <row r="28493" spans="30:30" x14ac:dyDescent="0.25">
      <c r="AD28493"/>
    </row>
    <row r="28494" spans="30:30" x14ac:dyDescent="0.25">
      <c r="AD28494"/>
    </row>
    <row r="28495" spans="30:30" x14ac:dyDescent="0.25">
      <c r="AD28495"/>
    </row>
    <row r="28496" spans="30:30" x14ac:dyDescent="0.25">
      <c r="AD28496"/>
    </row>
    <row r="28497" spans="30:30" x14ac:dyDescent="0.25">
      <c r="AD28497"/>
    </row>
    <row r="28498" spans="30:30" x14ac:dyDescent="0.25">
      <c r="AD28498"/>
    </row>
    <row r="28499" spans="30:30" x14ac:dyDescent="0.25">
      <c r="AD28499"/>
    </row>
    <row r="28500" spans="30:30" x14ac:dyDescent="0.25">
      <c r="AD28500"/>
    </row>
    <row r="28501" spans="30:30" x14ac:dyDescent="0.25">
      <c r="AD28501"/>
    </row>
    <row r="28502" spans="30:30" x14ac:dyDescent="0.25">
      <c r="AD28502"/>
    </row>
    <row r="28503" spans="30:30" x14ac:dyDescent="0.25">
      <c r="AD28503"/>
    </row>
    <row r="28504" spans="30:30" x14ac:dyDescent="0.25">
      <c r="AD28504"/>
    </row>
    <row r="28505" spans="30:30" x14ac:dyDescent="0.25">
      <c r="AD28505"/>
    </row>
    <row r="28506" spans="30:30" x14ac:dyDescent="0.25">
      <c r="AD28506"/>
    </row>
    <row r="28507" spans="30:30" x14ac:dyDescent="0.25">
      <c r="AD28507"/>
    </row>
    <row r="28508" spans="30:30" x14ac:dyDescent="0.25">
      <c r="AD28508"/>
    </row>
    <row r="28509" spans="30:30" x14ac:dyDescent="0.25">
      <c r="AD28509"/>
    </row>
    <row r="28510" spans="30:30" x14ac:dyDescent="0.25">
      <c r="AD28510"/>
    </row>
    <row r="28511" spans="30:30" x14ac:dyDescent="0.25">
      <c r="AD28511"/>
    </row>
    <row r="28512" spans="30:30" x14ac:dyDescent="0.25">
      <c r="AD28512"/>
    </row>
    <row r="28513" spans="30:30" x14ac:dyDescent="0.25">
      <c r="AD28513"/>
    </row>
    <row r="28514" spans="30:30" x14ac:dyDescent="0.25">
      <c r="AD28514"/>
    </row>
    <row r="28515" spans="30:30" x14ac:dyDescent="0.25">
      <c r="AD28515"/>
    </row>
    <row r="28516" spans="30:30" x14ac:dyDescent="0.25">
      <c r="AD28516"/>
    </row>
    <row r="28517" spans="30:30" x14ac:dyDescent="0.25">
      <c r="AD28517"/>
    </row>
    <row r="28518" spans="30:30" x14ac:dyDescent="0.25">
      <c r="AD28518"/>
    </row>
    <row r="28519" spans="30:30" x14ac:dyDescent="0.25">
      <c r="AD28519"/>
    </row>
    <row r="28520" spans="30:30" x14ac:dyDescent="0.25">
      <c r="AD28520"/>
    </row>
    <row r="28521" spans="30:30" x14ac:dyDescent="0.25">
      <c r="AD28521"/>
    </row>
    <row r="28522" spans="30:30" x14ac:dyDescent="0.25">
      <c r="AD28522"/>
    </row>
    <row r="28523" spans="30:30" x14ac:dyDescent="0.25">
      <c r="AD28523"/>
    </row>
    <row r="28524" spans="30:30" x14ac:dyDescent="0.25">
      <c r="AD28524"/>
    </row>
    <row r="28525" spans="30:30" x14ac:dyDescent="0.25">
      <c r="AD28525"/>
    </row>
    <row r="28526" spans="30:30" x14ac:dyDescent="0.25">
      <c r="AD28526"/>
    </row>
    <row r="28527" spans="30:30" x14ac:dyDescent="0.25">
      <c r="AD28527"/>
    </row>
    <row r="28528" spans="30:30" x14ac:dyDescent="0.25">
      <c r="AD28528"/>
    </row>
    <row r="28529" spans="30:30" x14ac:dyDescent="0.25">
      <c r="AD28529"/>
    </row>
    <row r="28530" spans="30:30" x14ac:dyDescent="0.25">
      <c r="AD28530"/>
    </row>
    <row r="28531" spans="30:30" x14ac:dyDescent="0.25">
      <c r="AD28531"/>
    </row>
    <row r="28532" spans="30:30" x14ac:dyDescent="0.25">
      <c r="AD28532"/>
    </row>
    <row r="28533" spans="30:30" x14ac:dyDescent="0.25">
      <c r="AD28533"/>
    </row>
    <row r="28534" spans="30:30" x14ac:dyDescent="0.25">
      <c r="AD28534"/>
    </row>
    <row r="28535" spans="30:30" x14ac:dyDescent="0.25">
      <c r="AD28535"/>
    </row>
    <row r="28536" spans="30:30" x14ac:dyDescent="0.25">
      <c r="AD28536"/>
    </row>
    <row r="28537" spans="30:30" x14ac:dyDescent="0.25">
      <c r="AD28537"/>
    </row>
    <row r="28538" spans="30:30" x14ac:dyDescent="0.25">
      <c r="AD28538"/>
    </row>
    <row r="28539" spans="30:30" x14ac:dyDescent="0.25">
      <c r="AD28539"/>
    </row>
    <row r="28540" spans="30:30" x14ac:dyDescent="0.25">
      <c r="AD28540"/>
    </row>
    <row r="28541" spans="30:30" x14ac:dyDescent="0.25">
      <c r="AD28541"/>
    </row>
    <row r="28542" spans="30:30" x14ac:dyDescent="0.25">
      <c r="AD28542"/>
    </row>
    <row r="28543" spans="30:30" x14ac:dyDescent="0.25">
      <c r="AD28543"/>
    </row>
    <row r="28544" spans="30:30" x14ac:dyDescent="0.25">
      <c r="AD28544"/>
    </row>
    <row r="28545" spans="30:30" x14ac:dyDescent="0.25">
      <c r="AD28545"/>
    </row>
    <row r="28546" spans="30:30" x14ac:dyDescent="0.25">
      <c r="AD28546"/>
    </row>
    <row r="28547" spans="30:30" x14ac:dyDescent="0.25">
      <c r="AD28547"/>
    </row>
    <row r="28548" spans="30:30" x14ac:dyDescent="0.25">
      <c r="AD28548"/>
    </row>
    <row r="28549" spans="30:30" x14ac:dyDescent="0.25">
      <c r="AD28549"/>
    </row>
    <row r="28550" spans="30:30" x14ac:dyDescent="0.25">
      <c r="AD28550"/>
    </row>
    <row r="28551" spans="30:30" x14ac:dyDescent="0.25">
      <c r="AD28551"/>
    </row>
    <row r="28552" spans="30:30" x14ac:dyDescent="0.25">
      <c r="AD28552"/>
    </row>
    <row r="28553" spans="30:30" x14ac:dyDescent="0.25">
      <c r="AD28553"/>
    </row>
    <row r="28554" spans="30:30" x14ac:dyDescent="0.25">
      <c r="AD28554"/>
    </row>
    <row r="28555" spans="30:30" x14ac:dyDescent="0.25">
      <c r="AD28555"/>
    </row>
    <row r="28556" spans="30:30" x14ac:dyDescent="0.25">
      <c r="AD28556"/>
    </row>
    <row r="28557" spans="30:30" x14ac:dyDescent="0.25">
      <c r="AD28557"/>
    </row>
    <row r="28558" spans="30:30" x14ac:dyDescent="0.25">
      <c r="AD28558"/>
    </row>
    <row r="28559" spans="30:30" x14ac:dyDescent="0.25">
      <c r="AD28559"/>
    </row>
    <row r="28560" spans="30:30" x14ac:dyDescent="0.25">
      <c r="AD28560"/>
    </row>
    <row r="28561" spans="30:30" x14ac:dyDescent="0.25">
      <c r="AD28561"/>
    </row>
    <row r="28562" spans="30:30" x14ac:dyDescent="0.25">
      <c r="AD28562"/>
    </row>
    <row r="28563" spans="30:30" x14ac:dyDescent="0.25">
      <c r="AD28563"/>
    </row>
    <row r="28564" spans="30:30" x14ac:dyDescent="0.25">
      <c r="AD28564"/>
    </row>
    <row r="28565" spans="30:30" x14ac:dyDescent="0.25">
      <c r="AD28565"/>
    </row>
    <row r="28566" spans="30:30" x14ac:dyDescent="0.25">
      <c r="AD28566"/>
    </row>
    <row r="28567" spans="30:30" x14ac:dyDescent="0.25">
      <c r="AD28567"/>
    </row>
    <row r="28568" spans="30:30" x14ac:dyDescent="0.25">
      <c r="AD28568"/>
    </row>
    <row r="28569" spans="30:30" x14ac:dyDescent="0.25">
      <c r="AD28569"/>
    </row>
    <row r="28570" spans="30:30" x14ac:dyDescent="0.25">
      <c r="AD28570"/>
    </row>
    <row r="28571" spans="30:30" x14ac:dyDescent="0.25">
      <c r="AD28571"/>
    </row>
    <row r="28572" spans="30:30" x14ac:dyDescent="0.25">
      <c r="AD28572"/>
    </row>
    <row r="28573" spans="30:30" x14ac:dyDescent="0.25">
      <c r="AD28573"/>
    </row>
    <row r="28574" spans="30:30" x14ac:dyDescent="0.25">
      <c r="AD28574"/>
    </row>
    <row r="28575" spans="30:30" x14ac:dyDescent="0.25">
      <c r="AD28575"/>
    </row>
    <row r="28576" spans="30:30" x14ac:dyDescent="0.25">
      <c r="AD28576"/>
    </row>
    <row r="28577" spans="30:30" x14ac:dyDescent="0.25">
      <c r="AD28577"/>
    </row>
    <row r="28578" spans="30:30" x14ac:dyDescent="0.25">
      <c r="AD28578"/>
    </row>
    <row r="28579" spans="30:30" x14ac:dyDescent="0.25">
      <c r="AD28579"/>
    </row>
    <row r="28580" spans="30:30" x14ac:dyDescent="0.25">
      <c r="AD28580"/>
    </row>
    <row r="28581" spans="30:30" x14ac:dyDescent="0.25">
      <c r="AD28581"/>
    </row>
    <row r="28582" spans="30:30" x14ac:dyDescent="0.25">
      <c r="AD28582"/>
    </row>
    <row r="28583" spans="30:30" x14ac:dyDescent="0.25">
      <c r="AD28583"/>
    </row>
    <row r="28584" spans="30:30" x14ac:dyDescent="0.25">
      <c r="AD28584"/>
    </row>
    <row r="28585" spans="30:30" x14ac:dyDescent="0.25">
      <c r="AD28585"/>
    </row>
    <row r="28586" spans="30:30" x14ac:dyDescent="0.25">
      <c r="AD28586"/>
    </row>
    <row r="28587" spans="30:30" x14ac:dyDescent="0.25">
      <c r="AD28587"/>
    </row>
    <row r="28588" spans="30:30" x14ac:dyDescent="0.25">
      <c r="AD28588"/>
    </row>
    <row r="28589" spans="30:30" x14ac:dyDescent="0.25">
      <c r="AD28589"/>
    </row>
    <row r="28590" spans="30:30" x14ac:dyDescent="0.25">
      <c r="AD28590"/>
    </row>
    <row r="28591" spans="30:30" x14ac:dyDescent="0.25">
      <c r="AD28591"/>
    </row>
    <row r="28592" spans="30:30" x14ac:dyDescent="0.25">
      <c r="AD28592"/>
    </row>
    <row r="28593" spans="30:30" x14ac:dyDescent="0.25">
      <c r="AD28593"/>
    </row>
    <row r="28594" spans="30:30" x14ac:dyDescent="0.25">
      <c r="AD28594"/>
    </row>
    <row r="28595" spans="30:30" x14ac:dyDescent="0.25">
      <c r="AD28595"/>
    </row>
    <row r="28596" spans="30:30" x14ac:dyDescent="0.25">
      <c r="AD28596"/>
    </row>
    <row r="28597" spans="30:30" x14ac:dyDescent="0.25">
      <c r="AD28597"/>
    </row>
    <row r="28598" spans="30:30" x14ac:dyDescent="0.25">
      <c r="AD28598"/>
    </row>
    <row r="28599" spans="30:30" x14ac:dyDescent="0.25">
      <c r="AD28599"/>
    </row>
    <row r="28600" spans="30:30" x14ac:dyDescent="0.25">
      <c r="AD28600"/>
    </row>
    <row r="28601" spans="30:30" x14ac:dyDescent="0.25">
      <c r="AD28601"/>
    </row>
    <row r="28602" spans="30:30" x14ac:dyDescent="0.25">
      <c r="AD28602"/>
    </row>
    <row r="28603" spans="30:30" x14ac:dyDescent="0.25">
      <c r="AD28603"/>
    </row>
    <row r="28604" spans="30:30" x14ac:dyDescent="0.25">
      <c r="AD28604"/>
    </row>
    <row r="28605" spans="30:30" x14ac:dyDescent="0.25">
      <c r="AD28605"/>
    </row>
    <row r="28606" spans="30:30" x14ac:dyDescent="0.25">
      <c r="AD28606"/>
    </row>
    <row r="28607" spans="30:30" x14ac:dyDescent="0.25">
      <c r="AD28607"/>
    </row>
    <row r="28608" spans="30:30" x14ac:dyDescent="0.25">
      <c r="AD28608"/>
    </row>
    <row r="28609" spans="30:30" x14ac:dyDescent="0.25">
      <c r="AD28609"/>
    </row>
    <row r="28610" spans="30:30" x14ac:dyDescent="0.25">
      <c r="AD28610"/>
    </row>
    <row r="28611" spans="30:30" x14ac:dyDescent="0.25">
      <c r="AD28611"/>
    </row>
    <row r="28612" spans="30:30" x14ac:dyDescent="0.25">
      <c r="AD28612"/>
    </row>
    <row r="28613" spans="30:30" x14ac:dyDescent="0.25">
      <c r="AD28613"/>
    </row>
    <row r="28614" spans="30:30" x14ac:dyDescent="0.25">
      <c r="AD28614"/>
    </row>
    <row r="28615" spans="30:30" x14ac:dyDescent="0.25">
      <c r="AD28615"/>
    </row>
    <row r="28616" spans="30:30" x14ac:dyDescent="0.25">
      <c r="AD28616"/>
    </row>
    <row r="28617" spans="30:30" x14ac:dyDescent="0.25">
      <c r="AD28617"/>
    </row>
    <row r="28618" spans="30:30" x14ac:dyDescent="0.25">
      <c r="AD28618"/>
    </row>
    <row r="28619" spans="30:30" x14ac:dyDescent="0.25">
      <c r="AD28619"/>
    </row>
    <row r="28620" spans="30:30" x14ac:dyDescent="0.25">
      <c r="AD28620"/>
    </row>
    <row r="28621" spans="30:30" x14ac:dyDescent="0.25">
      <c r="AD28621"/>
    </row>
    <row r="28622" spans="30:30" x14ac:dyDescent="0.25">
      <c r="AD28622"/>
    </row>
    <row r="28623" spans="30:30" x14ac:dyDescent="0.25">
      <c r="AD28623"/>
    </row>
    <row r="28624" spans="30:30" x14ac:dyDescent="0.25">
      <c r="AD28624"/>
    </row>
    <row r="28625" spans="30:30" x14ac:dyDescent="0.25">
      <c r="AD28625"/>
    </row>
    <row r="28626" spans="30:30" x14ac:dyDescent="0.25">
      <c r="AD28626"/>
    </row>
    <row r="28627" spans="30:30" x14ac:dyDescent="0.25">
      <c r="AD28627"/>
    </row>
    <row r="28628" spans="30:30" x14ac:dyDescent="0.25">
      <c r="AD28628"/>
    </row>
    <row r="28629" spans="30:30" x14ac:dyDescent="0.25">
      <c r="AD28629"/>
    </row>
    <row r="28630" spans="30:30" x14ac:dyDescent="0.25">
      <c r="AD28630"/>
    </row>
    <row r="28631" spans="30:30" x14ac:dyDescent="0.25">
      <c r="AD28631"/>
    </row>
    <row r="28632" spans="30:30" x14ac:dyDescent="0.25">
      <c r="AD28632"/>
    </row>
    <row r="28633" spans="30:30" x14ac:dyDescent="0.25">
      <c r="AD28633"/>
    </row>
    <row r="28634" spans="30:30" x14ac:dyDescent="0.25">
      <c r="AD28634"/>
    </row>
    <row r="28635" spans="30:30" x14ac:dyDescent="0.25">
      <c r="AD28635"/>
    </row>
    <row r="28636" spans="30:30" x14ac:dyDescent="0.25">
      <c r="AD28636"/>
    </row>
    <row r="28637" spans="30:30" x14ac:dyDescent="0.25">
      <c r="AD28637"/>
    </row>
    <row r="28638" spans="30:30" x14ac:dyDescent="0.25">
      <c r="AD28638"/>
    </row>
    <row r="28639" spans="30:30" x14ac:dyDescent="0.25">
      <c r="AD28639"/>
    </row>
    <row r="28640" spans="30:30" x14ac:dyDescent="0.25">
      <c r="AD28640"/>
    </row>
    <row r="28641" spans="30:30" x14ac:dyDescent="0.25">
      <c r="AD28641"/>
    </row>
    <row r="28642" spans="30:30" x14ac:dyDescent="0.25">
      <c r="AD28642"/>
    </row>
    <row r="28643" spans="30:30" x14ac:dyDescent="0.25">
      <c r="AD28643"/>
    </row>
    <row r="28644" spans="30:30" x14ac:dyDescent="0.25">
      <c r="AD28644"/>
    </row>
    <row r="28645" spans="30:30" x14ac:dyDescent="0.25">
      <c r="AD28645"/>
    </row>
    <row r="28646" spans="30:30" x14ac:dyDescent="0.25">
      <c r="AD28646"/>
    </row>
    <row r="28647" spans="30:30" x14ac:dyDescent="0.25">
      <c r="AD28647"/>
    </row>
    <row r="28648" spans="30:30" x14ac:dyDescent="0.25">
      <c r="AD28648"/>
    </row>
    <row r="28649" spans="30:30" x14ac:dyDescent="0.25">
      <c r="AD28649"/>
    </row>
    <row r="28650" spans="30:30" x14ac:dyDescent="0.25">
      <c r="AD28650"/>
    </row>
    <row r="28651" spans="30:30" x14ac:dyDescent="0.25">
      <c r="AD28651"/>
    </row>
    <row r="28652" spans="30:30" x14ac:dyDescent="0.25">
      <c r="AD28652"/>
    </row>
    <row r="28653" spans="30:30" x14ac:dyDescent="0.25">
      <c r="AD28653"/>
    </row>
    <row r="28654" spans="30:30" x14ac:dyDescent="0.25">
      <c r="AD28654"/>
    </row>
    <row r="28655" spans="30:30" x14ac:dyDescent="0.25">
      <c r="AD28655"/>
    </row>
    <row r="28656" spans="30:30" x14ac:dyDescent="0.25">
      <c r="AD28656"/>
    </row>
    <row r="28657" spans="30:30" x14ac:dyDescent="0.25">
      <c r="AD28657"/>
    </row>
    <row r="28658" spans="30:30" x14ac:dyDescent="0.25">
      <c r="AD28658"/>
    </row>
    <row r="28659" spans="30:30" x14ac:dyDescent="0.25">
      <c r="AD28659"/>
    </row>
    <row r="28660" spans="30:30" x14ac:dyDescent="0.25">
      <c r="AD28660"/>
    </row>
    <row r="28661" spans="30:30" x14ac:dyDescent="0.25">
      <c r="AD28661"/>
    </row>
    <row r="28662" spans="30:30" x14ac:dyDescent="0.25">
      <c r="AD28662"/>
    </row>
    <row r="28663" spans="30:30" x14ac:dyDescent="0.25">
      <c r="AD28663"/>
    </row>
    <row r="28664" spans="30:30" x14ac:dyDescent="0.25">
      <c r="AD28664"/>
    </row>
    <row r="28665" spans="30:30" x14ac:dyDescent="0.25">
      <c r="AD28665"/>
    </row>
    <row r="28666" spans="30:30" x14ac:dyDescent="0.25">
      <c r="AD28666"/>
    </row>
    <row r="28667" spans="30:30" x14ac:dyDescent="0.25">
      <c r="AD28667"/>
    </row>
    <row r="28668" spans="30:30" x14ac:dyDescent="0.25">
      <c r="AD28668"/>
    </row>
    <row r="28669" spans="30:30" x14ac:dyDescent="0.25">
      <c r="AD28669"/>
    </row>
    <row r="28670" spans="30:30" x14ac:dyDescent="0.25">
      <c r="AD28670"/>
    </row>
    <row r="28671" spans="30:30" x14ac:dyDescent="0.25">
      <c r="AD28671"/>
    </row>
    <row r="28672" spans="30:30" x14ac:dyDescent="0.25">
      <c r="AD28672"/>
    </row>
    <row r="28673" spans="30:30" x14ac:dyDescent="0.25">
      <c r="AD28673"/>
    </row>
    <row r="28674" spans="30:30" x14ac:dyDescent="0.25">
      <c r="AD28674"/>
    </row>
    <row r="28675" spans="30:30" x14ac:dyDescent="0.25">
      <c r="AD28675"/>
    </row>
    <row r="28676" spans="30:30" x14ac:dyDescent="0.25">
      <c r="AD28676"/>
    </row>
    <row r="28677" spans="30:30" x14ac:dyDescent="0.25">
      <c r="AD28677"/>
    </row>
    <row r="28678" spans="30:30" x14ac:dyDescent="0.25">
      <c r="AD28678"/>
    </row>
    <row r="28679" spans="30:30" x14ac:dyDescent="0.25">
      <c r="AD28679"/>
    </row>
    <row r="28680" spans="30:30" x14ac:dyDescent="0.25">
      <c r="AD28680"/>
    </row>
    <row r="28681" spans="30:30" x14ac:dyDescent="0.25">
      <c r="AD28681"/>
    </row>
    <row r="28682" spans="30:30" x14ac:dyDescent="0.25">
      <c r="AD28682"/>
    </row>
    <row r="28683" spans="30:30" x14ac:dyDescent="0.25">
      <c r="AD28683"/>
    </row>
    <row r="28684" spans="30:30" x14ac:dyDescent="0.25">
      <c r="AD28684"/>
    </row>
    <row r="28685" spans="30:30" x14ac:dyDescent="0.25">
      <c r="AD28685"/>
    </row>
    <row r="28686" spans="30:30" x14ac:dyDescent="0.25">
      <c r="AD28686"/>
    </row>
    <row r="28687" spans="30:30" x14ac:dyDescent="0.25">
      <c r="AD28687"/>
    </row>
    <row r="28688" spans="30:30" x14ac:dyDescent="0.25">
      <c r="AD28688"/>
    </row>
    <row r="28689" spans="30:30" x14ac:dyDescent="0.25">
      <c r="AD28689"/>
    </row>
    <row r="28690" spans="30:30" x14ac:dyDescent="0.25">
      <c r="AD28690"/>
    </row>
    <row r="28691" spans="30:30" x14ac:dyDescent="0.25">
      <c r="AD28691"/>
    </row>
    <row r="28692" spans="30:30" x14ac:dyDescent="0.25">
      <c r="AD28692"/>
    </row>
    <row r="28693" spans="30:30" x14ac:dyDescent="0.25">
      <c r="AD28693"/>
    </row>
    <row r="28694" spans="30:30" x14ac:dyDescent="0.25">
      <c r="AD28694"/>
    </row>
    <row r="28695" spans="30:30" x14ac:dyDescent="0.25">
      <c r="AD28695"/>
    </row>
    <row r="28696" spans="30:30" x14ac:dyDescent="0.25">
      <c r="AD28696"/>
    </row>
    <row r="28697" spans="30:30" x14ac:dyDescent="0.25">
      <c r="AD28697"/>
    </row>
    <row r="28698" spans="30:30" x14ac:dyDescent="0.25">
      <c r="AD28698"/>
    </row>
    <row r="28699" spans="30:30" x14ac:dyDescent="0.25">
      <c r="AD28699"/>
    </row>
    <row r="28700" spans="30:30" x14ac:dyDescent="0.25">
      <c r="AD28700"/>
    </row>
    <row r="28701" spans="30:30" x14ac:dyDescent="0.25">
      <c r="AD28701"/>
    </row>
    <row r="28702" spans="30:30" x14ac:dyDescent="0.25">
      <c r="AD28702"/>
    </row>
    <row r="28703" spans="30:30" x14ac:dyDescent="0.25">
      <c r="AD28703"/>
    </row>
    <row r="28704" spans="30:30" x14ac:dyDescent="0.25">
      <c r="AD28704"/>
    </row>
    <row r="28705" spans="30:30" x14ac:dyDescent="0.25">
      <c r="AD28705"/>
    </row>
    <row r="28706" spans="30:30" x14ac:dyDescent="0.25">
      <c r="AD28706"/>
    </row>
    <row r="28707" spans="30:30" x14ac:dyDescent="0.25">
      <c r="AD28707"/>
    </row>
    <row r="28708" spans="30:30" x14ac:dyDescent="0.25">
      <c r="AD28708"/>
    </row>
    <row r="28709" spans="30:30" x14ac:dyDescent="0.25">
      <c r="AD28709"/>
    </row>
    <row r="28710" spans="30:30" x14ac:dyDescent="0.25">
      <c r="AD28710"/>
    </row>
    <row r="28711" spans="30:30" x14ac:dyDescent="0.25">
      <c r="AD28711"/>
    </row>
    <row r="28712" spans="30:30" x14ac:dyDescent="0.25">
      <c r="AD28712"/>
    </row>
    <row r="28713" spans="30:30" x14ac:dyDescent="0.25">
      <c r="AD28713"/>
    </row>
    <row r="28714" spans="30:30" x14ac:dyDescent="0.25">
      <c r="AD28714"/>
    </row>
    <row r="28715" spans="30:30" x14ac:dyDescent="0.25">
      <c r="AD28715"/>
    </row>
    <row r="28716" spans="30:30" x14ac:dyDescent="0.25">
      <c r="AD28716"/>
    </row>
    <row r="28717" spans="30:30" x14ac:dyDescent="0.25">
      <c r="AD28717"/>
    </row>
    <row r="28718" spans="30:30" x14ac:dyDescent="0.25">
      <c r="AD28718"/>
    </row>
    <row r="28719" spans="30:30" x14ac:dyDescent="0.25">
      <c r="AD28719"/>
    </row>
    <row r="28720" spans="30:30" x14ac:dyDescent="0.25">
      <c r="AD28720"/>
    </row>
    <row r="28721" spans="30:30" x14ac:dyDescent="0.25">
      <c r="AD28721"/>
    </row>
    <row r="28722" spans="30:30" x14ac:dyDescent="0.25">
      <c r="AD28722"/>
    </row>
    <row r="28723" spans="30:30" x14ac:dyDescent="0.25">
      <c r="AD28723"/>
    </row>
    <row r="28724" spans="30:30" x14ac:dyDescent="0.25">
      <c r="AD28724"/>
    </row>
    <row r="28725" spans="30:30" x14ac:dyDescent="0.25">
      <c r="AD28725"/>
    </row>
    <row r="28726" spans="30:30" x14ac:dyDescent="0.25">
      <c r="AD28726"/>
    </row>
    <row r="28727" spans="30:30" x14ac:dyDescent="0.25">
      <c r="AD28727"/>
    </row>
    <row r="28728" spans="30:30" x14ac:dyDescent="0.25">
      <c r="AD28728"/>
    </row>
    <row r="28729" spans="30:30" x14ac:dyDescent="0.25">
      <c r="AD28729"/>
    </row>
    <row r="28730" spans="30:30" x14ac:dyDescent="0.25">
      <c r="AD28730"/>
    </row>
    <row r="28731" spans="30:30" x14ac:dyDescent="0.25">
      <c r="AD28731"/>
    </row>
    <row r="28732" spans="30:30" x14ac:dyDescent="0.25">
      <c r="AD28732"/>
    </row>
    <row r="28733" spans="30:30" x14ac:dyDescent="0.25">
      <c r="AD28733"/>
    </row>
    <row r="28734" spans="30:30" x14ac:dyDescent="0.25">
      <c r="AD28734"/>
    </row>
    <row r="28735" spans="30:30" x14ac:dyDescent="0.25">
      <c r="AD28735"/>
    </row>
    <row r="28736" spans="30:30" x14ac:dyDescent="0.25">
      <c r="AD28736"/>
    </row>
    <row r="28737" spans="30:30" x14ac:dyDescent="0.25">
      <c r="AD28737"/>
    </row>
    <row r="28738" spans="30:30" x14ac:dyDescent="0.25">
      <c r="AD28738"/>
    </row>
    <row r="28739" spans="30:30" x14ac:dyDescent="0.25">
      <c r="AD28739"/>
    </row>
    <row r="28740" spans="30:30" x14ac:dyDescent="0.25">
      <c r="AD28740"/>
    </row>
    <row r="28741" spans="30:30" x14ac:dyDescent="0.25">
      <c r="AD28741"/>
    </row>
    <row r="28742" spans="30:30" x14ac:dyDescent="0.25">
      <c r="AD28742"/>
    </row>
    <row r="28743" spans="30:30" x14ac:dyDescent="0.25">
      <c r="AD28743"/>
    </row>
    <row r="28744" spans="30:30" x14ac:dyDescent="0.25">
      <c r="AD28744"/>
    </row>
    <row r="28745" spans="30:30" x14ac:dyDescent="0.25">
      <c r="AD28745"/>
    </row>
    <row r="28746" spans="30:30" x14ac:dyDescent="0.25">
      <c r="AD28746"/>
    </row>
    <row r="28747" spans="30:30" x14ac:dyDescent="0.25">
      <c r="AD28747"/>
    </row>
    <row r="28748" spans="30:30" x14ac:dyDescent="0.25">
      <c r="AD28748"/>
    </row>
    <row r="28749" spans="30:30" x14ac:dyDescent="0.25">
      <c r="AD28749"/>
    </row>
    <row r="28750" spans="30:30" x14ac:dyDescent="0.25">
      <c r="AD28750"/>
    </row>
    <row r="28751" spans="30:30" x14ac:dyDescent="0.25">
      <c r="AD28751"/>
    </row>
    <row r="28752" spans="30:30" x14ac:dyDescent="0.25">
      <c r="AD28752"/>
    </row>
    <row r="28753" spans="30:30" x14ac:dyDescent="0.25">
      <c r="AD28753"/>
    </row>
    <row r="28754" spans="30:30" x14ac:dyDescent="0.25">
      <c r="AD28754"/>
    </row>
    <row r="28755" spans="30:30" x14ac:dyDescent="0.25">
      <c r="AD28755"/>
    </row>
    <row r="28756" spans="30:30" x14ac:dyDescent="0.25">
      <c r="AD28756"/>
    </row>
    <row r="28757" spans="30:30" x14ac:dyDescent="0.25">
      <c r="AD28757"/>
    </row>
    <row r="28758" spans="30:30" x14ac:dyDescent="0.25">
      <c r="AD28758"/>
    </row>
    <row r="28759" spans="30:30" x14ac:dyDescent="0.25">
      <c r="AD28759"/>
    </row>
    <row r="28760" spans="30:30" x14ac:dyDescent="0.25">
      <c r="AD28760"/>
    </row>
    <row r="28761" spans="30:30" x14ac:dyDescent="0.25">
      <c r="AD28761"/>
    </row>
    <row r="28762" spans="30:30" x14ac:dyDescent="0.25">
      <c r="AD28762"/>
    </row>
    <row r="28763" spans="30:30" x14ac:dyDescent="0.25">
      <c r="AD28763"/>
    </row>
    <row r="28764" spans="30:30" x14ac:dyDescent="0.25">
      <c r="AD28764"/>
    </row>
    <row r="28765" spans="30:30" x14ac:dyDescent="0.25">
      <c r="AD28765"/>
    </row>
    <row r="28766" spans="30:30" x14ac:dyDescent="0.25">
      <c r="AD28766"/>
    </row>
    <row r="28767" spans="30:30" x14ac:dyDescent="0.25">
      <c r="AD28767"/>
    </row>
    <row r="28768" spans="30:30" x14ac:dyDescent="0.25">
      <c r="AD28768"/>
    </row>
    <row r="28769" spans="30:30" x14ac:dyDescent="0.25">
      <c r="AD28769"/>
    </row>
    <row r="28770" spans="30:30" x14ac:dyDescent="0.25">
      <c r="AD28770"/>
    </row>
    <row r="28771" spans="30:30" x14ac:dyDescent="0.25">
      <c r="AD28771"/>
    </row>
    <row r="28772" spans="30:30" x14ac:dyDescent="0.25">
      <c r="AD28772"/>
    </row>
    <row r="28773" spans="30:30" x14ac:dyDescent="0.25">
      <c r="AD28773"/>
    </row>
    <row r="28774" spans="30:30" x14ac:dyDescent="0.25">
      <c r="AD28774"/>
    </row>
    <row r="28775" spans="30:30" x14ac:dyDescent="0.25">
      <c r="AD28775"/>
    </row>
    <row r="28776" spans="30:30" x14ac:dyDescent="0.25">
      <c r="AD28776"/>
    </row>
    <row r="28777" spans="30:30" x14ac:dyDescent="0.25">
      <c r="AD28777"/>
    </row>
    <row r="28778" spans="30:30" x14ac:dyDescent="0.25">
      <c r="AD28778"/>
    </row>
    <row r="28779" spans="30:30" x14ac:dyDescent="0.25">
      <c r="AD28779"/>
    </row>
    <row r="28780" spans="30:30" x14ac:dyDescent="0.25">
      <c r="AD28780"/>
    </row>
    <row r="28781" spans="30:30" x14ac:dyDescent="0.25">
      <c r="AD28781"/>
    </row>
    <row r="28782" spans="30:30" x14ac:dyDescent="0.25">
      <c r="AD28782"/>
    </row>
    <row r="28783" spans="30:30" x14ac:dyDescent="0.25">
      <c r="AD28783"/>
    </row>
    <row r="28784" spans="30:30" x14ac:dyDescent="0.25">
      <c r="AD28784"/>
    </row>
    <row r="28785" spans="30:30" x14ac:dyDescent="0.25">
      <c r="AD28785"/>
    </row>
    <row r="28786" spans="30:30" x14ac:dyDescent="0.25">
      <c r="AD28786"/>
    </row>
    <row r="28787" spans="30:30" x14ac:dyDescent="0.25">
      <c r="AD28787"/>
    </row>
    <row r="28788" spans="30:30" x14ac:dyDescent="0.25">
      <c r="AD28788"/>
    </row>
    <row r="28789" spans="30:30" x14ac:dyDescent="0.25">
      <c r="AD28789"/>
    </row>
    <row r="28790" spans="30:30" x14ac:dyDescent="0.25">
      <c r="AD28790"/>
    </row>
    <row r="28791" spans="30:30" x14ac:dyDescent="0.25">
      <c r="AD28791"/>
    </row>
    <row r="28792" spans="30:30" x14ac:dyDescent="0.25">
      <c r="AD28792"/>
    </row>
    <row r="28793" spans="30:30" x14ac:dyDescent="0.25">
      <c r="AD28793"/>
    </row>
    <row r="28794" spans="30:30" x14ac:dyDescent="0.25">
      <c r="AD28794"/>
    </row>
    <row r="28795" spans="30:30" x14ac:dyDescent="0.25">
      <c r="AD28795"/>
    </row>
    <row r="28796" spans="30:30" x14ac:dyDescent="0.25">
      <c r="AD28796"/>
    </row>
    <row r="28797" spans="30:30" x14ac:dyDescent="0.25">
      <c r="AD28797"/>
    </row>
    <row r="28798" spans="30:30" x14ac:dyDescent="0.25">
      <c r="AD28798"/>
    </row>
    <row r="28799" spans="30:30" x14ac:dyDescent="0.25">
      <c r="AD28799"/>
    </row>
    <row r="28800" spans="30:30" x14ac:dyDescent="0.25">
      <c r="AD28800"/>
    </row>
    <row r="28801" spans="30:30" x14ac:dyDescent="0.25">
      <c r="AD28801"/>
    </row>
    <row r="28802" spans="30:30" x14ac:dyDescent="0.25">
      <c r="AD28802"/>
    </row>
    <row r="28803" spans="30:30" x14ac:dyDescent="0.25">
      <c r="AD28803"/>
    </row>
    <row r="28804" spans="30:30" x14ac:dyDescent="0.25">
      <c r="AD28804"/>
    </row>
    <row r="28805" spans="30:30" x14ac:dyDescent="0.25">
      <c r="AD28805"/>
    </row>
    <row r="28806" spans="30:30" x14ac:dyDescent="0.25">
      <c r="AD28806"/>
    </row>
    <row r="28807" spans="30:30" x14ac:dyDescent="0.25">
      <c r="AD28807"/>
    </row>
    <row r="28808" spans="30:30" x14ac:dyDescent="0.25">
      <c r="AD28808"/>
    </row>
    <row r="28809" spans="30:30" x14ac:dyDescent="0.25">
      <c r="AD28809"/>
    </row>
    <row r="28810" spans="30:30" x14ac:dyDescent="0.25">
      <c r="AD28810"/>
    </row>
    <row r="28811" spans="30:30" x14ac:dyDescent="0.25">
      <c r="AD28811"/>
    </row>
    <row r="28812" spans="30:30" x14ac:dyDescent="0.25">
      <c r="AD28812"/>
    </row>
    <row r="28813" spans="30:30" x14ac:dyDescent="0.25">
      <c r="AD28813"/>
    </row>
    <row r="28814" spans="30:30" x14ac:dyDescent="0.25">
      <c r="AD28814"/>
    </row>
    <row r="28815" spans="30:30" x14ac:dyDescent="0.25">
      <c r="AD28815"/>
    </row>
    <row r="28816" spans="30:30" x14ac:dyDescent="0.25">
      <c r="AD28816"/>
    </row>
    <row r="28817" spans="30:30" x14ac:dyDescent="0.25">
      <c r="AD28817"/>
    </row>
    <row r="28818" spans="30:30" x14ac:dyDescent="0.25">
      <c r="AD28818"/>
    </row>
    <row r="28819" spans="30:30" x14ac:dyDescent="0.25">
      <c r="AD28819"/>
    </row>
    <row r="28820" spans="30:30" x14ac:dyDescent="0.25">
      <c r="AD28820"/>
    </row>
    <row r="28821" spans="30:30" x14ac:dyDescent="0.25">
      <c r="AD28821"/>
    </row>
    <row r="28822" spans="30:30" x14ac:dyDescent="0.25">
      <c r="AD28822"/>
    </row>
    <row r="28823" spans="30:30" x14ac:dyDescent="0.25">
      <c r="AD28823"/>
    </row>
    <row r="28824" spans="30:30" x14ac:dyDescent="0.25">
      <c r="AD28824"/>
    </row>
    <row r="28825" spans="30:30" x14ac:dyDescent="0.25">
      <c r="AD28825"/>
    </row>
    <row r="28826" spans="30:30" x14ac:dyDescent="0.25">
      <c r="AD28826"/>
    </row>
    <row r="28827" spans="30:30" x14ac:dyDescent="0.25">
      <c r="AD28827"/>
    </row>
    <row r="28828" spans="30:30" x14ac:dyDescent="0.25">
      <c r="AD28828"/>
    </row>
    <row r="28829" spans="30:30" x14ac:dyDescent="0.25">
      <c r="AD28829"/>
    </row>
    <row r="28830" spans="30:30" x14ac:dyDescent="0.25">
      <c r="AD28830"/>
    </row>
    <row r="28831" spans="30:30" x14ac:dyDescent="0.25">
      <c r="AD28831"/>
    </row>
    <row r="28832" spans="30:30" x14ac:dyDescent="0.25">
      <c r="AD28832"/>
    </row>
    <row r="28833" spans="30:30" x14ac:dyDescent="0.25">
      <c r="AD28833"/>
    </row>
    <row r="28834" spans="30:30" x14ac:dyDescent="0.25">
      <c r="AD28834"/>
    </row>
    <row r="28835" spans="30:30" x14ac:dyDescent="0.25">
      <c r="AD28835"/>
    </row>
    <row r="28836" spans="30:30" x14ac:dyDescent="0.25">
      <c r="AD28836"/>
    </row>
    <row r="28837" spans="30:30" x14ac:dyDescent="0.25">
      <c r="AD28837"/>
    </row>
    <row r="28838" spans="30:30" x14ac:dyDescent="0.25">
      <c r="AD28838"/>
    </row>
    <row r="28839" spans="30:30" x14ac:dyDescent="0.25">
      <c r="AD28839"/>
    </row>
    <row r="28840" spans="30:30" x14ac:dyDescent="0.25">
      <c r="AD28840"/>
    </row>
    <row r="28841" spans="30:30" x14ac:dyDescent="0.25">
      <c r="AD28841"/>
    </row>
    <row r="28842" spans="30:30" x14ac:dyDescent="0.25">
      <c r="AD28842"/>
    </row>
    <row r="28843" spans="30:30" x14ac:dyDescent="0.25">
      <c r="AD28843"/>
    </row>
    <row r="28844" spans="30:30" x14ac:dyDescent="0.25">
      <c r="AD28844"/>
    </row>
    <row r="28845" spans="30:30" x14ac:dyDescent="0.25">
      <c r="AD28845"/>
    </row>
    <row r="28846" spans="30:30" x14ac:dyDescent="0.25">
      <c r="AD28846"/>
    </row>
    <row r="28847" spans="30:30" x14ac:dyDescent="0.25">
      <c r="AD28847"/>
    </row>
    <row r="28848" spans="30:30" x14ac:dyDescent="0.25">
      <c r="AD28848"/>
    </row>
    <row r="28849" spans="30:30" x14ac:dyDescent="0.25">
      <c r="AD28849"/>
    </row>
    <row r="28850" spans="30:30" x14ac:dyDescent="0.25">
      <c r="AD28850"/>
    </row>
    <row r="28851" spans="30:30" x14ac:dyDescent="0.25">
      <c r="AD28851"/>
    </row>
    <row r="28852" spans="30:30" x14ac:dyDescent="0.25">
      <c r="AD28852"/>
    </row>
    <row r="28853" spans="30:30" x14ac:dyDescent="0.25">
      <c r="AD28853"/>
    </row>
    <row r="28854" spans="30:30" x14ac:dyDescent="0.25">
      <c r="AD28854"/>
    </row>
    <row r="28855" spans="30:30" x14ac:dyDescent="0.25">
      <c r="AD28855"/>
    </row>
    <row r="28856" spans="30:30" x14ac:dyDescent="0.25">
      <c r="AD28856"/>
    </row>
    <row r="28857" spans="30:30" x14ac:dyDescent="0.25">
      <c r="AD28857"/>
    </row>
    <row r="28858" spans="30:30" x14ac:dyDescent="0.25">
      <c r="AD28858"/>
    </row>
    <row r="28859" spans="30:30" x14ac:dyDescent="0.25">
      <c r="AD28859"/>
    </row>
    <row r="28860" spans="30:30" x14ac:dyDescent="0.25">
      <c r="AD28860"/>
    </row>
    <row r="28861" spans="30:30" x14ac:dyDescent="0.25">
      <c r="AD28861"/>
    </row>
    <row r="28862" spans="30:30" x14ac:dyDescent="0.25">
      <c r="AD28862"/>
    </row>
    <row r="28863" spans="30:30" x14ac:dyDescent="0.25">
      <c r="AD28863"/>
    </row>
    <row r="28864" spans="30:30" x14ac:dyDescent="0.25">
      <c r="AD28864"/>
    </row>
    <row r="28865" spans="30:30" x14ac:dyDescent="0.25">
      <c r="AD28865"/>
    </row>
    <row r="28866" spans="30:30" x14ac:dyDescent="0.25">
      <c r="AD28866"/>
    </row>
    <row r="28867" spans="30:30" x14ac:dyDescent="0.25">
      <c r="AD28867"/>
    </row>
    <row r="28868" spans="30:30" x14ac:dyDescent="0.25">
      <c r="AD28868"/>
    </row>
    <row r="28869" spans="30:30" x14ac:dyDescent="0.25">
      <c r="AD28869"/>
    </row>
    <row r="28870" spans="30:30" x14ac:dyDescent="0.25">
      <c r="AD28870"/>
    </row>
    <row r="28871" spans="30:30" x14ac:dyDescent="0.25">
      <c r="AD28871"/>
    </row>
    <row r="28872" spans="30:30" x14ac:dyDescent="0.25">
      <c r="AD28872"/>
    </row>
    <row r="28873" spans="30:30" x14ac:dyDescent="0.25">
      <c r="AD28873"/>
    </row>
    <row r="28874" spans="30:30" x14ac:dyDescent="0.25">
      <c r="AD28874"/>
    </row>
    <row r="28875" spans="30:30" x14ac:dyDescent="0.25">
      <c r="AD28875"/>
    </row>
    <row r="28876" spans="30:30" x14ac:dyDescent="0.25">
      <c r="AD28876"/>
    </row>
    <row r="28877" spans="30:30" x14ac:dyDescent="0.25">
      <c r="AD28877"/>
    </row>
    <row r="28878" spans="30:30" x14ac:dyDescent="0.25">
      <c r="AD28878"/>
    </row>
    <row r="28879" spans="30:30" x14ac:dyDescent="0.25">
      <c r="AD28879"/>
    </row>
    <row r="28880" spans="30:30" x14ac:dyDescent="0.25">
      <c r="AD28880"/>
    </row>
    <row r="28881" spans="30:30" x14ac:dyDescent="0.25">
      <c r="AD28881"/>
    </row>
    <row r="28882" spans="30:30" x14ac:dyDescent="0.25">
      <c r="AD28882"/>
    </row>
    <row r="28883" spans="30:30" x14ac:dyDescent="0.25">
      <c r="AD28883"/>
    </row>
    <row r="28884" spans="30:30" x14ac:dyDescent="0.25">
      <c r="AD28884"/>
    </row>
    <row r="28885" spans="30:30" x14ac:dyDescent="0.25">
      <c r="AD28885"/>
    </row>
    <row r="28886" spans="30:30" x14ac:dyDescent="0.25">
      <c r="AD28886"/>
    </row>
    <row r="28887" spans="30:30" x14ac:dyDescent="0.25">
      <c r="AD28887"/>
    </row>
    <row r="28888" spans="30:30" x14ac:dyDescent="0.25">
      <c r="AD28888"/>
    </row>
    <row r="28889" spans="30:30" x14ac:dyDescent="0.25">
      <c r="AD28889"/>
    </row>
    <row r="28890" spans="30:30" x14ac:dyDescent="0.25">
      <c r="AD28890"/>
    </row>
    <row r="28891" spans="30:30" x14ac:dyDescent="0.25">
      <c r="AD28891"/>
    </row>
    <row r="28892" spans="30:30" x14ac:dyDescent="0.25">
      <c r="AD28892"/>
    </row>
    <row r="28893" spans="30:30" x14ac:dyDescent="0.25">
      <c r="AD28893"/>
    </row>
    <row r="28894" spans="30:30" x14ac:dyDescent="0.25">
      <c r="AD28894"/>
    </row>
    <row r="28895" spans="30:30" x14ac:dyDescent="0.25">
      <c r="AD28895"/>
    </row>
    <row r="28896" spans="30:30" x14ac:dyDescent="0.25">
      <c r="AD28896"/>
    </row>
    <row r="28897" spans="30:30" x14ac:dyDescent="0.25">
      <c r="AD28897"/>
    </row>
    <row r="28898" spans="30:30" x14ac:dyDescent="0.25">
      <c r="AD28898"/>
    </row>
    <row r="28899" spans="30:30" x14ac:dyDescent="0.25">
      <c r="AD28899"/>
    </row>
    <row r="28900" spans="30:30" x14ac:dyDescent="0.25">
      <c r="AD28900"/>
    </row>
    <row r="28901" spans="30:30" x14ac:dyDescent="0.25">
      <c r="AD28901"/>
    </row>
    <row r="28902" spans="30:30" x14ac:dyDescent="0.25">
      <c r="AD28902"/>
    </row>
    <row r="28903" spans="30:30" x14ac:dyDescent="0.25">
      <c r="AD28903"/>
    </row>
    <row r="28904" spans="30:30" x14ac:dyDescent="0.25">
      <c r="AD28904"/>
    </row>
    <row r="28905" spans="30:30" x14ac:dyDescent="0.25">
      <c r="AD28905"/>
    </row>
    <row r="28906" spans="30:30" x14ac:dyDescent="0.25">
      <c r="AD28906"/>
    </row>
    <row r="28907" spans="30:30" x14ac:dyDescent="0.25">
      <c r="AD28907"/>
    </row>
    <row r="28908" spans="30:30" x14ac:dyDescent="0.25">
      <c r="AD28908"/>
    </row>
    <row r="28909" spans="30:30" x14ac:dyDescent="0.25">
      <c r="AD28909"/>
    </row>
    <row r="28910" spans="30:30" x14ac:dyDescent="0.25">
      <c r="AD28910"/>
    </row>
    <row r="28911" spans="30:30" x14ac:dyDescent="0.25">
      <c r="AD28911"/>
    </row>
    <row r="28912" spans="30:30" x14ac:dyDescent="0.25">
      <c r="AD28912"/>
    </row>
    <row r="28913" spans="30:30" x14ac:dyDescent="0.25">
      <c r="AD28913"/>
    </row>
    <row r="28914" spans="30:30" x14ac:dyDescent="0.25">
      <c r="AD28914"/>
    </row>
    <row r="28915" spans="30:30" x14ac:dyDescent="0.25">
      <c r="AD28915"/>
    </row>
    <row r="28916" spans="30:30" x14ac:dyDescent="0.25">
      <c r="AD28916"/>
    </row>
    <row r="28917" spans="30:30" x14ac:dyDescent="0.25">
      <c r="AD28917"/>
    </row>
    <row r="28918" spans="30:30" x14ac:dyDescent="0.25">
      <c r="AD28918"/>
    </row>
    <row r="28919" spans="30:30" x14ac:dyDescent="0.25">
      <c r="AD28919"/>
    </row>
    <row r="28920" spans="30:30" x14ac:dyDescent="0.25">
      <c r="AD28920"/>
    </row>
    <row r="28921" spans="30:30" x14ac:dyDescent="0.25">
      <c r="AD28921"/>
    </row>
    <row r="28922" spans="30:30" x14ac:dyDescent="0.25">
      <c r="AD28922"/>
    </row>
    <row r="28923" spans="30:30" x14ac:dyDescent="0.25">
      <c r="AD28923"/>
    </row>
    <row r="28924" spans="30:30" x14ac:dyDescent="0.25">
      <c r="AD28924"/>
    </row>
    <row r="28925" spans="30:30" x14ac:dyDescent="0.25">
      <c r="AD28925"/>
    </row>
    <row r="28926" spans="30:30" x14ac:dyDescent="0.25">
      <c r="AD28926"/>
    </row>
    <row r="28927" spans="30:30" x14ac:dyDescent="0.25">
      <c r="AD28927"/>
    </row>
    <row r="28928" spans="30:30" x14ac:dyDescent="0.25">
      <c r="AD28928"/>
    </row>
    <row r="28929" spans="30:30" x14ac:dyDescent="0.25">
      <c r="AD28929"/>
    </row>
    <row r="28930" spans="30:30" x14ac:dyDescent="0.25">
      <c r="AD28930"/>
    </row>
    <row r="28931" spans="30:30" x14ac:dyDescent="0.25">
      <c r="AD28931"/>
    </row>
    <row r="28932" spans="30:30" x14ac:dyDescent="0.25">
      <c r="AD28932"/>
    </row>
    <row r="28933" spans="30:30" x14ac:dyDescent="0.25">
      <c r="AD28933"/>
    </row>
    <row r="28934" spans="30:30" x14ac:dyDescent="0.25">
      <c r="AD28934"/>
    </row>
    <row r="28935" spans="30:30" x14ac:dyDescent="0.25">
      <c r="AD28935"/>
    </row>
    <row r="28936" spans="30:30" x14ac:dyDescent="0.25">
      <c r="AD28936"/>
    </row>
    <row r="28937" spans="30:30" x14ac:dyDescent="0.25">
      <c r="AD28937"/>
    </row>
    <row r="28938" spans="30:30" x14ac:dyDescent="0.25">
      <c r="AD28938"/>
    </row>
    <row r="28939" spans="30:30" x14ac:dyDescent="0.25">
      <c r="AD28939"/>
    </row>
    <row r="28940" spans="30:30" x14ac:dyDescent="0.25">
      <c r="AD28940"/>
    </row>
    <row r="28941" spans="30:30" x14ac:dyDescent="0.25">
      <c r="AD28941"/>
    </row>
    <row r="28942" spans="30:30" x14ac:dyDescent="0.25">
      <c r="AD28942"/>
    </row>
    <row r="28943" spans="30:30" x14ac:dyDescent="0.25">
      <c r="AD28943"/>
    </row>
    <row r="28944" spans="30:30" x14ac:dyDescent="0.25">
      <c r="AD28944"/>
    </row>
    <row r="28945" spans="30:30" x14ac:dyDescent="0.25">
      <c r="AD28945"/>
    </row>
    <row r="28946" spans="30:30" x14ac:dyDescent="0.25">
      <c r="AD28946"/>
    </row>
    <row r="28947" spans="30:30" x14ac:dyDescent="0.25">
      <c r="AD28947"/>
    </row>
    <row r="28948" spans="30:30" x14ac:dyDescent="0.25">
      <c r="AD28948"/>
    </row>
    <row r="28949" spans="30:30" x14ac:dyDescent="0.25">
      <c r="AD28949"/>
    </row>
    <row r="28950" spans="30:30" x14ac:dyDescent="0.25">
      <c r="AD28950"/>
    </row>
    <row r="28951" spans="30:30" x14ac:dyDescent="0.25">
      <c r="AD28951"/>
    </row>
    <row r="28952" spans="30:30" x14ac:dyDescent="0.25">
      <c r="AD28952"/>
    </row>
    <row r="28953" spans="30:30" x14ac:dyDescent="0.25">
      <c r="AD28953"/>
    </row>
    <row r="28954" spans="30:30" x14ac:dyDescent="0.25">
      <c r="AD28954"/>
    </row>
    <row r="28955" spans="30:30" x14ac:dyDescent="0.25">
      <c r="AD28955"/>
    </row>
    <row r="28956" spans="30:30" x14ac:dyDescent="0.25">
      <c r="AD28956"/>
    </row>
    <row r="28957" spans="30:30" x14ac:dyDescent="0.25">
      <c r="AD28957"/>
    </row>
    <row r="28958" spans="30:30" x14ac:dyDescent="0.25">
      <c r="AD28958"/>
    </row>
    <row r="28959" spans="30:30" x14ac:dyDescent="0.25">
      <c r="AD28959"/>
    </row>
    <row r="28960" spans="30:30" x14ac:dyDescent="0.25">
      <c r="AD28960"/>
    </row>
    <row r="28961" spans="30:30" x14ac:dyDescent="0.25">
      <c r="AD28961"/>
    </row>
    <row r="28962" spans="30:30" x14ac:dyDescent="0.25">
      <c r="AD28962"/>
    </row>
    <row r="28963" spans="30:30" x14ac:dyDescent="0.25">
      <c r="AD28963"/>
    </row>
    <row r="28964" spans="30:30" x14ac:dyDescent="0.25">
      <c r="AD28964"/>
    </row>
    <row r="28965" spans="30:30" x14ac:dyDescent="0.25">
      <c r="AD28965"/>
    </row>
    <row r="28966" spans="30:30" x14ac:dyDescent="0.25">
      <c r="AD28966"/>
    </row>
    <row r="28967" spans="30:30" x14ac:dyDescent="0.25">
      <c r="AD28967"/>
    </row>
    <row r="28968" spans="30:30" x14ac:dyDescent="0.25">
      <c r="AD28968"/>
    </row>
    <row r="28969" spans="30:30" x14ac:dyDescent="0.25">
      <c r="AD28969"/>
    </row>
    <row r="28970" spans="30:30" x14ac:dyDescent="0.25">
      <c r="AD28970"/>
    </row>
    <row r="28971" spans="30:30" x14ac:dyDescent="0.25">
      <c r="AD28971"/>
    </row>
    <row r="28972" spans="30:30" x14ac:dyDescent="0.25">
      <c r="AD28972"/>
    </row>
    <row r="28973" spans="30:30" x14ac:dyDescent="0.25">
      <c r="AD28973"/>
    </row>
    <row r="28974" spans="30:30" x14ac:dyDescent="0.25">
      <c r="AD28974"/>
    </row>
    <row r="28975" spans="30:30" x14ac:dyDescent="0.25">
      <c r="AD28975"/>
    </row>
    <row r="28976" spans="30:30" x14ac:dyDescent="0.25">
      <c r="AD28976"/>
    </row>
    <row r="28977" spans="30:30" x14ac:dyDescent="0.25">
      <c r="AD28977"/>
    </row>
    <row r="28978" spans="30:30" x14ac:dyDescent="0.25">
      <c r="AD28978"/>
    </row>
    <row r="28979" spans="30:30" x14ac:dyDescent="0.25">
      <c r="AD28979"/>
    </row>
    <row r="28980" spans="30:30" x14ac:dyDescent="0.25">
      <c r="AD28980"/>
    </row>
    <row r="28981" spans="30:30" x14ac:dyDescent="0.25">
      <c r="AD28981"/>
    </row>
    <row r="28982" spans="30:30" x14ac:dyDescent="0.25">
      <c r="AD28982"/>
    </row>
    <row r="28983" spans="30:30" x14ac:dyDescent="0.25">
      <c r="AD28983"/>
    </row>
    <row r="28984" spans="30:30" x14ac:dyDescent="0.25">
      <c r="AD28984"/>
    </row>
    <row r="28985" spans="30:30" x14ac:dyDescent="0.25">
      <c r="AD28985"/>
    </row>
    <row r="28986" spans="30:30" x14ac:dyDescent="0.25">
      <c r="AD28986"/>
    </row>
    <row r="28987" spans="30:30" x14ac:dyDescent="0.25">
      <c r="AD28987"/>
    </row>
    <row r="28988" spans="30:30" x14ac:dyDescent="0.25">
      <c r="AD28988"/>
    </row>
    <row r="28989" spans="30:30" x14ac:dyDescent="0.25">
      <c r="AD28989"/>
    </row>
    <row r="28990" spans="30:30" x14ac:dyDescent="0.25">
      <c r="AD28990"/>
    </row>
    <row r="28991" spans="30:30" x14ac:dyDescent="0.25">
      <c r="AD28991"/>
    </row>
    <row r="28992" spans="30:30" x14ac:dyDescent="0.25">
      <c r="AD28992"/>
    </row>
    <row r="28993" spans="30:30" x14ac:dyDescent="0.25">
      <c r="AD28993"/>
    </row>
    <row r="28994" spans="30:30" x14ac:dyDescent="0.25">
      <c r="AD28994"/>
    </row>
    <row r="28995" spans="30:30" x14ac:dyDescent="0.25">
      <c r="AD28995"/>
    </row>
    <row r="28996" spans="30:30" x14ac:dyDescent="0.25">
      <c r="AD28996"/>
    </row>
    <row r="28997" spans="30:30" x14ac:dyDescent="0.25">
      <c r="AD28997"/>
    </row>
    <row r="28998" spans="30:30" x14ac:dyDescent="0.25">
      <c r="AD28998"/>
    </row>
    <row r="28999" spans="30:30" x14ac:dyDescent="0.25">
      <c r="AD28999"/>
    </row>
    <row r="29000" spans="30:30" x14ac:dyDescent="0.25">
      <c r="AD29000"/>
    </row>
    <row r="29001" spans="30:30" x14ac:dyDescent="0.25">
      <c r="AD29001"/>
    </row>
    <row r="29002" spans="30:30" x14ac:dyDescent="0.25">
      <c r="AD29002"/>
    </row>
    <row r="29003" spans="30:30" x14ac:dyDescent="0.25">
      <c r="AD29003"/>
    </row>
    <row r="29004" spans="30:30" x14ac:dyDescent="0.25">
      <c r="AD29004"/>
    </row>
    <row r="29005" spans="30:30" x14ac:dyDescent="0.25">
      <c r="AD29005"/>
    </row>
    <row r="29006" spans="30:30" x14ac:dyDescent="0.25">
      <c r="AD29006"/>
    </row>
    <row r="29007" spans="30:30" x14ac:dyDescent="0.25">
      <c r="AD29007"/>
    </row>
    <row r="29008" spans="30:30" x14ac:dyDescent="0.25">
      <c r="AD29008"/>
    </row>
    <row r="29009" spans="30:30" x14ac:dyDescent="0.25">
      <c r="AD29009"/>
    </row>
    <row r="29010" spans="30:30" x14ac:dyDescent="0.25">
      <c r="AD29010"/>
    </row>
    <row r="29011" spans="30:30" x14ac:dyDescent="0.25">
      <c r="AD29011"/>
    </row>
    <row r="29012" spans="30:30" x14ac:dyDescent="0.25">
      <c r="AD29012"/>
    </row>
    <row r="29013" spans="30:30" x14ac:dyDescent="0.25">
      <c r="AD29013"/>
    </row>
    <row r="29014" spans="30:30" x14ac:dyDescent="0.25">
      <c r="AD29014"/>
    </row>
    <row r="29015" spans="30:30" x14ac:dyDescent="0.25">
      <c r="AD29015"/>
    </row>
    <row r="29016" spans="30:30" x14ac:dyDescent="0.25">
      <c r="AD29016"/>
    </row>
    <row r="29017" spans="30:30" x14ac:dyDescent="0.25">
      <c r="AD29017"/>
    </row>
    <row r="29018" spans="30:30" x14ac:dyDescent="0.25">
      <c r="AD29018"/>
    </row>
    <row r="29019" spans="30:30" x14ac:dyDescent="0.25">
      <c r="AD29019"/>
    </row>
    <row r="29020" spans="30:30" x14ac:dyDescent="0.25">
      <c r="AD29020"/>
    </row>
    <row r="29021" spans="30:30" x14ac:dyDescent="0.25">
      <c r="AD29021"/>
    </row>
    <row r="29022" spans="30:30" x14ac:dyDescent="0.25">
      <c r="AD29022"/>
    </row>
    <row r="29023" spans="30:30" x14ac:dyDescent="0.25">
      <c r="AD29023"/>
    </row>
    <row r="29024" spans="30:30" x14ac:dyDescent="0.25">
      <c r="AD29024"/>
    </row>
    <row r="29025" spans="30:30" x14ac:dyDescent="0.25">
      <c r="AD29025"/>
    </row>
    <row r="29026" spans="30:30" x14ac:dyDescent="0.25">
      <c r="AD29026"/>
    </row>
    <row r="29027" spans="30:30" x14ac:dyDescent="0.25">
      <c r="AD29027"/>
    </row>
    <row r="29028" spans="30:30" x14ac:dyDescent="0.25">
      <c r="AD29028"/>
    </row>
    <row r="29029" spans="30:30" x14ac:dyDescent="0.25">
      <c r="AD29029"/>
    </row>
    <row r="29030" spans="30:30" x14ac:dyDescent="0.25">
      <c r="AD29030"/>
    </row>
    <row r="29031" spans="30:30" x14ac:dyDescent="0.25">
      <c r="AD29031"/>
    </row>
    <row r="29032" spans="30:30" x14ac:dyDescent="0.25">
      <c r="AD29032"/>
    </row>
    <row r="29033" spans="30:30" x14ac:dyDescent="0.25">
      <c r="AD29033"/>
    </row>
    <row r="29034" spans="30:30" x14ac:dyDescent="0.25">
      <c r="AD29034"/>
    </row>
    <row r="29035" spans="30:30" x14ac:dyDescent="0.25">
      <c r="AD29035"/>
    </row>
    <row r="29036" spans="30:30" x14ac:dyDescent="0.25">
      <c r="AD29036"/>
    </row>
    <row r="29037" spans="30:30" x14ac:dyDescent="0.25">
      <c r="AD29037"/>
    </row>
    <row r="29038" spans="30:30" x14ac:dyDescent="0.25">
      <c r="AD29038"/>
    </row>
    <row r="29039" spans="30:30" x14ac:dyDescent="0.25">
      <c r="AD29039"/>
    </row>
    <row r="29040" spans="30:30" x14ac:dyDescent="0.25">
      <c r="AD29040"/>
    </row>
    <row r="29041" spans="30:30" x14ac:dyDescent="0.25">
      <c r="AD29041"/>
    </row>
    <row r="29042" spans="30:30" x14ac:dyDescent="0.25">
      <c r="AD29042"/>
    </row>
    <row r="29043" spans="30:30" x14ac:dyDescent="0.25">
      <c r="AD29043"/>
    </row>
    <row r="29044" spans="30:30" x14ac:dyDescent="0.25">
      <c r="AD29044"/>
    </row>
    <row r="29045" spans="30:30" x14ac:dyDescent="0.25">
      <c r="AD29045"/>
    </row>
    <row r="29046" spans="30:30" x14ac:dyDescent="0.25">
      <c r="AD29046"/>
    </row>
    <row r="29047" spans="30:30" x14ac:dyDescent="0.25">
      <c r="AD29047"/>
    </row>
    <row r="29048" spans="30:30" x14ac:dyDescent="0.25">
      <c r="AD29048"/>
    </row>
    <row r="29049" spans="30:30" x14ac:dyDescent="0.25">
      <c r="AD29049"/>
    </row>
    <row r="29050" spans="30:30" x14ac:dyDescent="0.25">
      <c r="AD29050"/>
    </row>
    <row r="29051" spans="30:30" x14ac:dyDescent="0.25">
      <c r="AD29051"/>
    </row>
    <row r="29052" spans="30:30" x14ac:dyDescent="0.25">
      <c r="AD29052"/>
    </row>
    <row r="29053" spans="30:30" x14ac:dyDescent="0.25">
      <c r="AD29053"/>
    </row>
    <row r="29054" spans="30:30" x14ac:dyDescent="0.25">
      <c r="AD29054"/>
    </row>
    <row r="29055" spans="30:30" x14ac:dyDescent="0.25">
      <c r="AD29055"/>
    </row>
    <row r="29056" spans="30:30" x14ac:dyDescent="0.25">
      <c r="AD29056"/>
    </row>
    <row r="29057" spans="30:30" x14ac:dyDescent="0.25">
      <c r="AD29057"/>
    </row>
    <row r="29058" spans="30:30" x14ac:dyDescent="0.25">
      <c r="AD29058"/>
    </row>
    <row r="29059" spans="30:30" x14ac:dyDescent="0.25">
      <c r="AD29059"/>
    </row>
    <row r="29060" spans="30:30" x14ac:dyDescent="0.25">
      <c r="AD29060"/>
    </row>
    <row r="29061" spans="30:30" x14ac:dyDescent="0.25">
      <c r="AD29061"/>
    </row>
    <row r="29062" spans="30:30" x14ac:dyDescent="0.25">
      <c r="AD29062"/>
    </row>
    <row r="29063" spans="30:30" x14ac:dyDescent="0.25">
      <c r="AD29063"/>
    </row>
    <row r="29064" spans="30:30" x14ac:dyDescent="0.25">
      <c r="AD29064"/>
    </row>
    <row r="29065" spans="30:30" x14ac:dyDescent="0.25">
      <c r="AD29065"/>
    </row>
    <row r="29066" spans="30:30" x14ac:dyDescent="0.25">
      <c r="AD29066"/>
    </row>
    <row r="29067" spans="30:30" x14ac:dyDescent="0.25">
      <c r="AD29067"/>
    </row>
    <row r="29068" spans="30:30" x14ac:dyDescent="0.25">
      <c r="AD29068"/>
    </row>
    <row r="29069" spans="30:30" x14ac:dyDescent="0.25">
      <c r="AD29069"/>
    </row>
    <row r="29070" spans="30:30" x14ac:dyDescent="0.25">
      <c r="AD29070"/>
    </row>
    <row r="29071" spans="30:30" x14ac:dyDescent="0.25">
      <c r="AD29071"/>
    </row>
    <row r="29072" spans="30:30" x14ac:dyDescent="0.25">
      <c r="AD29072"/>
    </row>
    <row r="29073" spans="30:30" x14ac:dyDescent="0.25">
      <c r="AD29073"/>
    </row>
    <row r="29074" spans="30:30" x14ac:dyDescent="0.25">
      <c r="AD29074"/>
    </row>
    <row r="29075" spans="30:30" x14ac:dyDescent="0.25">
      <c r="AD29075"/>
    </row>
    <row r="29076" spans="30:30" x14ac:dyDescent="0.25">
      <c r="AD29076"/>
    </row>
    <row r="29077" spans="30:30" x14ac:dyDescent="0.25">
      <c r="AD29077"/>
    </row>
    <row r="29078" spans="30:30" x14ac:dyDescent="0.25">
      <c r="AD29078"/>
    </row>
    <row r="29079" spans="30:30" x14ac:dyDescent="0.25">
      <c r="AD29079"/>
    </row>
    <row r="29080" spans="30:30" x14ac:dyDescent="0.25">
      <c r="AD29080"/>
    </row>
    <row r="29081" spans="30:30" x14ac:dyDescent="0.25">
      <c r="AD29081"/>
    </row>
    <row r="29082" spans="30:30" x14ac:dyDescent="0.25">
      <c r="AD29082"/>
    </row>
    <row r="29083" spans="30:30" x14ac:dyDescent="0.25">
      <c r="AD29083"/>
    </row>
    <row r="29084" spans="30:30" x14ac:dyDescent="0.25">
      <c r="AD29084"/>
    </row>
    <row r="29085" spans="30:30" x14ac:dyDescent="0.25">
      <c r="AD29085"/>
    </row>
    <row r="29086" spans="30:30" x14ac:dyDescent="0.25">
      <c r="AD29086"/>
    </row>
    <row r="29087" spans="30:30" x14ac:dyDescent="0.25">
      <c r="AD29087"/>
    </row>
    <row r="29088" spans="30:30" x14ac:dyDescent="0.25">
      <c r="AD29088"/>
    </row>
    <row r="29089" spans="30:30" x14ac:dyDescent="0.25">
      <c r="AD29089"/>
    </row>
    <row r="29090" spans="30:30" x14ac:dyDescent="0.25">
      <c r="AD29090"/>
    </row>
    <row r="29091" spans="30:30" x14ac:dyDescent="0.25">
      <c r="AD29091"/>
    </row>
    <row r="29092" spans="30:30" x14ac:dyDescent="0.25">
      <c r="AD29092"/>
    </row>
    <row r="29093" spans="30:30" x14ac:dyDescent="0.25">
      <c r="AD29093"/>
    </row>
    <row r="29094" spans="30:30" x14ac:dyDescent="0.25">
      <c r="AD29094"/>
    </row>
    <row r="29095" spans="30:30" x14ac:dyDescent="0.25">
      <c r="AD29095"/>
    </row>
    <row r="29096" spans="30:30" x14ac:dyDescent="0.25">
      <c r="AD29096"/>
    </row>
    <row r="29097" spans="30:30" x14ac:dyDescent="0.25">
      <c r="AD29097"/>
    </row>
    <row r="29098" spans="30:30" x14ac:dyDescent="0.25">
      <c r="AD29098"/>
    </row>
    <row r="29099" spans="30:30" x14ac:dyDescent="0.25">
      <c r="AD29099"/>
    </row>
    <row r="29100" spans="30:30" x14ac:dyDescent="0.25">
      <c r="AD29100"/>
    </row>
    <row r="29101" spans="30:30" x14ac:dyDescent="0.25">
      <c r="AD29101"/>
    </row>
    <row r="29102" spans="30:30" x14ac:dyDescent="0.25">
      <c r="AD29102"/>
    </row>
    <row r="29103" spans="30:30" x14ac:dyDescent="0.25">
      <c r="AD29103"/>
    </row>
    <row r="29104" spans="30:30" x14ac:dyDescent="0.25">
      <c r="AD29104"/>
    </row>
    <row r="29105" spans="30:30" x14ac:dyDescent="0.25">
      <c r="AD29105"/>
    </row>
    <row r="29106" spans="30:30" x14ac:dyDescent="0.25">
      <c r="AD29106"/>
    </row>
    <row r="29107" spans="30:30" x14ac:dyDescent="0.25">
      <c r="AD29107"/>
    </row>
    <row r="29108" spans="30:30" x14ac:dyDescent="0.25">
      <c r="AD29108"/>
    </row>
    <row r="29109" spans="30:30" x14ac:dyDescent="0.25">
      <c r="AD29109"/>
    </row>
    <row r="29110" spans="30:30" x14ac:dyDescent="0.25">
      <c r="AD29110"/>
    </row>
    <row r="29111" spans="30:30" x14ac:dyDescent="0.25">
      <c r="AD29111"/>
    </row>
    <row r="29112" spans="30:30" x14ac:dyDescent="0.25">
      <c r="AD29112"/>
    </row>
    <row r="29113" spans="30:30" x14ac:dyDescent="0.25">
      <c r="AD29113"/>
    </row>
    <row r="29114" spans="30:30" x14ac:dyDescent="0.25">
      <c r="AD29114"/>
    </row>
    <row r="29115" spans="30:30" x14ac:dyDescent="0.25">
      <c r="AD29115"/>
    </row>
    <row r="29116" spans="30:30" x14ac:dyDescent="0.25">
      <c r="AD29116"/>
    </row>
    <row r="29117" spans="30:30" x14ac:dyDescent="0.25">
      <c r="AD29117"/>
    </row>
    <row r="29118" spans="30:30" x14ac:dyDescent="0.25">
      <c r="AD29118"/>
    </row>
    <row r="29119" spans="30:30" x14ac:dyDescent="0.25">
      <c r="AD29119"/>
    </row>
    <row r="29120" spans="30:30" x14ac:dyDescent="0.25">
      <c r="AD29120"/>
    </row>
    <row r="29121" spans="30:30" x14ac:dyDescent="0.25">
      <c r="AD29121"/>
    </row>
    <row r="29122" spans="30:30" x14ac:dyDescent="0.25">
      <c r="AD29122"/>
    </row>
    <row r="29123" spans="30:30" x14ac:dyDescent="0.25">
      <c r="AD29123"/>
    </row>
    <row r="29124" spans="30:30" x14ac:dyDescent="0.25">
      <c r="AD29124"/>
    </row>
    <row r="29125" spans="30:30" x14ac:dyDescent="0.25">
      <c r="AD29125"/>
    </row>
    <row r="29126" spans="30:30" x14ac:dyDescent="0.25">
      <c r="AD29126"/>
    </row>
    <row r="29127" spans="30:30" x14ac:dyDescent="0.25">
      <c r="AD29127"/>
    </row>
    <row r="29128" spans="30:30" x14ac:dyDescent="0.25">
      <c r="AD29128"/>
    </row>
    <row r="29129" spans="30:30" x14ac:dyDescent="0.25">
      <c r="AD29129"/>
    </row>
    <row r="29130" spans="30:30" x14ac:dyDescent="0.25">
      <c r="AD29130"/>
    </row>
    <row r="29131" spans="30:30" x14ac:dyDescent="0.25">
      <c r="AD29131"/>
    </row>
    <row r="29132" spans="30:30" x14ac:dyDescent="0.25">
      <c r="AD29132"/>
    </row>
    <row r="29133" spans="30:30" x14ac:dyDescent="0.25">
      <c r="AD29133"/>
    </row>
    <row r="29134" spans="30:30" x14ac:dyDescent="0.25">
      <c r="AD29134"/>
    </row>
    <row r="29135" spans="30:30" x14ac:dyDescent="0.25">
      <c r="AD29135"/>
    </row>
    <row r="29136" spans="30:30" x14ac:dyDescent="0.25">
      <c r="AD29136"/>
    </row>
    <row r="29137" spans="30:30" x14ac:dyDescent="0.25">
      <c r="AD29137"/>
    </row>
    <row r="29138" spans="30:30" x14ac:dyDescent="0.25">
      <c r="AD29138"/>
    </row>
    <row r="29139" spans="30:30" x14ac:dyDescent="0.25">
      <c r="AD29139"/>
    </row>
    <row r="29140" spans="30:30" x14ac:dyDescent="0.25">
      <c r="AD29140"/>
    </row>
    <row r="29141" spans="30:30" x14ac:dyDescent="0.25">
      <c r="AD29141"/>
    </row>
    <row r="29142" spans="30:30" x14ac:dyDescent="0.25">
      <c r="AD29142"/>
    </row>
    <row r="29143" spans="30:30" x14ac:dyDescent="0.25">
      <c r="AD29143"/>
    </row>
    <row r="29144" spans="30:30" x14ac:dyDescent="0.25">
      <c r="AD29144"/>
    </row>
    <row r="29145" spans="30:30" x14ac:dyDescent="0.25">
      <c r="AD29145"/>
    </row>
    <row r="29146" spans="30:30" x14ac:dyDescent="0.25">
      <c r="AD29146"/>
    </row>
    <row r="29147" spans="30:30" x14ac:dyDescent="0.25">
      <c r="AD29147"/>
    </row>
    <row r="29148" spans="30:30" x14ac:dyDescent="0.25">
      <c r="AD29148"/>
    </row>
    <row r="29149" spans="30:30" x14ac:dyDescent="0.25">
      <c r="AD29149"/>
    </row>
    <row r="29150" spans="30:30" x14ac:dyDescent="0.25">
      <c r="AD29150"/>
    </row>
    <row r="29151" spans="30:30" x14ac:dyDescent="0.25">
      <c r="AD29151"/>
    </row>
    <row r="29152" spans="30:30" x14ac:dyDescent="0.25">
      <c r="AD29152"/>
    </row>
    <row r="29153" spans="30:30" x14ac:dyDescent="0.25">
      <c r="AD29153"/>
    </row>
    <row r="29154" spans="30:30" x14ac:dyDescent="0.25">
      <c r="AD29154"/>
    </row>
    <row r="29155" spans="30:30" x14ac:dyDescent="0.25">
      <c r="AD29155"/>
    </row>
    <row r="29156" spans="30:30" x14ac:dyDescent="0.25">
      <c r="AD29156"/>
    </row>
    <row r="29157" spans="30:30" x14ac:dyDescent="0.25">
      <c r="AD29157"/>
    </row>
    <row r="29158" spans="30:30" x14ac:dyDescent="0.25">
      <c r="AD29158"/>
    </row>
    <row r="29159" spans="30:30" x14ac:dyDescent="0.25">
      <c r="AD29159"/>
    </row>
    <row r="29160" spans="30:30" x14ac:dyDescent="0.25">
      <c r="AD29160"/>
    </row>
    <row r="29161" spans="30:30" x14ac:dyDescent="0.25">
      <c r="AD29161"/>
    </row>
    <row r="29162" spans="30:30" x14ac:dyDescent="0.25">
      <c r="AD29162"/>
    </row>
    <row r="29163" spans="30:30" x14ac:dyDescent="0.25">
      <c r="AD29163"/>
    </row>
    <row r="29164" spans="30:30" x14ac:dyDescent="0.25">
      <c r="AD29164"/>
    </row>
    <row r="29165" spans="30:30" x14ac:dyDescent="0.25">
      <c r="AD29165"/>
    </row>
    <row r="29166" spans="30:30" x14ac:dyDescent="0.25">
      <c r="AD29166"/>
    </row>
    <row r="29167" spans="30:30" x14ac:dyDescent="0.25">
      <c r="AD29167"/>
    </row>
    <row r="29168" spans="30:30" x14ac:dyDescent="0.25">
      <c r="AD29168"/>
    </row>
    <row r="29169" spans="30:30" x14ac:dyDescent="0.25">
      <c r="AD29169"/>
    </row>
    <row r="29170" spans="30:30" x14ac:dyDescent="0.25">
      <c r="AD29170"/>
    </row>
    <row r="29171" spans="30:30" x14ac:dyDescent="0.25">
      <c r="AD29171"/>
    </row>
    <row r="29172" spans="30:30" x14ac:dyDescent="0.25">
      <c r="AD29172"/>
    </row>
    <row r="29173" spans="30:30" x14ac:dyDescent="0.25">
      <c r="AD29173"/>
    </row>
    <row r="29174" spans="30:30" x14ac:dyDescent="0.25">
      <c r="AD29174"/>
    </row>
    <row r="29175" spans="30:30" x14ac:dyDescent="0.25">
      <c r="AD29175"/>
    </row>
    <row r="29176" spans="30:30" x14ac:dyDescent="0.25">
      <c r="AD29176"/>
    </row>
    <row r="29177" spans="30:30" x14ac:dyDescent="0.25">
      <c r="AD29177"/>
    </row>
    <row r="29178" spans="30:30" x14ac:dyDescent="0.25">
      <c r="AD29178"/>
    </row>
    <row r="29179" spans="30:30" x14ac:dyDescent="0.25">
      <c r="AD29179"/>
    </row>
    <row r="29180" spans="30:30" x14ac:dyDescent="0.25">
      <c r="AD29180"/>
    </row>
    <row r="29181" spans="30:30" x14ac:dyDescent="0.25">
      <c r="AD29181"/>
    </row>
    <row r="29182" spans="30:30" x14ac:dyDescent="0.25">
      <c r="AD29182"/>
    </row>
    <row r="29183" spans="30:30" x14ac:dyDescent="0.25">
      <c r="AD29183"/>
    </row>
    <row r="29184" spans="30:30" x14ac:dyDescent="0.25">
      <c r="AD29184"/>
    </row>
    <row r="29185" spans="30:30" x14ac:dyDescent="0.25">
      <c r="AD29185"/>
    </row>
    <row r="29186" spans="30:30" x14ac:dyDescent="0.25">
      <c r="AD29186"/>
    </row>
    <row r="29187" spans="30:30" x14ac:dyDescent="0.25">
      <c r="AD29187"/>
    </row>
    <row r="29188" spans="30:30" x14ac:dyDescent="0.25">
      <c r="AD29188"/>
    </row>
    <row r="29189" spans="30:30" x14ac:dyDescent="0.25">
      <c r="AD29189"/>
    </row>
    <row r="29190" spans="30:30" x14ac:dyDescent="0.25">
      <c r="AD29190"/>
    </row>
    <row r="29191" spans="30:30" x14ac:dyDescent="0.25">
      <c r="AD29191"/>
    </row>
    <row r="29192" spans="30:30" x14ac:dyDescent="0.25">
      <c r="AD29192"/>
    </row>
    <row r="29193" spans="30:30" x14ac:dyDescent="0.25">
      <c r="AD29193"/>
    </row>
    <row r="29194" spans="30:30" x14ac:dyDescent="0.25">
      <c r="AD29194"/>
    </row>
    <row r="29195" spans="30:30" x14ac:dyDescent="0.25">
      <c r="AD29195"/>
    </row>
    <row r="29196" spans="30:30" x14ac:dyDescent="0.25">
      <c r="AD29196"/>
    </row>
    <row r="29197" spans="30:30" x14ac:dyDescent="0.25">
      <c r="AD29197"/>
    </row>
    <row r="29198" spans="30:30" x14ac:dyDescent="0.25">
      <c r="AD29198"/>
    </row>
    <row r="29199" spans="30:30" x14ac:dyDescent="0.25">
      <c r="AD29199"/>
    </row>
    <row r="29200" spans="30:30" x14ac:dyDescent="0.25">
      <c r="AD29200"/>
    </row>
    <row r="29201" spans="30:30" x14ac:dyDescent="0.25">
      <c r="AD29201"/>
    </row>
    <row r="29202" spans="30:30" x14ac:dyDescent="0.25">
      <c r="AD29202"/>
    </row>
    <row r="29203" spans="30:30" x14ac:dyDescent="0.25">
      <c r="AD29203"/>
    </row>
    <row r="29204" spans="30:30" x14ac:dyDescent="0.25">
      <c r="AD29204"/>
    </row>
    <row r="29205" spans="30:30" x14ac:dyDescent="0.25">
      <c r="AD29205"/>
    </row>
    <row r="29206" spans="30:30" x14ac:dyDescent="0.25">
      <c r="AD29206"/>
    </row>
    <row r="29207" spans="30:30" x14ac:dyDescent="0.25">
      <c r="AD29207"/>
    </row>
    <row r="29208" spans="30:30" x14ac:dyDescent="0.25">
      <c r="AD29208"/>
    </row>
    <row r="29209" spans="30:30" x14ac:dyDescent="0.25">
      <c r="AD29209"/>
    </row>
    <row r="29210" spans="30:30" x14ac:dyDescent="0.25">
      <c r="AD29210"/>
    </row>
    <row r="29211" spans="30:30" x14ac:dyDescent="0.25">
      <c r="AD29211"/>
    </row>
    <row r="29212" spans="30:30" x14ac:dyDescent="0.25">
      <c r="AD29212"/>
    </row>
    <row r="29213" spans="30:30" x14ac:dyDescent="0.25">
      <c r="AD29213"/>
    </row>
    <row r="29214" spans="30:30" x14ac:dyDescent="0.25">
      <c r="AD29214"/>
    </row>
    <row r="29215" spans="30:30" x14ac:dyDescent="0.25">
      <c r="AD29215"/>
    </row>
    <row r="29216" spans="30:30" x14ac:dyDescent="0.25">
      <c r="AD29216"/>
    </row>
    <row r="29217" spans="30:30" x14ac:dyDescent="0.25">
      <c r="AD29217"/>
    </row>
    <row r="29218" spans="30:30" x14ac:dyDescent="0.25">
      <c r="AD29218"/>
    </row>
    <row r="29219" spans="30:30" x14ac:dyDescent="0.25">
      <c r="AD29219"/>
    </row>
    <row r="29220" spans="30:30" x14ac:dyDescent="0.25">
      <c r="AD29220"/>
    </row>
    <row r="29221" spans="30:30" x14ac:dyDescent="0.25">
      <c r="AD29221"/>
    </row>
    <row r="29222" spans="30:30" x14ac:dyDescent="0.25">
      <c r="AD29222"/>
    </row>
    <row r="29223" spans="30:30" x14ac:dyDescent="0.25">
      <c r="AD29223"/>
    </row>
    <row r="29224" spans="30:30" x14ac:dyDescent="0.25">
      <c r="AD29224"/>
    </row>
    <row r="29225" spans="30:30" x14ac:dyDescent="0.25">
      <c r="AD29225"/>
    </row>
    <row r="29226" spans="30:30" x14ac:dyDescent="0.25">
      <c r="AD29226"/>
    </row>
    <row r="29227" spans="30:30" x14ac:dyDescent="0.25">
      <c r="AD29227"/>
    </row>
    <row r="29228" spans="30:30" x14ac:dyDescent="0.25">
      <c r="AD29228"/>
    </row>
    <row r="29229" spans="30:30" x14ac:dyDescent="0.25">
      <c r="AD29229"/>
    </row>
    <row r="29230" spans="30:30" x14ac:dyDescent="0.25">
      <c r="AD29230"/>
    </row>
    <row r="29231" spans="30:30" x14ac:dyDescent="0.25">
      <c r="AD29231"/>
    </row>
    <row r="29232" spans="30:30" x14ac:dyDescent="0.25">
      <c r="AD29232"/>
    </row>
    <row r="29233" spans="30:30" x14ac:dyDescent="0.25">
      <c r="AD29233"/>
    </row>
    <row r="29234" spans="30:30" x14ac:dyDescent="0.25">
      <c r="AD29234"/>
    </row>
    <row r="29235" spans="30:30" x14ac:dyDescent="0.25">
      <c r="AD29235"/>
    </row>
    <row r="29236" spans="30:30" x14ac:dyDescent="0.25">
      <c r="AD29236"/>
    </row>
    <row r="29237" spans="30:30" x14ac:dyDescent="0.25">
      <c r="AD29237"/>
    </row>
    <row r="29238" spans="30:30" x14ac:dyDescent="0.25">
      <c r="AD29238"/>
    </row>
    <row r="29239" spans="30:30" x14ac:dyDescent="0.25">
      <c r="AD29239"/>
    </row>
    <row r="29240" spans="30:30" x14ac:dyDescent="0.25">
      <c r="AD29240"/>
    </row>
    <row r="29241" spans="30:30" x14ac:dyDescent="0.25">
      <c r="AD29241"/>
    </row>
    <row r="29242" spans="30:30" x14ac:dyDescent="0.25">
      <c r="AD29242"/>
    </row>
    <row r="29243" spans="30:30" x14ac:dyDescent="0.25">
      <c r="AD29243"/>
    </row>
    <row r="29244" spans="30:30" x14ac:dyDescent="0.25">
      <c r="AD29244"/>
    </row>
    <row r="29245" spans="30:30" x14ac:dyDescent="0.25">
      <c r="AD29245"/>
    </row>
    <row r="29246" spans="30:30" x14ac:dyDescent="0.25">
      <c r="AD29246"/>
    </row>
    <row r="29247" spans="30:30" x14ac:dyDescent="0.25">
      <c r="AD29247"/>
    </row>
    <row r="29248" spans="30:30" x14ac:dyDescent="0.25">
      <c r="AD29248"/>
    </row>
    <row r="29249" spans="30:30" x14ac:dyDescent="0.25">
      <c r="AD29249"/>
    </row>
    <row r="29250" spans="30:30" x14ac:dyDescent="0.25">
      <c r="AD29250"/>
    </row>
    <row r="29251" spans="30:30" x14ac:dyDescent="0.25">
      <c r="AD29251"/>
    </row>
    <row r="29252" spans="30:30" x14ac:dyDescent="0.25">
      <c r="AD29252"/>
    </row>
    <row r="29253" spans="30:30" x14ac:dyDescent="0.25">
      <c r="AD29253"/>
    </row>
    <row r="29254" spans="30:30" x14ac:dyDescent="0.25">
      <c r="AD29254"/>
    </row>
    <row r="29255" spans="30:30" x14ac:dyDescent="0.25">
      <c r="AD29255"/>
    </row>
    <row r="29256" spans="30:30" x14ac:dyDescent="0.25">
      <c r="AD29256"/>
    </row>
    <row r="29257" spans="30:30" x14ac:dyDescent="0.25">
      <c r="AD29257"/>
    </row>
    <row r="29258" spans="30:30" x14ac:dyDescent="0.25">
      <c r="AD29258"/>
    </row>
    <row r="29259" spans="30:30" x14ac:dyDescent="0.25">
      <c r="AD29259"/>
    </row>
    <row r="29260" spans="30:30" x14ac:dyDescent="0.25">
      <c r="AD29260"/>
    </row>
    <row r="29261" spans="30:30" x14ac:dyDescent="0.25">
      <c r="AD29261"/>
    </row>
    <row r="29262" spans="30:30" x14ac:dyDescent="0.25">
      <c r="AD29262"/>
    </row>
    <row r="29263" spans="30:30" x14ac:dyDescent="0.25">
      <c r="AD29263"/>
    </row>
    <row r="29264" spans="30:30" x14ac:dyDescent="0.25">
      <c r="AD29264"/>
    </row>
    <row r="29265" spans="30:30" x14ac:dyDescent="0.25">
      <c r="AD29265"/>
    </row>
    <row r="29266" spans="30:30" x14ac:dyDescent="0.25">
      <c r="AD29266"/>
    </row>
    <row r="29267" spans="30:30" x14ac:dyDescent="0.25">
      <c r="AD29267"/>
    </row>
    <row r="29268" spans="30:30" x14ac:dyDescent="0.25">
      <c r="AD29268"/>
    </row>
    <row r="29269" spans="30:30" x14ac:dyDescent="0.25">
      <c r="AD29269"/>
    </row>
    <row r="29270" spans="30:30" x14ac:dyDescent="0.25">
      <c r="AD29270"/>
    </row>
    <row r="29271" spans="30:30" x14ac:dyDescent="0.25">
      <c r="AD29271"/>
    </row>
    <row r="29272" spans="30:30" x14ac:dyDescent="0.25">
      <c r="AD29272"/>
    </row>
    <row r="29273" spans="30:30" x14ac:dyDescent="0.25">
      <c r="AD29273"/>
    </row>
    <row r="29274" spans="30:30" x14ac:dyDescent="0.25">
      <c r="AD29274"/>
    </row>
    <row r="29275" spans="30:30" x14ac:dyDescent="0.25">
      <c r="AD29275"/>
    </row>
    <row r="29276" spans="30:30" x14ac:dyDescent="0.25">
      <c r="AD29276"/>
    </row>
    <row r="29277" spans="30:30" x14ac:dyDescent="0.25">
      <c r="AD29277"/>
    </row>
    <row r="29278" spans="30:30" x14ac:dyDescent="0.25">
      <c r="AD29278"/>
    </row>
    <row r="29279" spans="30:30" x14ac:dyDescent="0.25">
      <c r="AD29279"/>
    </row>
    <row r="29280" spans="30:30" x14ac:dyDescent="0.25">
      <c r="AD29280"/>
    </row>
    <row r="29281" spans="30:30" x14ac:dyDescent="0.25">
      <c r="AD29281"/>
    </row>
    <row r="29282" spans="30:30" x14ac:dyDescent="0.25">
      <c r="AD29282"/>
    </row>
    <row r="29283" spans="30:30" x14ac:dyDescent="0.25">
      <c r="AD29283"/>
    </row>
    <row r="29284" spans="30:30" x14ac:dyDescent="0.25">
      <c r="AD29284"/>
    </row>
    <row r="29285" spans="30:30" x14ac:dyDescent="0.25">
      <c r="AD29285"/>
    </row>
    <row r="29286" spans="30:30" x14ac:dyDescent="0.25">
      <c r="AD29286"/>
    </row>
    <row r="29287" spans="30:30" x14ac:dyDescent="0.25">
      <c r="AD29287"/>
    </row>
    <row r="29288" spans="30:30" x14ac:dyDescent="0.25">
      <c r="AD29288"/>
    </row>
    <row r="29289" spans="30:30" x14ac:dyDescent="0.25">
      <c r="AD29289"/>
    </row>
    <row r="29290" spans="30:30" x14ac:dyDescent="0.25">
      <c r="AD29290"/>
    </row>
    <row r="29291" spans="30:30" x14ac:dyDescent="0.25">
      <c r="AD29291"/>
    </row>
    <row r="29292" spans="30:30" x14ac:dyDescent="0.25">
      <c r="AD29292"/>
    </row>
    <row r="29293" spans="30:30" x14ac:dyDescent="0.25">
      <c r="AD29293"/>
    </row>
    <row r="29294" spans="30:30" x14ac:dyDescent="0.25">
      <c r="AD29294"/>
    </row>
    <row r="29295" spans="30:30" x14ac:dyDescent="0.25">
      <c r="AD29295"/>
    </row>
    <row r="29296" spans="30:30" x14ac:dyDescent="0.25">
      <c r="AD29296"/>
    </row>
    <row r="29297" spans="30:30" x14ac:dyDescent="0.25">
      <c r="AD29297"/>
    </row>
    <row r="29298" spans="30:30" x14ac:dyDescent="0.25">
      <c r="AD29298"/>
    </row>
    <row r="29299" spans="30:30" x14ac:dyDescent="0.25">
      <c r="AD29299"/>
    </row>
    <row r="29300" spans="30:30" x14ac:dyDescent="0.25">
      <c r="AD29300"/>
    </row>
    <row r="29301" spans="30:30" x14ac:dyDescent="0.25">
      <c r="AD29301"/>
    </row>
    <row r="29302" spans="30:30" x14ac:dyDescent="0.25">
      <c r="AD29302"/>
    </row>
    <row r="29303" spans="30:30" x14ac:dyDescent="0.25">
      <c r="AD29303"/>
    </row>
    <row r="29304" spans="30:30" x14ac:dyDescent="0.25">
      <c r="AD29304"/>
    </row>
    <row r="29305" spans="30:30" x14ac:dyDescent="0.25">
      <c r="AD29305"/>
    </row>
    <row r="29306" spans="30:30" x14ac:dyDescent="0.25">
      <c r="AD29306"/>
    </row>
    <row r="29307" spans="30:30" x14ac:dyDescent="0.25">
      <c r="AD29307"/>
    </row>
    <row r="29308" spans="30:30" x14ac:dyDescent="0.25">
      <c r="AD29308"/>
    </row>
    <row r="29309" spans="30:30" x14ac:dyDescent="0.25">
      <c r="AD29309"/>
    </row>
    <row r="29310" spans="30:30" x14ac:dyDescent="0.25">
      <c r="AD29310"/>
    </row>
    <row r="29311" spans="30:30" x14ac:dyDescent="0.25">
      <c r="AD29311"/>
    </row>
    <row r="29312" spans="30:30" x14ac:dyDescent="0.25">
      <c r="AD29312"/>
    </row>
    <row r="29313" spans="30:30" x14ac:dyDescent="0.25">
      <c r="AD29313"/>
    </row>
    <row r="29314" spans="30:30" x14ac:dyDescent="0.25">
      <c r="AD29314"/>
    </row>
    <row r="29315" spans="30:30" x14ac:dyDescent="0.25">
      <c r="AD29315"/>
    </row>
    <row r="29316" spans="30:30" x14ac:dyDescent="0.25">
      <c r="AD29316"/>
    </row>
    <row r="29317" spans="30:30" x14ac:dyDescent="0.25">
      <c r="AD29317"/>
    </row>
    <row r="29318" spans="30:30" x14ac:dyDescent="0.25">
      <c r="AD29318"/>
    </row>
    <row r="29319" spans="30:30" x14ac:dyDescent="0.25">
      <c r="AD29319"/>
    </row>
    <row r="29320" spans="30:30" x14ac:dyDescent="0.25">
      <c r="AD29320"/>
    </row>
    <row r="29321" spans="30:30" x14ac:dyDescent="0.25">
      <c r="AD29321"/>
    </row>
    <row r="29322" spans="30:30" x14ac:dyDescent="0.25">
      <c r="AD29322"/>
    </row>
    <row r="29323" spans="30:30" x14ac:dyDescent="0.25">
      <c r="AD29323"/>
    </row>
    <row r="29324" spans="30:30" x14ac:dyDescent="0.25">
      <c r="AD29324"/>
    </row>
    <row r="29325" spans="30:30" x14ac:dyDescent="0.25">
      <c r="AD29325"/>
    </row>
    <row r="29326" spans="30:30" x14ac:dyDescent="0.25">
      <c r="AD29326"/>
    </row>
    <row r="29327" spans="30:30" x14ac:dyDescent="0.25">
      <c r="AD29327"/>
    </row>
    <row r="29328" spans="30:30" x14ac:dyDescent="0.25">
      <c r="AD29328"/>
    </row>
    <row r="29329" spans="30:30" x14ac:dyDescent="0.25">
      <c r="AD29329"/>
    </row>
    <row r="29330" spans="30:30" x14ac:dyDescent="0.25">
      <c r="AD29330"/>
    </row>
    <row r="29331" spans="30:30" x14ac:dyDescent="0.25">
      <c r="AD29331"/>
    </row>
    <row r="29332" spans="30:30" x14ac:dyDescent="0.25">
      <c r="AD29332"/>
    </row>
    <row r="29333" spans="30:30" x14ac:dyDescent="0.25">
      <c r="AD29333"/>
    </row>
    <row r="29334" spans="30:30" x14ac:dyDescent="0.25">
      <c r="AD29334"/>
    </row>
    <row r="29335" spans="30:30" x14ac:dyDescent="0.25">
      <c r="AD29335"/>
    </row>
    <row r="29336" spans="30:30" x14ac:dyDescent="0.25">
      <c r="AD29336"/>
    </row>
    <row r="29337" spans="30:30" x14ac:dyDescent="0.25">
      <c r="AD29337"/>
    </row>
    <row r="29338" spans="30:30" x14ac:dyDescent="0.25">
      <c r="AD29338"/>
    </row>
    <row r="29339" spans="30:30" x14ac:dyDescent="0.25">
      <c r="AD29339"/>
    </row>
    <row r="29340" spans="30:30" x14ac:dyDescent="0.25">
      <c r="AD29340"/>
    </row>
    <row r="29341" spans="30:30" x14ac:dyDescent="0.25">
      <c r="AD29341"/>
    </row>
    <row r="29342" spans="30:30" x14ac:dyDescent="0.25">
      <c r="AD29342"/>
    </row>
    <row r="29343" spans="30:30" x14ac:dyDescent="0.25">
      <c r="AD29343"/>
    </row>
    <row r="29344" spans="30:30" x14ac:dyDescent="0.25">
      <c r="AD29344"/>
    </row>
    <row r="29345" spans="30:30" x14ac:dyDescent="0.25">
      <c r="AD29345"/>
    </row>
    <row r="29346" spans="30:30" x14ac:dyDescent="0.25">
      <c r="AD29346"/>
    </row>
    <row r="29347" spans="30:30" x14ac:dyDescent="0.25">
      <c r="AD29347"/>
    </row>
    <row r="29348" spans="30:30" x14ac:dyDescent="0.25">
      <c r="AD29348"/>
    </row>
    <row r="29349" spans="30:30" x14ac:dyDescent="0.25">
      <c r="AD29349"/>
    </row>
    <row r="29350" spans="30:30" x14ac:dyDescent="0.25">
      <c r="AD29350"/>
    </row>
    <row r="29351" spans="30:30" x14ac:dyDescent="0.25">
      <c r="AD29351"/>
    </row>
    <row r="29352" spans="30:30" x14ac:dyDescent="0.25">
      <c r="AD29352"/>
    </row>
    <row r="29353" spans="30:30" x14ac:dyDescent="0.25">
      <c r="AD29353"/>
    </row>
    <row r="29354" spans="30:30" x14ac:dyDescent="0.25">
      <c r="AD29354"/>
    </row>
    <row r="29355" spans="30:30" x14ac:dyDescent="0.25">
      <c r="AD29355"/>
    </row>
    <row r="29356" spans="30:30" x14ac:dyDescent="0.25">
      <c r="AD29356"/>
    </row>
    <row r="29357" spans="30:30" x14ac:dyDescent="0.25">
      <c r="AD29357"/>
    </row>
    <row r="29358" spans="30:30" x14ac:dyDescent="0.25">
      <c r="AD29358"/>
    </row>
    <row r="29359" spans="30:30" x14ac:dyDescent="0.25">
      <c r="AD29359"/>
    </row>
    <row r="29360" spans="30:30" x14ac:dyDescent="0.25">
      <c r="AD29360"/>
    </row>
    <row r="29361" spans="30:30" x14ac:dyDescent="0.25">
      <c r="AD29361"/>
    </row>
    <row r="29362" spans="30:30" x14ac:dyDescent="0.25">
      <c r="AD29362"/>
    </row>
    <row r="29363" spans="30:30" x14ac:dyDescent="0.25">
      <c r="AD29363"/>
    </row>
    <row r="29364" spans="30:30" x14ac:dyDescent="0.25">
      <c r="AD29364"/>
    </row>
    <row r="29365" spans="30:30" x14ac:dyDescent="0.25">
      <c r="AD29365"/>
    </row>
    <row r="29366" spans="30:30" x14ac:dyDescent="0.25">
      <c r="AD29366"/>
    </row>
    <row r="29367" spans="30:30" x14ac:dyDescent="0.25">
      <c r="AD29367"/>
    </row>
    <row r="29368" spans="30:30" x14ac:dyDescent="0.25">
      <c r="AD29368"/>
    </row>
    <row r="29369" spans="30:30" x14ac:dyDescent="0.25">
      <c r="AD29369"/>
    </row>
    <row r="29370" spans="30:30" x14ac:dyDescent="0.25">
      <c r="AD29370"/>
    </row>
    <row r="29371" spans="30:30" x14ac:dyDescent="0.25">
      <c r="AD29371"/>
    </row>
    <row r="29372" spans="30:30" x14ac:dyDescent="0.25">
      <c r="AD29372"/>
    </row>
    <row r="29373" spans="30:30" x14ac:dyDescent="0.25">
      <c r="AD29373"/>
    </row>
    <row r="29374" spans="30:30" x14ac:dyDescent="0.25">
      <c r="AD29374"/>
    </row>
    <row r="29375" spans="30:30" x14ac:dyDescent="0.25">
      <c r="AD29375"/>
    </row>
    <row r="29376" spans="30:30" x14ac:dyDescent="0.25">
      <c r="AD29376"/>
    </row>
    <row r="29377" spans="30:30" x14ac:dyDescent="0.25">
      <c r="AD29377"/>
    </row>
    <row r="29378" spans="30:30" x14ac:dyDescent="0.25">
      <c r="AD29378"/>
    </row>
    <row r="29379" spans="30:30" x14ac:dyDescent="0.25">
      <c r="AD29379"/>
    </row>
    <row r="29380" spans="30:30" x14ac:dyDescent="0.25">
      <c r="AD29380"/>
    </row>
    <row r="29381" spans="30:30" x14ac:dyDescent="0.25">
      <c r="AD29381"/>
    </row>
    <row r="29382" spans="30:30" x14ac:dyDescent="0.25">
      <c r="AD29382"/>
    </row>
    <row r="29383" spans="30:30" x14ac:dyDescent="0.25">
      <c r="AD29383"/>
    </row>
    <row r="29384" spans="30:30" x14ac:dyDescent="0.25">
      <c r="AD29384"/>
    </row>
    <row r="29385" spans="30:30" x14ac:dyDescent="0.25">
      <c r="AD29385"/>
    </row>
    <row r="29386" spans="30:30" x14ac:dyDescent="0.25">
      <c r="AD29386"/>
    </row>
    <row r="29387" spans="30:30" x14ac:dyDescent="0.25">
      <c r="AD29387"/>
    </row>
    <row r="29388" spans="30:30" x14ac:dyDescent="0.25">
      <c r="AD29388"/>
    </row>
    <row r="29389" spans="30:30" x14ac:dyDescent="0.25">
      <c r="AD29389"/>
    </row>
    <row r="29390" spans="30:30" x14ac:dyDescent="0.25">
      <c r="AD29390"/>
    </row>
    <row r="29391" spans="30:30" x14ac:dyDescent="0.25">
      <c r="AD29391"/>
    </row>
    <row r="29392" spans="30:30" x14ac:dyDescent="0.25">
      <c r="AD29392"/>
    </row>
    <row r="29393" spans="30:30" x14ac:dyDescent="0.25">
      <c r="AD29393"/>
    </row>
    <row r="29394" spans="30:30" x14ac:dyDescent="0.25">
      <c r="AD29394"/>
    </row>
    <row r="29395" spans="30:30" x14ac:dyDescent="0.25">
      <c r="AD29395"/>
    </row>
    <row r="29396" spans="30:30" x14ac:dyDescent="0.25">
      <c r="AD29396"/>
    </row>
    <row r="29397" spans="30:30" x14ac:dyDescent="0.25">
      <c r="AD29397"/>
    </row>
    <row r="29398" spans="30:30" x14ac:dyDescent="0.25">
      <c r="AD29398"/>
    </row>
    <row r="29399" spans="30:30" x14ac:dyDescent="0.25">
      <c r="AD29399"/>
    </row>
    <row r="29400" spans="30:30" x14ac:dyDescent="0.25">
      <c r="AD29400"/>
    </row>
    <row r="29401" spans="30:30" x14ac:dyDescent="0.25">
      <c r="AD29401"/>
    </row>
    <row r="29402" spans="30:30" x14ac:dyDescent="0.25">
      <c r="AD29402"/>
    </row>
    <row r="29403" spans="30:30" x14ac:dyDescent="0.25">
      <c r="AD29403"/>
    </row>
    <row r="29404" spans="30:30" x14ac:dyDescent="0.25">
      <c r="AD29404"/>
    </row>
    <row r="29405" spans="30:30" x14ac:dyDescent="0.25">
      <c r="AD29405"/>
    </row>
    <row r="29406" spans="30:30" x14ac:dyDescent="0.25">
      <c r="AD29406"/>
    </row>
    <row r="29407" spans="30:30" x14ac:dyDescent="0.25">
      <c r="AD29407"/>
    </row>
    <row r="29408" spans="30:30" x14ac:dyDescent="0.25">
      <c r="AD29408"/>
    </row>
    <row r="29409" spans="30:30" x14ac:dyDescent="0.25">
      <c r="AD29409"/>
    </row>
    <row r="29410" spans="30:30" x14ac:dyDescent="0.25">
      <c r="AD29410"/>
    </row>
    <row r="29411" spans="30:30" x14ac:dyDescent="0.25">
      <c r="AD29411"/>
    </row>
    <row r="29412" spans="30:30" x14ac:dyDescent="0.25">
      <c r="AD29412"/>
    </row>
    <row r="29413" spans="30:30" x14ac:dyDescent="0.25">
      <c r="AD29413"/>
    </row>
    <row r="29414" spans="30:30" x14ac:dyDescent="0.25">
      <c r="AD29414"/>
    </row>
    <row r="29415" spans="30:30" x14ac:dyDescent="0.25">
      <c r="AD29415"/>
    </row>
    <row r="29416" spans="30:30" x14ac:dyDescent="0.25">
      <c r="AD29416"/>
    </row>
    <row r="29417" spans="30:30" x14ac:dyDescent="0.25">
      <c r="AD29417"/>
    </row>
    <row r="29418" spans="30:30" x14ac:dyDescent="0.25">
      <c r="AD29418"/>
    </row>
    <row r="29419" spans="30:30" x14ac:dyDescent="0.25">
      <c r="AD29419"/>
    </row>
    <row r="29420" spans="30:30" x14ac:dyDescent="0.25">
      <c r="AD29420"/>
    </row>
    <row r="29421" spans="30:30" x14ac:dyDescent="0.25">
      <c r="AD29421"/>
    </row>
    <row r="29422" spans="30:30" x14ac:dyDescent="0.25">
      <c r="AD29422"/>
    </row>
    <row r="29423" spans="30:30" x14ac:dyDescent="0.25">
      <c r="AD29423"/>
    </row>
    <row r="29424" spans="30:30" x14ac:dyDescent="0.25">
      <c r="AD29424"/>
    </row>
    <row r="29425" spans="30:30" x14ac:dyDescent="0.25">
      <c r="AD29425"/>
    </row>
    <row r="29426" spans="30:30" x14ac:dyDescent="0.25">
      <c r="AD29426"/>
    </row>
    <row r="29427" spans="30:30" x14ac:dyDescent="0.25">
      <c r="AD29427"/>
    </row>
    <row r="29428" spans="30:30" x14ac:dyDescent="0.25">
      <c r="AD29428"/>
    </row>
    <row r="29429" spans="30:30" x14ac:dyDescent="0.25">
      <c r="AD29429"/>
    </row>
    <row r="29430" spans="30:30" x14ac:dyDescent="0.25">
      <c r="AD29430"/>
    </row>
    <row r="29431" spans="30:30" x14ac:dyDescent="0.25">
      <c r="AD29431"/>
    </row>
    <row r="29432" spans="30:30" x14ac:dyDescent="0.25">
      <c r="AD29432"/>
    </row>
    <row r="29433" spans="30:30" x14ac:dyDescent="0.25">
      <c r="AD29433"/>
    </row>
    <row r="29434" spans="30:30" x14ac:dyDescent="0.25">
      <c r="AD29434"/>
    </row>
    <row r="29435" spans="30:30" x14ac:dyDescent="0.25">
      <c r="AD29435"/>
    </row>
    <row r="29436" spans="30:30" x14ac:dyDescent="0.25">
      <c r="AD29436"/>
    </row>
    <row r="29437" spans="30:30" x14ac:dyDescent="0.25">
      <c r="AD29437"/>
    </row>
    <row r="29438" spans="30:30" x14ac:dyDescent="0.25">
      <c r="AD29438"/>
    </row>
    <row r="29439" spans="30:30" x14ac:dyDescent="0.25">
      <c r="AD29439"/>
    </row>
    <row r="29440" spans="30:30" x14ac:dyDescent="0.25">
      <c r="AD29440"/>
    </row>
    <row r="29441" spans="30:30" x14ac:dyDescent="0.25">
      <c r="AD29441"/>
    </row>
    <row r="29442" spans="30:30" x14ac:dyDescent="0.25">
      <c r="AD29442"/>
    </row>
    <row r="29443" spans="30:30" x14ac:dyDescent="0.25">
      <c r="AD29443"/>
    </row>
    <row r="29444" spans="30:30" x14ac:dyDescent="0.25">
      <c r="AD29444"/>
    </row>
    <row r="29445" spans="30:30" x14ac:dyDescent="0.25">
      <c r="AD29445"/>
    </row>
    <row r="29446" spans="30:30" x14ac:dyDescent="0.25">
      <c r="AD29446"/>
    </row>
    <row r="29447" spans="30:30" x14ac:dyDescent="0.25">
      <c r="AD29447"/>
    </row>
    <row r="29448" spans="30:30" x14ac:dyDescent="0.25">
      <c r="AD29448"/>
    </row>
    <row r="29449" spans="30:30" x14ac:dyDescent="0.25">
      <c r="AD29449"/>
    </row>
    <row r="29450" spans="30:30" x14ac:dyDescent="0.25">
      <c r="AD29450"/>
    </row>
    <row r="29451" spans="30:30" x14ac:dyDescent="0.25">
      <c r="AD29451"/>
    </row>
    <row r="29452" spans="30:30" x14ac:dyDescent="0.25">
      <c r="AD29452"/>
    </row>
    <row r="29453" spans="30:30" x14ac:dyDescent="0.25">
      <c r="AD29453"/>
    </row>
    <row r="29454" spans="30:30" x14ac:dyDescent="0.25">
      <c r="AD29454"/>
    </row>
    <row r="29455" spans="30:30" x14ac:dyDescent="0.25">
      <c r="AD29455"/>
    </row>
    <row r="29456" spans="30:30" x14ac:dyDescent="0.25">
      <c r="AD29456"/>
    </row>
    <row r="29457" spans="30:30" x14ac:dyDescent="0.25">
      <c r="AD29457"/>
    </row>
    <row r="29458" spans="30:30" x14ac:dyDescent="0.25">
      <c r="AD29458"/>
    </row>
    <row r="29459" spans="30:30" x14ac:dyDescent="0.25">
      <c r="AD29459"/>
    </row>
    <row r="29460" spans="30:30" x14ac:dyDescent="0.25">
      <c r="AD29460"/>
    </row>
    <row r="29461" spans="30:30" x14ac:dyDescent="0.25">
      <c r="AD29461"/>
    </row>
    <row r="29462" spans="30:30" x14ac:dyDescent="0.25">
      <c r="AD29462"/>
    </row>
    <row r="29463" spans="30:30" x14ac:dyDescent="0.25">
      <c r="AD29463"/>
    </row>
    <row r="29464" spans="30:30" x14ac:dyDescent="0.25">
      <c r="AD29464"/>
    </row>
    <row r="29465" spans="30:30" x14ac:dyDescent="0.25">
      <c r="AD29465"/>
    </row>
    <row r="29466" spans="30:30" x14ac:dyDescent="0.25">
      <c r="AD29466"/>
    </row>
    <row r="29467" spans="30:30" x14ac:dyDescent="0.25">
      <c r="AD29467"/>
    </row>
    <row r="29468" spans="30:30" x14ac:dyDescent="0.25">
      <c r="AD29468"/>
    </row>
    <row r="29469" spans="30:30" x14ac:dyDescent="0.25">
      <c r="AD29469"/>
    </row>
    <row r="29470" spans="30:30" x14ac:dyDescent="0.25">
      <c r="AD29470"/>
    </row>
    <row r="29471" spans="30:30" x14ac:dyDescent="0.25">
      <c r="AD29471"/>
    </row>
    <row r="29472" spans="30:30" x14ac:dyDescent="0.25">
      <c r="AD29472"/>
    </row>
    <row r="29473" spans="30:30" x14ac:dyDescent="0.25">
      <c r="AD29473"/>
    </row>
    <row r="29474" spans="30:30" x14ac:dyDescent="0.25">
      <c r="AD29474"/>
    </row>
    <row r="29475" spans="30:30" x14ac:dyDescent="0.25">
      <c r="AD29475"/>
    </row>
    <row r="29476" spans="30:30" x14ac:dyDescent="0.25">
      <c r="AD29476"/>
    </row>
    <row r="29477" spans="30:30" x14ac:dyDescent="0.25">
      <c r="AD29477"/>
    </row>
    <row r="29478" spans="30:30" x14ac:dyDescent="0.25">
      <c r="AD29478"/>
    </row>
    <row r="29479" spans="30:30" x14ac:dyDescent="0.25">
      <c r="AD29479"/>
    </row>
    <row r="29480" spans="30:30" x14ac:dyDescent="0.25">
      <c r="AD29480"/>
    </row>
    <row r="29481" spans="30:30" x14ac:dyDescent="0.25">
      <c r="AD29481"/>
    </row>
    <row r="29482" spans="30:30" x14ac:dyDescent="0.25">
      <c r="AD29482"/>
    </row>
    <row r="29483" spans="30:30" x14ac:dyDescent="0.25">
      <c r="AD29483"/>
    </row>
    <row r="29484" spans="30:30" x14ac:dyDescent="0.25">
      <c r="AD29484"/>
    </row>
    <row r="29485" spans="30:30" x14ac:dyDescent="0.25">
      <c r="AD29485"/>
    </row>
    <row r="29486" spans="30:30" x14ac:dyDescent="0.25">
      <c r="AD29486"/>
    </row>
    <row r="29487" spans="30:30" x14ac:dyDescent="0.25">
      <c r="AD29487"/>
    </row>
    <row r="29488" spans="30:30" x14ac:dyDescent="0.25">
      <c r="AD29488"/>
    </row>
    <row r="29489" spans="30:30" x14ac:dyDescent="0.25">
      <c r="AD29489"/>
    </row>
    <row r="29490" spans="30:30" x14ac:dyDescent="0.25">
      <c r="AD29490"/>
    </row>
    <row r="29491" spans="30:30" x14ac:dyDescent="0.25">
      <c r="AD29491"/>
    </row>
    <row r="29492" spans="30:30" x14ac:dyDescent="0.25">
      <c r="AD29492"/>
    </row>
    <row r="29493" spans="30:30" x14ac:dyDescent="0.25">
      <c r="AD29493"/>
    </row>
    <row r="29494" spans="30:30" x14ac:dyDescent="0.25">
      <c r="AD29494"/>
    </row>
    <row r="29495" spans="30:30" x14ac:dyDescent="0.25">
      <c r="AD29495"/>
    </row>
    <row r="29496" spans="30:30" x14ac:dyDescent="0.25">
      <c r="AD29496"/>
    </row>
    <row r="29497" spans="30:30" x14ac:dyDescent="0.25">
      <c r="AD29497"/>
    </row>
    <row r="29498" spans="30:30" x14ac:dyDescent="0.25">
      <c r="AD29498"/>
    </row>
    <row r="29499" spans="30:30" x14ac:dyDescent="0.25">
      <c r="AD29499"/>
    </row>
    <row r="29500" spans="30:30" x14ac:dyDescent="0.25">
      <c r="AD29500"/>
    </row>
    <row r="29501" spans="30:30" x14ac:dyDescent="0.25">
      <c r="AD29501"/>
    </row>
    <row r="29502" spans="30:30" x14ac:dyDescent="0.25">
      <c r="AD29502"/>
    </row>
    <row r="29503" spans="30:30" x14ac:dyDescent="0.25">
      <c r="AD29503"/>
    </row>
    <row r="29504" spans="30:30" x14ac:dyDescent="0.25">
      <c r="AD29504"/>
    </row>
    <row r="29505" spans="30:30" x14ac:dyDescent="0.25">
      <c r="AD29505"/>
    </row>
    <row r="29506" spans="30:30" x14ac:dyDescent="0.25">
      <c r="AD29506"/>
    </row>
    <row r="29507" spans="30:30" x14ac:dyDescent="0.25">
      <c r="AD29507"/>
    </row>
    <row r="29508" spans="30:30" x14ac:dyDescent="0.25">
      <c r="AD29508"/>
    </row>
    <row r="29509" spans="30:30" x14ac:dyDescent="0.25">
      <c r="AD29509"/>
    </row>
    <row r="29510" spans="30:30" x14ac:dyDescent="0.25">
      <c r="AD29510"/>
    </row>
    <row r="29511" spans="30:30" x14ac:dyDescent="0.25">
      <c r="AD29511"/>
    </row>
    <row r="29512" spans="30:30" x14ac:dyDescent="0.25">
      <c r="AD29512"/>
    </row>
    <row r="29513" spans="30:30" x14ac:dyDescent="0.25">
      <c r="AD29513"/>
    </row>
    <row r="29514" spans="30:30" x14ac:dyDescent="0.25">
      <c r="AD29514"/>
    </row>
    <row r="29515" spans="30:30" x14ac:dyDescent="0.25">
      <c r="AD29515"/>
    </row>
    <row r="29516" spans="30:30" x14ac:dyDescent="0.25">
      <c r="AD29516"/>
    </row>
    <row r="29517" spans="30:30" x14ac:dyDescent="0.25">
      <c r="AD29517"/>
    </row>
    <row r="29518" spans="30:30" x14ac:dyDescent="0.25">
      <c r="AD29518"/>
    </row>
    <row r="29519" spans="30:30" x14ac:dyDescent="0.25">
      <c r="AD29519"/>
    </row>
    <row r="29520" spans="30:30" x14ac:dyDescent="0.25">
      <c r="AD29520"/>
    </row>
    <row r="29521" spans="30:30" x14ac:dyDescent="0.25">
      <c r="AD29521"/>
    </row>
    <row r="29522" spans="30:30" x14ac:dyDescent="0.25">
      <c r="AD29522"/>
    </row>
    <row r="29523" spans="30:30" x14ac:dyDescent="0.25">
      <c r="AD29523"/>
    </row>
    <row r="29524" spans="30:30" x14ac:dyDescent="0.25">
      <c r="AD29524"/>
    </row>
    <row r="29525" spans="30:30" x14ac:dyDescent="0.25">
      <c r="AD29525"/>
    </row>
    <row r="29526" spans="30:30" x14ac:dyDescent="0.25">
      <c r="AD29526"/>
    </row>
    <row r="29527" spans="30:30" x14ac:dyDescent="0.25">
      <c r="AD29527"/>
    </row>
    <row r="29528" spans="30:30" x14ac:dyDescent="0.25">
      <c r="AD29528"/>
    </row>
    <row r="29529" spans="30:30" x14ac:dyDescent="0.25">
      <c r="AD29529"/>
    </row>
    <row r="29530" spans="30:30" x14ac:dyDescent="0.25">
      <c r="AD29530"/>
    </row>
    <row r="29531" spans="30:30" x14ac:dyDescent="0.25">
      <c r="AD29531"/>
    </row>
    <row r="29532" spans="30:30" x14ac:dyDescent="0.25">
      <c r="AD29532"/>
    </row>
    <row r="29533" spans="30:30" x14ac:dyDescent="0.25">
      <c r="AD29533"/>
    </row>
    <row r="29534" spans="30:30" x14ac:dyDescent="0.25">
      <c r="AD29534"/>
    </row>
    <row r="29535" spans="30:30" x14ac:dyDescent="0.25">
      <c r="AD29535"/>
    </row>
    <row r="29536" spans="30:30" x14ac:dyDescent="0.25">
      <c r="AD29536"/>
    </row>
    <row r="29537" spans="30:30" x14ac:dyDescent="0.25">
      <c r="AD29537"/>
    </row>
    <row r="29538" spans="30:30" x14ac:dyDescent="0.25">
      <c r="AD29538"/>
    </row>
    <row r="29539" spans="30:30" x14ac:dyDescent="0.25">
      <c r="AD29539"/>
    </row>
    <row r="29540" spans="30:30" x14ac:dyDescent="0.25">
      <c r="AD29540"/>
    </row>
    <row r="29541" spans="30:30" x14ac:dyDescent="0.25">
      <c r="AD29541"/>
    </row>
    <row r="29542" spans="30:30" x14ac:dyDescent="0.25">
      <c r="AD29542"/>
    </row>
    <row r="29543" spans="30:30" x14ac:dyDescent="0.25">
      <c r="AD29543"/>
    </row>
    <row r="29544" spans="30:30" x14ac:dyDescent="0.25">
      <c r="AD29544"/>
    </row>
    <row r="29545" spans="30:30" x14ac:dyDescent="0.25">
      <c r="AD29545"/>
    </row>
    <row r="29546" spans="30:30" x14ac:dyDescent="0.25">
      <c r="AD29546"/>
    </row>
    <row r="29547" spans="30:30" x14ac:dyDescent="0.25">
      <c r="AD29547"/>
    </row>
    <row r="29548" spans="30:30" x14ac:dyDescent="0.25">
      <c r="AD29548"/>
    </row>
    <row r="29549" spans="30:30" x14ac:dyDescent="0.25">
      <c r="AD29549"/>
    </row>
    <row r="29550" spans="30:30" x14ac:dyDescent="0.25">
      <c r="AD29550"/>
    </row>
    <row r="29551" spans="30:30" x14ac:dyDescent="0.25">
      <c r="AD29551"/>
    </row>
    <row r="29552" spans="30:30" x14ac:dyDescent="0.25">
      <c r="AD29552"/>
    </row>
    <row r="29553" spans="30:30" x14ac:dyDescent="0.25">
      <c r="AD29553"/>
    </row>
    <row r="29554" spans="30:30" x14ac:dyDescent="0.25">
      <c r="AD29554"/>
    </row>
    <row r="29555" spans="30:30" x14ac:dyDescent="0.25">
      <c r="AD29555"/>
    </row>
    <row r="29556" spans="30:30" x14ac:dyDescent="0.25">
      <c r="AD29556"/>
    </row>
    <row r="29557" spans="30:30" x14ac:dyDescent="0.25">
      <c r="AD29557"/>
    </row>
    <row r="29558" spans="30:30" x14ac:dyDescent="0.25">
      <c r="AD29558"/>
    </row>
    <row r="29559" spans="30:30" x14ac:dyDescent="0.25">
      <c r="AD29559"/>
    </row>
    <row r="29560" spans="30:30" x14ac:dyDescent="0.25">
      <c r="AD29560"/>
    </row>
    <row r="29561" spans="30:30" x14ac:dyDescent="0.25">
      <c r="AD29561"/>
    </row>
    <row r="29562" spans="30:30" x14ac:dyDescent="0.25">
      <c r="AD29562"/>
    </row>
    <row r="29563" spans="30:30" x14ac:dyDescent="0.25">
      <c r="AD29563"/>
    </row>
    <row r="29564" spans="30:30" x14ac:dyDescent="0.25">
      <c r="AD29564"/>
    </row>
    <row r="29565" spans="30:30" x14ac:dyDescent="0.25">
      <c r="AD29565"/>
    </row>
    <row r="29566" spans="30:30" x14ac:dyDescent="0.25">
      <c r="AD29566"/>
    </row>
    <row r="29567" spans="30:30" x14ac:dyDescent="0.25">
      <c r="AD29567"/>
    </row>
    <row r="29568" spans="30:30" x14ac:dyDescent="0.25">
      <c r="AD29568"/>
    </row>
    <row r="29569" spans="30:30" x14ac:dyDescent="0.25">
      <c r="AD29569"/>
    </row>
    <row r="29570" spans="30:30" x14ac:dyDescent="0.25">
      <c r="AD29570"/>
    </row>
    <row r="29571" spans="30:30" x14ac:dyDescent="0.25">
      <c r="AD29571"/>
    </row>
    <row r="29572" spans="30:30" x14ac:dyDescent="0.25">
      <c r="AD29572"/>
    </row>
    <row r="29573" spans="30:30" x14ac:dyDescent="0.25">
      <c r="AD29573"/>
    </row>
    <row r="29574" spans="30:30" x14ac:dyDescent="0.25">
      <c r="AD29574"/>
    </row>
    <row r="29575" spans="30:30" x14ac:dyDescent="0.25">
      <c r="AD29575"/>
    </row>
    <row r="29576" spans="30:30" x14ac:dyDescent="0.25">
      <c r="AD29576"/>
    </row>
    <row r="29577" spans="30:30" x14ac:dyDescent="0.25">
      <c r="AD29577"/>
    </row>
    <row r="29578" spans="30:30" x14ac:dyDescent="0.25">
      <c r="AD29578"/>
    </row>
    <row r="29579" spans="30:30" x14ac:dyDescent="0.25">
      <c r="AD29579"/>
    </row>
    <row r="29580" spans="30:30" x14ac:dyDescent="0.25">
      <c r="AD29580"/>
    </row>
    <row r="29581" spans="30:30" x14ac:dyDescent="0.25">
      <c r="AD29581"/>
    </row>
    <row r="29582" spans="30:30" x14ac:dyDescent="0.25">
      <c r="AD29582"/>
    </row>
    <row r="29583" spans="30:30" x14ac:dyDescent="0.25">
      <c r="AD29583"/>
    </row>
    <row r="29584" spans="30:30" x14ac:dyDescent="0.25">
      <c r="AD29584"/>
    </row>
    <row r="29585" spans="30:30" x14ac:dyDescent="0.25">
      <c r="AD29585"/>
    </row>
    <row r="29586" spans="30:30" x14ac:dyDescent="0.25">
      <c r="AD29586"/>
    </row>
    <row r="29587" spans="30:30" x14ac:dyDescent="0.25">
      <c r="AD29587"/>
    </row>
    <row r="29588" spans="30:30" x14ac:dyDescent="0.25">
      <c r="AD29588"/>
    </row>
    <row r="29589" spans="30:30" x14ac:dyDescent="0.25">
      <c r="AD29589"/>
    </row>
    <row r="29590" spans="30:30" x14ac:dyDescent="0.25">
      <c r="AD29590"/>
    </row>
    <row r="29591" spans="30:30" x14ac:dyDescent="0.25">
      <c r="AD29591"/>
    </row>
    <row r="29592" spans="30:30" x14ac:dyDescent="0.25">
      <c r="AD29592"/>
    </row>
    <row r="29593" spans="30:30" x14ac:dyDescent="0.25">
      <c r="AD29593"/>
    </row>
    <row r="29594" spans="30:30" x14ac:dyDescent="0.25">
      <c r="AD29594"/>
    </row>
    <row r="29595" spans="30:30" x14ac:dyDescent="0.25">
      <c r="AD29595"/>
    </row>
    <row r="29596" spans="30:30" x14ac:dyDescent="0.25">
      <c r="AD29596"/>
    </row>
    <row r="29597" spans="30:30" x14ac:dyDescent="0.25">
      <c r="AD29597"/>
    </row>
    <row r="29598" spans="30:30" x14ac:dyDescent="0.25">
      <c r="AD29598"/>
    </row>
    <row r="29599" spans="30:30" x14ac:dyDescent="0.25">
      <c r="AD29599"/>
    </row>
    <row r="29600" spans="30:30" x14ac:dyDescent="0.25">
      <c r="AD29600"/>
    </row>
    <row r="29601" spans="30:30" x14ac:dyDescent="0.25">
      <c r="AD29601"/>
    </row>
    <row r="29602" spans="30:30" x14ac:dyDescent="0.25">
      <c r="AD29602"/>
    </row>
    <row r="29603" spans="30:30" x14ac:dyDescent="0.25">
      <c r="AD29603"/>
    </row>
    <row r="29604" spans="30:30" x14ac:dyDescent="0.25">
      <c r="AD29604"/>
    </row>
    <row r="29605" spans="30:30" x14ac:dyDescent="0.25">
      <c r="AD29605"/>
    </row>
    <row r="29606" spans="30:30" x14ac:dyDescent="0.25">
      <c r="AD29606"/>
    </row>
    <row r="29607" spans="30:30" x14ac:dyDescent="0.25">
      <c r="AD29607"/>
    </row>
    <row r="29608" spans="30:30" x14ac:dyDescent="0.25">
      <c r="AD29608"/>
    </row>
    <row r="29609" spans="30:30" x14ac:dyDescent="0.25">
      <c r="AD29609"/>
    </row>
    <row r="29610" spans="30:30" x14ac:dyDescent="0.25">
      <c r="AD29610"/>
    </row>
    <row r="29611" spans="30:30" x14ac:dyDescent="0.25">
      <c r="AD29611"/>
    </row>
    <row r="29612" spans="30:30" x14ac:dyDescent="0.25">
      <c r="AD29612"/>
    </row>
    <row r="29613" spans="30:30" x14ac:dyDescent="0.25">
      <c r="AD29613"/>
    </row>
    <row r="29614" spans="30:30" x14ac:dyDescent="0.25">
      <c r="AD29614"/>
    </row>
    <row r="29615" spans="30:30" x14ac:dyDescent="0.25">
      <c r="AD29615"/>
    </row>
    <row r="29616" spans="30:30" x14ac:dyDescent="0.25">
      <c r="AD29616"/>
    </row>
    <row r="29617" spans="30:30" x14ac:dyDescent="0.25">
      <c r="AD29617"/>
    </row>
    <row r="29618" spans="30:30" x14ac:dyDescent="0.25">
      <c r="AD29618"/>
    </row>
    <row r="29619" spans="30:30" x14ac:dyDescent="0.25">
      <c r="AD29619"/>
    </row>
    <row r="29620" spans="30:30" x14ac:dyDescent="0.25">
      <c r="AD29620"/>
    </row>
    <row r="29621" spans="30:30" x14ac:dyDescent="0.25">
      <c r="AD29621"/>
    </row>
    <row r="29622" spans="30:30" x14ac:dyDescent="0.25">
      <c r="AD29622"/>
    </row>
    <row r="29623" spans="30:30" x14ac:dyDescent="0.25">
      <c r="AD29623"/>
    </row>
    <row r="29624" spans="30:30" x14ac:dyDescent="0.25">
      <c r="AD29624"/>
    </row>
    <row r="29625" spans="30:30" x14ac:dyDescent="0.25">
      <c r="AD29625"/>
    </row>
    <row r="29626" spans="30:30" x14ac:dyDescent="0.25">
      <c r="AD29626"/>
    </row>
    <row r="29627" spans="30:30" x14ac:dyDescent="0.25">
      <c r="AD29627"/>
    </row>
    <row r="29628" spans="30:30" x14ac:dyDescent="0.25">
      <c r="AD29628"/>
    </row>
    <row r="29629" spans="30:30" x14ac:dyDescent="0.25">
      <c r="AD29629"/>
    </row>
    <row r="29630" spans="30:30" x14ac:dyDescent="0.25">
      <c r="AD29630"/>
    </row>
    <row r="29631" spans="30:30" x14ac:dyDescent="0.25">
      <c r="AD29631"/>
    </row>
    <row r="29632" spans="30:30" x14ac:dyDescent="0.25">
      <c r="AD29632"/>
    </row>
    <row r="29633" spans="30:30" x14ac:dyDescent="0.25">
      <c r="AD29633"/>
    </row>
    <row r="29634" spans="30:30" x14ac:dyDescent="0.25">
      <c r="AD29634"/>
    </row>
    <row r="29635" spans="30:30" x14ac:dyDescent="0.25">
      <c r="AD29635"/>
    </row>
    <row r="29636" spans="30:30" x14ac:dyDescent="0.25">
      <c r="AD29636"/>
    </row>
    <row r="29637" spans="30:30" x14ac:dyDescent="0.25">
      <c r="AD29637"/>
    </row>
    <row r="29638" spans="30:30" x14ac:dyDescent="0.25">
      <c r="AD29638"/>
    </row>
    <row r="29639" spans="30:30" x14ac:dyDescent="0.25">
      <c r="AD29639"/>
    </row>
    <row r="29640" spans="30:30" x14ac:dyDescent="0.25">
      <c r="AD29640"/>
    </row>
    <row r="29641" spans="30:30" x14ac:dyDescent="0.25">
      <c r="AD29641"/>
    </row>
    <row r="29642" spans="30:30" x14ac:dyDescent="0.25">
      <c r="AD29642"/>
    </row>
    <row r="29643" spans="30:30" x14ac:dyDescent="0.25">
      <c r="AD29643"/>
    </row>
    <row r="29644" spans="30:30" x14ac:dyDescent="0.25">
      <c r="AD29644"/>
    </row>
    <row r="29645" spans="30:30" x14ac:dyDescent="0.25">
      <c r="AD29645"/>
    </row>
    <row r="29646" spans="30:30" x14ac:dyDescent="0.25">
      <c r="AD29646"/>
    </row>
    <row r="29647" spans="30:30" x14ac:dyDescent="0.25">
      <c r="AD29647"/>
    </row>
    <row r="29648" spans="30:30" x14ac:dyDescent="0.25">
      <c r="AD29648"/>
    </row>
    <row r="29649" spans="30:30" x14ac:dyDescent="0.25">
      <c r="AD29649"/>
    </row>
    <row r="29650" spans="30:30" x14ac:dyDescent="0.25">
      <c r="AD29650"/>
    </row>
    <row r="29651" spans="30:30" x14ac:dyDescent="0.25">
      <c r="AD29651"/>
    </row>
    <row r="29652" spans="30:30" x14ac:dyDescent="0.25">
      <c r="AD29652"/>
    </row>
    <row r="29653" spans="30:30" x14ac:dyDescent="0.25">
      <c r="AD29653"/>
    </row>
    <row r="29654" spans="30:30" x14ac:dyDescent="0.25">
      <c r="AD29654"/>
    </row>
    <row r="29655" spans="30:30" x14ac:dyDescent="0.25">
      <c r="AD29655"/>
    </row>
    <row r="29656" spans="30:30" x14ac:dyDescent="0.25">
      <c r="AD29656"/>
    </row>
    <row r="29657" spans="30:30" x14ac:dyDescent="0.25">
      <c r="AD29657"/>
    </row>
    <row r="29658" spans="30:30" x14ac:dyDescent="0.25">
      <c r="AD29658"/>
    </row>
    <row r="29659" spans="30:30" x14ac:dyDescent="0.25">
      <c r="AD29659"/>
    </row>
    <row r="29660" spans="30:30" x14ac:dyDescent="0.25">
      <c r="AD29660"/>
    </row>
    <row r="29661" spans="30:30" x14ac:dyDescent="0.25">
      <c r="AD29661"/>
    </row>
    <row r="29662" spans="30:30" x14ac:dyDescent="0.25">
      <c r="AD29662"/>
    </row>
    <row r="29663" spans="30:30" x14ac:dyDescent="0.25">
      <c r="AD29663"/>
    </row>
    <row r="29664" spans="30:30" x14ac:dyDescent="0.25">
      <c r="AD29664"/>
    </row>
    <row r="29665" spans="30:30" x14ac:dyDescent="0.25">
      <c r="AD29665"/>
    </row>
    <row r="29666" spans="30:30" x14ac:dyDescent="0.25">
      <c r="AD29666"/>
    </row>
    <row r="29667" spans="30:30" x14ac:dyDescent="0.25">
      <c r="AD29667"/>
    </row>
    <row r="29668" spans="30:30" x14ac:dyDescent="0.25">
      <c r="AD29668"/>
    </row>
    <row r="29669" spans="30:30" x14ac:dyDescent="0.25">
      <c r="AD29669"/>
    </row>
    <row r="29670" spans="30:30" x14ac:dyDescent="0.25">
      <c r="AD29670"/>
    </row>
    <row r="29671" spans="30:30" x14ac:dyDescent="0.25">
      <c r="AD29671"/>
    </row>
    <row r="29672" spans="30:30" x14ac:dyDescent="0.25">
      <c r="AD29672"/>
    </row>
    <row r="29673" spans="30:30" x14ac:dyDescent="0.25">
      <c r="AD29673"/>
    </row>
    <row r="29674" spans="30:30" x14ac:dyDescent="0.25">
      <c r="AD29674"/>
    </row>
    <row r="29675" spans="30:30" x14ac:dyDescent="0.25">
      <c r="AD29675"/>
    </row>
    <row r="29676" spans="30:30" x14ac:dyDescent="0.25">
      <c r="AD29676"/>
    </row>
    <row r="29677" spans="30:30" x14ac:dyDescent="0.25">
      <c r="AD29677"/>
    </row>
    <row r="29678" spans="30:30" x14ac:dyDescent="0.25">
      <c r="AD29678"/>
    </row>
    <row r="29679" spans="30:30" x14ac:dyDescent="0.25">
      <c r="AD29679"/>
    </row>
    <row r="29680" spans="30:30" x14ac:dyDescent="0.25">
      <c r="AD29680"/>
    </row>
    <row r="29681" spans="30:30" x14ac:dyDescent="0.25">
      <c r="AD29681"/>
    </row>
    <row r="29682" spans="30:30" x14ac:dyDescent="0.25">
      <c r="AD29682"/>
    </row>
    <row r="29683" spans="30:30" x14ac:dyDescent="0.25">
      <c r="AD29683"/>
    </row>
    <row r="29684" spans="30:30" x14ac:dyDescent="0.25">
      <c r="AD29684"/>
    </row>
    <row r="29685" spans="30:30" x14ac:dyDescent="0.25">
      <c r="AD29685"/>
    </row>
    <row r="29686" spans="30:30" x14ac:dyDescent="0.25">
      <c r="AD29686"/>
    </row>
    <row r="29687" spans="30:30" x14ac:dyDescent="0.25">
      <c r="AD29687"/>
    </row>
    <row r="29688" spans="30:30" x14ac:dyDescent="0.25">
      <c r="AD29688"/>
    </row>
    <row r="29689" spans="30:30" x14ac:dyDescent="0.25">
      <c r="AD29689"/>
    </row>
    <row r="29690" spans="30:30" x14ac:dyDescent="0.25">
      <c r="AD29690"/>
    </row>
    <row r="29691" spans="30:30" x14ac:dyDescent="0.25">
      <c r="AD29691"/>
    </row>
    <row r="29692" spans="30:30" x14ac:dyDescent="0.25">
      <c r="AD29692"/>
    </row>
    <row r="29693" spans="30:30" x14ac:dyDescent="0.25">
      <c r="AD29693"/>
    </row>
    <row r="29694" spans="30:30" x14ac:dyDescent="0.25">
      <c r="AD29694"/>
    </row>
    <row r="29695" spans="30:30" x14ac:dyDescent="0.25">
      <c r="AD29695"/>
    </row>
    <row r="29696" spans="30:30" x14ac:dyDescent="0.25">
      <c r="AD29696"/>
    </row>
    <row r="29697" spans="30:30" x14ac:dyDescent="0.25">
      <c r="AD29697"/>
    </row>
    <row r="29698" spans="30:30" x14ac:dyDescent="0.25">
      <c r="AD29698"/>
    </row>
    <row r="29699" spans="30:30" x14ac:dyDescent="0.25">
      <c r="AD29699"/>
    </row>
    <row r="29700" spans="30:30" x14ac:dyDescent="0.25">
      <c r="AD29700"/>
    </row>
    <row r="29701" spans="30:30" x14ac:dyDescent="0.25">
      <c r="AD29701"/>
    </row>
    <row r="29702" spans="30:30" x14ac:dyDescent="0.25">
      <c r="AD29702"/>
    </row>
    <row r="29703" spans="30:30" x14ac:dyDescent="0.25">
      <c r="AD29703"/>
    </row>
    <row r="29704" spans="30:30" x14ac:dyDescent="0.25">
      <c r="AD29704"/>
    </row>
    <row r="29705" spans="30:30" x14ac:dyDescent="0.25">
      <c r="AD29705"/>
    </row>
    <row r="29706" spans="30:30" x14ac:dyDescent="0.25">
      <c r="AD29706"/>
    </row>
    <row r="29707" spans="30:30" x14ac:dyDescent="0.25">
      <c r="AD29707"/>
    </row>
    <row r="29708" spans="30:30" x14ac:dyDescent="0.25">
      <c r="AD29708"/>
    </row>
    <row r="29709" spans="30:30" x14ac:dyDescent="0.25">
      <c r="AD29709"/>
    </row>
    <row r="29710" spans="30:30" x14ac:dyDescent="0.25">
      <c r="AD29710"/>
    </row>
    <row r="29711" spans="30:30" x14ac:dyDescent="0.25">
      <c r="AD29711"/>
    </row>
    <row r="29712" spans="30:30" x14ac:dyDescent="0.25">
      <c r="AD29712"/>
    </row>
    <row r="29713" spans="30:30" x14ac:dyDescent="0.25">
      <c r="AD29713"/>
    </row>
    <row r="29714" spans="30:30" x14ac:dyDescent="0.25">
      <c r="AD29714"/>
    </row>
    <row r="29715" spans="30:30" x14ac:dyDescent="0.25">
      <c r="AD29715"/>
    </row>
    <row r="29716" spans="30:30" x14ac:dyDescent="0.25">
      <c r="AD29716"/>
    </row>
    <row r="29717" spans="30:30" x14ac:dyDescent="0.25">
      <c r="AD29717"/>
    </row>
    <row r="29718" spans="30:30" x14ac:dyDescent="0.25">
      <c r="AD29718"/>
    </row>
    <row r="29719" spans="30:30" x14ac:dyDescent="0.25">
      <c r="AD29719"/>
    </row>
    <row r="29720" spans="30:30" x14ac:dyDescent="0.25">
      <c r="AD29720"/>
    </row>
    <row r="29721" spans="30:30" x14ac:dyDescent="0.25">
      <c r="AD29721"/>
    </row>
    <row r="29722" spans="30:30" x14ac:dyDescent="0.25">
      <c r="AD29722"/>
    </row>
    <row r="29723" spans="30:30" x14ac:dyDescent="0.25">
      <c r="AD29723"/>
    </row>
    <row r="29724" spans="30:30" x14ac:dyDescent="0.25">
      <c r="AD29724"/>
    </row>
    <row r="29725" spans="30:30" x14ac:dyDescent="0.25">
      <c r="AD29725"/>
    </row>
    <row r="29726" spans="30:30" x14ac:dyDescent="0.25">
      <c r="AD29726"/>
    </row>
    <row r="29727" spans="30:30" x14ac:dyDescent="0.25">
      <c r="AD29727"/>
    </row>
    <row r="29728" spans="30:30" x14ac:dyDescent="0.25">
      <c r="AD29728"/>
    </row>
    <row r="29729" spans="30:30" x14ac:dyDescent="0.25">
      <c r="AD29729"/>
    </row>
    <row r="29730" spans="30:30" x14ac:dyDescent="0.25">
      <c r="AD29730"/>
    </row>
    <row r="29731" spans="30:30" x14ac:dyDescent="0.25">
      <c r="AD29731"/>
    </row>
    <row r="29732" spans="30:30" x14ac:dyDescent="0.25">
      <c r="AD29732"/>
    </row>
    <row r="29733" spans="30:30" x14ac:dyDescent="0.25">
      <c r="AD29733"/>
    </row>
    <row r="29734" spans="30:30" x14ac:dyDescent="0.25">
      <c r="AD29734"/>
    </row>
    <row r="29735" spans="30:30" x14ac:dyDescent="0.25">
      <c r="AD29735"/>
    </row>
    <row r="29736" spans="30:30" x14ac:dyDescent="0.25">
      <c r="AD29736"/>
    </row>
    <row r="29737" spans="30:30" x14ac:dyDescent="0.25">
      <c r="AD29737"/>
    </row>
    <row r="29738" spans="30:30" x14ac:dyDescent="0.25">
      <c r="AD29738"/>
    </row>
    <row r="29739" spans="30:30" x14ac:dyDescent="0.25">
      <c r="AD29739"/>
    </row>
    <row r="29740" spans="30:30" x14ac:dyDescent="0.25">
      <c r="AD29740"/>
    </row>
    <row r="29741" spans="30:30" x14ac:dyDescent="0.25">
      <c r="AD29741"/>
    </row>
    <row r="29742" spans="30:30" x14ac:dyDescent="0.25">
      <c r="AD29742"/>
    </row>
    <row r="29743" spans="30:30" x14ac:dyDescent="0.25">
      <c r="AD29743"/>
    </row>
    <row r="29744" spans="30:30" x14ac:dyDescent="0.25">
      <c r="AD29744"/>
    </row>
    <row r="29745" spans="30:30" x14ac:dyDescent="0.25">
      <c r="AD29745"/>
    </row>
    <row r="29746" spans="30:30" x14ac:dyDescent="0.25">
      <c r="AD29746"/>
    </row>
    <row r="29747" spans="30:30" x14ac:dyDescent="0.25">
      <c r="AD29747"/>
    </row>
    <row r="29748" spans="30:30" x14ac:dyDescent="0.25">
      <c r="AD29748"/>
    </row>
    <row r="29749" spans="30:30" x14ac:dyDescent="0.25">
      <c r="AD29749"/>
    </row>
    <row r="29750" spans="30:30" x14ac:dyDescent="0.25">
      <c r="AD29750"/>
    </row>
    <row r="29751" spans="30:30" x14ac:dyDescent="0.25">
      <c r="AD29751"/>
    </row>
    <row r="29752" spans="30:30" x14ac:dyDescent="0.25">
      <c r="AD29752"/>
    </row>
    <row r="29753" spans="30:30" x14ac:dyDescent="0.25">
      <c r="AD29753"/>
    </row>
    <row r="29754" spans="30:30" x14ac:dyDescent="0.25">
      <c r="AD29754"/>
    </row>
    <row r="29755" spans="30:30" x14ac:dyDescent="0.25">
      <c r="AD29755"/>
    </row>
    <row r="29756" spans="30:30" x14ac:dyDescent="0.25">
      <c r="AD29756"/>
    </row>
    <row r="29757" spans="30:30" x14ac:dyDescent="0.25">
      <c r="AD29757"/>
    </row>
    <row r="29758" spans="30:30" x14ac:dyDescent="0.25">
      <c r="AD29758"/>
    </row>
    <row r="29759" spans="30:30" x14ac:dyDescent="0.25">
      <c r="AD29759"/>
    </row>
    <row r="29760" spans="30:30" x14ac:dyDescent="0.25">
      <c r="AD29760"/>
    </row>
    <row r="29761" spans="30:30" x14ac:dyDescent="0.25">
      <c r="AD29761"/>
    </row>
    <row r="29762" spans="30:30" x14ac:dyDescent="0.25">
      <c r="AD29762"/>
    </row>
    <row r="29763" spans="30:30" x14ac:dyDescent="0.25">
      <c r="AD29763"/>
    </row>
    <row r="29764" spans="30:30" x14ac:dyDescent="0.25">
      <c r="AD29764"/>
    </row>
    <row r="29765" spans="30:30" x14ac:dyDescent="0.25">
      <c r="AD29765"/>
    </row>
    <row r="29766" spans="30:30" x14ac:dyDescent="0.25">
      <c r="AD29766"/>
    </row>
    <row r="29767" spans="30:30" x14ac:dyDescent="0.25">
      <c r="AD29767"/>
    </row>
    <row r="29768" spans="30:30" x14ac:dyDescent="0.25">
      <c r="AD29768"/>
    </row>
    <row r="29769" spans="30:30" x14ac:dyDescent="0.25">
      <c r="AD29769"/>
    </row>
    <row r="29770" spans="30:30" x14ac:dyDescent="0.25">
      <c r="AD29770"/>
    </row>
    <row r="29771" spans="30:30" x14ac:dyDescent="0.25">
      <c r="AD29771"/>
    </row>
    <row r="29772" spans="30:30" x14ac:dyDescent="0.25">
      <c r="AD29772"/>
    </row>
    <row r="29773" spans="30:30" x14ac:dyDescent="0.25">
      <c r="AD29773"/>
    </row>
    <row r="29774" spans="30:30" x14ac:dyDescent="0.25">
      <c r="AD29774"/>
    </row>
    <row r="29775" spans="30:30" x14ac:dyDescent="0.25">
      <c r="AD29775"/>
    </row>
    <row r="29776" spans="30:30" x14ac:dyDescent="0.25">
      <c r="AD29776"/>
    </row>
    <row r="29777" spans="30:30" x14ac:dyDescent="0.25">
      <c r="AD29777"/>
    </row>
    <row r="29778" spans="30:30" x14ac:dyDescent="0.25">
      <c r="AD29778"/>
    </row>
    <row r="29779" spans="30:30" x14ac:dyDescent="0.25">
      <c r="AD29779"/>
    </row>
    <row r="29780" spans="30:30" x14ac:dyDescent="0.25">
      <c r="AD29780"/>
    </row>
    <row r="29781" spans="30:30" x14ac:dyDescent="0.25">
      <c r="AD29781"/>
    </row>
    <row r="29782" spans="30:30" x14ac:dyDescent="0.25">
      <c r="AD29782"/>
    </row>
    <row r="29783" spans="30:30" x14ac:dyDescent="0.25">
      <c r="AD29783"/>
    </row>
    <row r="29784" spans="30:30" x14ac:dyDescent="0.25">
      <c r="AD29784"/>
    </row>
    <row r="29785" spans="30:30" x14ac:dyDescent="0.25">
      <c r="AD29785"/>
    </row>
    <row r="29786" spans="30:30" x14ac:dyDescent="0.25">
      <c r="AD29786"/>
    </row>
    <row r="29787" spans="30:30" x14ac:dyDescent="0.25">
      <c r="AD29787"/>
    </row>
    <row r="29788" spans="30:30" x14ac:dyDescent="0.25">
      <c r="AD29788"/>
    </row>
    <row r="29789" spans="30:30" x14ac:dyDescent="0.25">
      <c r="AD29789"/>
    </row>
    <row r="29790" spans="30:30" x14ac:dyDescent="0.25">
      <c r="AD29790"/>
    </row>
    <row r="29791" spans="30:30" x14ac:dyDescent="0.25">
      <c r="AD29791"/>
    </row>
    <row r="29792" spans="30:30" x14ac:dyDescent="0.25">
      <c r="AD29792"/>
    </row>
    <row r="29793" spans="30:30" x14ac:dyDescent="0.25">
      <c r="AD29793"/>
    </row>
    <row r="29794" spans="30:30" x14ac:dyDescent="0.25">
      <c r="AD29794"/>
    </row>
    <row r="29795" spans="30:30" x14ac:dyDescent="0.25">
      <c r="AD29795"/>
    </row>
    <row r="29796" spans="30:30" x14ac:dyDescent="0.25">
      <c r="AD29796"/>
    </row>
    <row r="29797" spans="30:30" x14ac:dyDescent="0.25">
      <c r="AD29797"/>
    </row>
    <row r="29798" spans="30:30" x14ac:dyDescent="0.25">
      <c r="AD29798"/>
    </row>
    <row r="29799" spans="30:30" x14ac:dyDescent="0.25">
      <c r="AD29799"/>
    </row>
    <row r="29800" spans="30:30" x14ac:dyDescent="0.25">
      <c r="AD29800"/>
    </row>
    <row r="29801" spans="30:30" x14ac:dyDescent="0.25">
      <c r="AD29801"/>
    </row>
    <row r="29802" spans="30:30" x14ac:dyDescent="0.25">
      <c r="AD29802"/>
    </row>
    <row r="29803" spans="30:30" x14ac:dyDescent="0.25">
      <c r="AD29803"/>
    </row>
    <row r="29804" spans="30:30" x14ac:dyDescent="0.25">
      <c r="AD29804"/>
    </row>
    <row r="29805" spans="30:30" x14ac:dyDescent="0.25">
      <c r="AD29805"/>
    </row>
    <row r="29806" spans="30:30" x14ac:dyDescent="0.25">
      <c r="AD29806"/>
    </row>
    <row r="29807" spans="30:30" x14ac:dyDescent="0.25">
      <c r="AD29807"/>
    </row>
    <row r="29808" spans="30:30" x14ac:dyDescent="0.25">
      <c r="AD29808"/>
    </row>
    <row r="29809" spans="30:30" x14ac:dyDescent="0.25">
      <c r="AD29809"/>
    </row>
    <row r="29810" spans="30:30" x14ac:dyDescent="0.25">
      <c r="AD29810"/>
    </row>
    <row r="29811" spans="30:30" x14ac:dyDescent="0.25">
      <c r="AD29811"/>
    </row>
    <row r="29812" spans="30:30" x14ac:dyDescent="0.25">
      <c r="AD29812"/>
    </row>
    <row r="29813" spans="30:30" x14ac:dyDescent="0.25">
      <c r="AD29813"/>
    </row>
    <row r="29814" spans="30:30" x14ac:dyDescent="0.25">
      <c r="AD29814"/>
    </row>
    <row r="29815" spans="30:30" x14ac:dyDescent="0.25">
      <c r="AD29815"/>
    </row>
    <row r="29816" spans="30:30" x14ac:dyDescent="0.25">
      <c r="AD29816"/>
    </row>
    <row r="29817" spans="30:30" x14ac:dyDescent="0.25">
      <c r="AD29817"/>
    </row>
    <row r="29818" spans="30:30" x14ac:dyDescent="0.25">
      <c r="AD29818"/>
    </row>
    <row r="29819" spans="30:30" x14ac:dyDescent="0.25">
      <c r="AD29819"/>
    </row>
    <row r="29820" spans="30:30" x14ac:dyDescent="0.25">
      <c r="AD29820"/>
    </row>
    <row r="29821" spans="30:30" x14ac:dyDescent="0.25">
      <c r="AD29821"/>
    </row>
    <row r="29822" spans="30:30" x14ac:dyDescent="0.25">
      <c r="AD29822"/>
    </row>
    <row r="29823" spans="30:30" x14ac:dyDescent="0.25">
      <c r="AD29823"/>
    </row>
    <row r="29824" spans="30:30" x14ac:dyDescent="0.25">
      <c r="AD29824"/>
    </row>
    <row r="29825" spans="30:30" x14ac:dyDescent="0.25">
      <c r="AD29825"/>
    </row>
    <row r="29826" spans="30:30" x14ac:dyDescent="0.25">
      <c r="AD29826"/>
    </row>
    <row r="29827" spans="30:30" x14ac:dyDescent="0.25">
      <c r="AD29827"/>
    </row>
    <row r="29828" spans="30:30" x14ac:dyDescent="0.25">
      <c r="AD29828"/>
    </row>
    <row r="29829" spans="30:30" x14ac:dyDescent="0.25">
      <c r="AD29829"/>
    </row>
    <row r="29830" spans="30:30" x14ac:dyDescent="0.25">
      <c r="AD29830"/>
    </row>
    <row r="29831" spans="30:30" x14ac:dyDescent="0.25">
      <c r="AD29831"/>
    </row>
    <row r="29832" spans="30:30" x14ac:dyDescent="0.25">
      <c r="AD29832"/>
    </row>
    <row r="29833" spans="30:30" x14ac:dyDescent="0.25">
      <c r="AD29833"/>
    </row>
    <row r="29834" spans="30:30" x14ac:dyDescent="0.25">
      <c r="AD29834"/>
    </row>
    <row r="29835" spans="30:30" x14ac:dyDescent="0.25">
      <c r="AD29835"/>
    </row>
    <row r="29836" spans="30:30" x14ac:dyDescent="0.25">
      <c r="AD29836"/>
    </row>
    <row r="29837" spans="30:30" x14ac:dyDescent="0.25">
      <c r="AD29837"/>
    </row>
    <row r="29838" spans="30:30" x14ac:dyDescent="0.25">
      <c r="AD29838"/>
    </row>
    <row r="29839" spans="30:30" x14ac:dyDescent="0.25">
      <c r="AD29839"/>
    </row>
    <row r="29840" spans="30:30" x14ac:dyDescent="0.25">
      <c r="AD29840"/>
    </row>
    <row r="29841" spans="30:30" x14ac:dyDescent="0.25">
      <c r="AD29841"/>
    </row>
    <row r="29842" spans="30:30" x14ac:dyDescent="0.25">
      <c r="AD29842"/>
    </row>
    <row r="29843" spans="30:30" x14ac:dyDescent="0.25">
      <c r="AD29843"/>
    </row>
    <row r="29844" spans="30:30" x14ac:dyDescent="0.25">
      <c r="AD29844"/>
    </row>
    <row r="29845" spans="30:30" x14ac:dyDescent="0.25">
      <c r="AD29845"/>
    </row>
    <row r="29846" spans="30:30" x14ac:dyDescent="0.25">
      <c r="AD29846"/>
    </row>
    <row r="29847" spans="30:30" x14ac:dyDescent="0.25">
      <c r="AD29847"/>
    </row>
    <row r="29848" spans="30:30" x14ac:dyDescent="0.25">
      <c r="AD29848"/>
    </row>
    <row r="29849" spans="30:30" x14ac:dyDescent="0.25">
      <c r="AD29849"/>
    </row>
    <row r="29850" spans="30:30" x14ac:dyDescent="0.25">
      <c r="AD29850"/>
    </row>
    <row r="29851" spans="30:30" x14ac:dyDescent="0.25">
      <c r="AD29851"/>
    </row>
    <row r="29852" spans="30:30" x14ac:dyDescent="0.25">
      <c r="AD29852"/>
    </row>
    <row r="29853" spans="30:30" x14ac:dyDescent="0.25">
      <c r="AD29853"/>
    </row>
    <row r="29854" spans="30:30" x14ac:dyDescent="0.25">
      <c r="AD29854"/>
    </row>
    <row r="29855" spans="30:30" x14ac:dyDescent="0.25">
      <c r="AD29855"/>
    </row>
    <row r="29856" spans="30:30" x14ac:dyDescent="0.25">
      <c r="AD29856"/>
    </row>
    <row r="29857" spans="30:30" x14ac:dyDescent="0.25">
      <c r="AD29857"/>
    </row>
    <row r="29858" spans="30:30" x14ac:dyDescent="0.25">
      <c r="AD29858"/>
    </row>
    <row r="29859" spans="30:30" x14ac:dyDescent="0.25">
      <c r="AD29859"/>
    </row>
    <row r="29860" spans="30:30" x14ac:dyDescent="0.25">
      <c r="AD29860"/>
    </row>
    <row r="29861" spans="30:30" x14ac:dyDescent="0.25">
      <c r="AD29861"/>
    </row>
    <row r="29862" spans="30:30" x14ac:dyDescent="0.25">
      <c r="AD29862"/>
    </row>
    <row r="29863" spans="30:30" x14ac:dyDescent="0.25">
      <c r="AD29863"/>
    </row>
    <row r="29864" spans="30:30" x14ac:dyDescent="0.25">
      <c r="AD29864"/>
    </row>
    <row r="29865" spans="30:30" x14ac:dyDescent="0.25">
      <c r="AD29865"/>
    </row>
    <row r="29866" spans="30:30" x14ac:dyDescent="0.25">
      <c r="AD29866"/>
    </row>
    <row r="29867" spans="30:30" x14ac:dyDescent="0.25">
      <c r="AD29867"/>
    </row>
    <row r="29868" spans="30:30" x14ac:dyDescent="0.25">
      <c r="AD29868"/>
    </row>
    <row r="29869" spans="30:30" x14ac:dyDescent="0.25">
      <c r="AD29869"/>
    </row>
    <row r="29870" spans="30:30" x14ac:dyDescent="0.25">
      <c r="AD29870"/>
    </row>
    <row r="29871" spans="30:30" x14ac:dyDescent="0.25">
      <c r="AD29871"/>
    </row>
    <row r="29872" spans="30:30" x14ac:dyDescent="0.25">
      <c r="AD29872"/>
    </row>
    <row r="29873" spans="30:30" x14ac:dyDescent="0.25">
      <c r="AD29873"/>
    </row>
    <row r="29874" spans="30:30" x14ac:dyDescent="0.25">
      <c r="AD29874"/>
    </row>
    <row r="29875" spans="30:30" x14ac:dyDescent="0.25">
      <c r="AD29875"/>
    </row>
    <row r="29876" spans="30:30" x14ac:dyDescent="0.25">
      <c r="AD29876"/>
    </row>
    <row r="29877" spans="30:30" x14ac:dyDescent="0.25">
      <c r="AD29877"/>
    </row>
    <row r="29878" spans="30:30" x14ac:dyDescent="0.25">
      <c r="AD29878"/>
    </row>
    <row r="29879" spans="30:30" x14ac:dyDescent="0.25">
      <c r="AD29879"/>
    </row>
    <row r="29880" spans="30:30" x14ac:dyDescent="0.25">
      <c r="AD29880"/>
    </row>
    <row r="29881" spans="30:30" x14ac:dyDescent="0.25">
      <c r="AD29881"/>
    </row>
    <row r="29882" spans="30:30" x14ac:dyDescent="0.25">
      <c r="AD29882"/>
    </row>
    <row r="29883" spans="30:30" x14ac:dyDescent="0.25">
      <c r="AD29883"/>
    </row>
    <row r="29884" spans="30:30" x14ac:dyDescent="0.25">
      <c r="AD29884"/>
    </row>
    <row r="29885" spans="30:30" x14ac:dyDescent="0.25">
      <c r="AD29885"/>
    </row>
    <row r="29886" spans="30:30" x14ac:dyDescent="0.25">
      <c r="AD29886"/>
    </row>
    <row r="29887" spans="30:30" x14ac:dyDescent="0.25">
      <c r="AD29887"/>
    </row>
    <row r="29888" spans="30:30" x14ac:dyDescent="0.25">
      <c r="AD29888"/>
    </row>
    <row r="29889" spans="30:30" x14ac:dyDescent="0.25">
      <c r="AD29889"/>
    </row>
    <row r="29890" spans="30:30" x14ac:dyDescent="0.25">
      <c r="AD29890"/>
    </row>
    <row r="29891" spans="30:30" x14ac:dyDescent="0.25">
      <c r="AD29891"/>
    </row>
    <row r="29892" spans="30:30" x14ac:dyDescent="0.25">
      <c r="AD29892"/>
    </row>
    <row r="29893" spans="30:30" x14ac:dyDescent="0.25">
      <c r="AD29893"/>
    </row>
    <row r="29894" spans="30:30" x14ac:dyDescent="0.25">
      <c r="AD29894"/>
    </row>
    <row r="29895" spans="30:30" x14ac:dyDescent="0.25">
      <c r="AD29895"/>
    </row>
    <row r="29896" spans="30:30" x14ac:dyDescent="0.25">
      <c r="AD29896"/>
    </row>
    <row r="29897" spans="30:30" x14ac:dyDescent="0.25">
      <c r="AD29897"/>
    </row>
    <row r="29898" spans="30:30" x14ac:dyDescent="0.25">
      <c r="AD29898"/>
    </row>
    <row r="29899" spans="30:30" x14ac:dyDescent="0.25">
      <c r="AD29899"/>
    </row>
    <row r="29900" spans="30:30" x14ac:dyDescent="0.25">
      <c r="AD29900"/>
    </row>
    <row r="29901" spans="30:30" x14ac:dyDescent="0.25">
      <c r="AD29901"/>
    </row>
    <row r="29902" spans="30:30" x14ac:dyDescent="0.25">
      <c r="AD29902"/>
    </row>
    <row r="29903" spans="30:30" x14ac:dyDescent="0.25">
      <c r="AD29903"/>
    </row>
    <row r="29904" spans="30:30" x14ac:dyDescent="0.25">
      <c r="AD29904"/>
    </row>
    <row r="29905" spans="30:30" x14ac:dyDescent="0.25">
      <c r="AD29905"/>
    </row>
    <row r="29906" spans="30:30" x14ac:dyDescent="0.25">
      <c r="AD29906"/>
    </row>
    <row r="29907" spans="30:30" x14ac:dyDescent="0.25">
      <c r="AD29907"/>
    </row>
    <row r="29908" spans="30:30" x14ac:dyDescent="0.25">
      <c r="AD29908"/>
    </row>
    <row r="29909" spans="30:30" x14ac:dyDescent="0.25">
      <c r="AD29909"/>
    </row>
    <row r="29910" spans="30:30" x14ac:dyDescent="0.25">
      <c r="AD29910"/>
    </row>
    <row r="29911" spans="30:30" x14ac:dyDescent="0.25">
      <c r="AD29911"/>
    </row>
    <row r="29912" spans="30:30" x14ac:dyDescent="0.25">
      <c r="AD29912"/>
    </row>
    <row r="29913" spans="30:30" x14ac:dyDescent="0.25">
      <c r="AD29913"/>
    </row>
    <row r="29914" spans="30:30" x14ac:dyDescent="0.25">
      <c r="AD29914"/>
    </row>
    <row r="29915" spans="30:30" x14ac:dyDescent="0.25">
      <c r="AD29915"/>
    </row>
    <row r="29916" spans="30:30" x14ac:dyDescent="0.25">
      <c r="AD29916"/>
    </row>
    <row r="29917" spans="30:30" x14ac:dyDescent="0.25">
      <c r="AD29917"/>
    </row>
    <row r="29918" spans="30:30" x14ac:dyDescent="0.25">
      <c r="AD29918"/>
    </row>
    <row r="29919" spans="30:30" x14ac:dyDescent="0.25">
      <c r="AD29919"/>
    </row>
    <row r="29920" spans="30:30" x14ac:dyDescent="0.25">
      <c r="AD29920"/>
    </row>
    <row r="29921" spans="30:30" x14ac:dyDescent="0.25">
      <c r="AD29921"/>
    </row>
    <row r="29922" spans="30:30" x14ac:dyDescent="0.25">
      <c r="AD29922"/>
    </row>
    <row r="29923" spans="30:30" x14ac:dyDescent="0.25">
      <c r="AD29923"/>
    </row>
    <row r="29924" spans="30:30" x14ac:dyDescent="0.25">
      <c r="AD29924"/>
    </row>
    <row r="29925" spans="30:30" x14ac:dyDescent="0.25">
      <c r="AD29925"/>
    </row>
    <row r="29926" spans="30:30" x14ac:dyDescent="0.25">
      <c r="AD29926"/>
    </row>
    <row r="29927" spans="30:30" x14ac:dyDescent="0.25">
      <c r="AD29927"/>
    </row>
    <row r="29928" spans="30:30" x14ac:dyDescent="0.25">
      <c r="AD29928"/>
    </row>
    <row r="29929" spans="30:30" x14ac:dyDescent="0.25">
      <c r="AD29929"/>
    </row>
    <row r="29930" spans="30:30" x14ac:dyDescent="0.25">
      <c r="AD29930"/>
    </row>
    <row r="29931" spans="30:30" x14ac:dyDescent="0.25">
      <c r="AD29931"/>
    </row>
    <row r="29932" spans="30:30" x14ac:dyDescent="0.25">
      <c r="AD29932"/>
    </row>
    <row r="29933" spans="30:30" x14ac:dyDescent="0.25">
      <c r="AD29933"/>
    </row>
    <row r="29934" spans="30:30" x14ac:dyDescent="0.25">
      <c r="AD29934"/>
    </row>
    <row r="29935" spans="30:30" x14ac:dyDescent="0.25">
      <c r="AD29935"/>
    </row>
    <row r="29936" spans="30:30" x14ac:dyDescent="0.25">
      <c r="AD29936"/>
    </row>
    <row r="29937" spans="30:30" x14ac:dyDescent="0.25">
      <c r="AD29937"/>
    </row>
    <row r="29938" spans="30:30" x14ac:dyDescent="0.25">
      <c r="AD29938"/>
    </row>
    <row r="29939" spans="30:30" x14ac:dyDescent="0.25">
      <c r="AD29939"/>
    </row>
    <row r="29940" spans="30:30" x14ac:dyDescent="0.25">
      <c r="AD29940"/>
    </row>
    <row r="29941" spans="30:30" x14ac:dyDescent="0.25">
      <c r="AD29941"/>
    </row>
    <row r="29942" spans="30:30" x14ac:dyDescent="0.25">
      <c r="AD29942"/>
    </row>
    <row r="29943" spans="30:30" x14ac:dyDescent="0.25">
      <c r="AD29943"/>
    </row>
    <row r="29944" spans="30:30" x14ac:dyDescent="0.25">
      <c r="AD29944"/>
    </row>
    <row r="29945" spans="30:30" x14ac:dyDescent="0.25">
      <c r="AD29945"/>
    </row>
    <row r="29946" spans="30:30" x14ac:dyDescent="0.25">
      <c r="AD29946"/>
    </row>
    <row r="29947" spans="30:30" x14ac:dyDescent="0.25">
      <c r="AD29947"/>
    </row>
    <row r="29948" spans="30:30" x14ac:dyDescent="0.25">
      <c r="AD29948"/>
    </row>
    <row r="29949" spans="30:30" x14ac:dyDescent="0.25">
      <c r="AD29949"/>
    </row>
    <row r="29950" spans="30:30" x14ac:dyDescent="0.25">
      <c r="AD29950"/>
    </row>
    <row r="29951" spans="30:30" x14ac:dyDescent="0.25">
      <c r="AD29951"/>
    </row>
    <row r="29952" spans="30:30" x14ac:dyDescent="0.25">
      <c r="AD29952"/>
    </row>
    <row r="29953" spans="30:30" x14ac:dyDescent="0.25">
      <c r="AD29953"/>
    </row>
    <row r="29954" spans="30:30" x14ac:dyDescent="0.25">
      <c r="AD29954"/>
    </row>
    <row r="29955" spans="30:30" x14ac:dyDescent="0.25">
      <c r="AD29955"/>
    </row>
    <row r="29956" spans="30:30" x14ac:dyDescent="0.25">
      <c r="AD29956"/>
    </row>
    <row r="29957" spans="30:30" x14ac:dyDescent="0.25">
      <c r="AD29957"/>
    </row>
    <row r="29958" spans="30:30" x14ac:dyDescent="0.25">
      <c r="AD29958"/>
    </row>
    <row r="29959" spans="30:30" x14ac:dyDescent="0.25">
      <c r="AD29959"/>
    </row>
    <row r="29960" spans="30:30" x14ac:dyDescent="0.25">
      <c r="AD29960"/>
    </row>
    <row r="29961" spans="30:30" x14ac:dyDescent="0.25">
      <c r="AD29961"/>
    </row>
    <row r="29962" spans="30:30" x14ac:dyDescent="0.25">
      <c r="AD29962"/>
    </row>
    <row r="29963" spans="30:30" x14ac:dyDescent="0.25">
      <c r="AD29963"/>
    </row>
    <row r="29964" spans="30:30" x14ac:dyDescent="0.25">
      <c r="AD29964"/>
    </row>
    <row r="29965" spans="30:30" x14ac:dyDescent="0.25">
      <c r="AD29965"/>
    </row>
    <row r="29966" spans="30:30" x14ac:dyDescent="0.25">
      <c r="AD29966"/>
    </row>
    <row r="29967" spans="30:30" x14ac:dyDescent="0.25">
      <c r="AD29967"/>
    </row>
    <row r="29968" spans="30:30" x14ac:dyDescent="0.25">
      <c r="AD29968"/>
    </row>
    <row r="29969" spans="30:30" x14ac:dyDescent="0.25">
      <c r="AD29969"/>
    </row>
    <row r="29970" spans="30:30" x14ac:dyDescent="0.25">
      <c r="AD29970"/>
    </row>
    <row r="29971" spans="30:30" x14ac:dyDescent="0.25">
      <c r="AD29971"/>
    </row>
    <row r="29972" spans="30:30" x14ac:dyDescent="0.25">
      <c r="AD29972"/>
    </row>
    <row r="29973" spans="30:30" x14ac:dyDescent="0.25">
      <c r="AD29973"/>
    </row>
    <row r="29974" spans="30:30" x14ac:dyDescent="0.25">
      <c r="AD29974"/>
    </row>
    <row r="29975" spans="30:30" x14ac:dyDescent="0.25">
      <c r="AD29975"/>
    </row>
    <row r="29976" spans="30:30" x14ac:dyDescent="0.25">
      <c r="AD29976"/>
    </row>
    <row r="29977" spans="30:30" x14ac:dyDescent="0.25">
      <c r="AD29977"/>
    </row>
    <row r="29978" spans="30:30" x14ac:dyDescent="0.25">
      <c r="AD29978"/>
    </row>
    <row r="29979" spans="30:30" x14ac:dyDescent="0.25">
      <c r="AD29979"/>
    </row>
    <row r="29980" spans="30:30" x14ac:dyDescent="0.25">
      <c r="AD29980"/>
    </row>
    <row r="29981" spans="30:30" x14ac:dyDescent="0.25">
      <c r="AD29981"/>
    </row>
    <row r="29982" spans="30:30" x14ac:dyDescent="0.25">
      <c r="AD29982"/>
    </row>
    <row r="29983" spans="30:30" x14ac:dyDescent="0.25">
      <c r="AD29983"/>
    </row>
    <row r="29984" spans="30:30" x14ac:dyDescent="0.25">
      <c r="AD29984"/>
    </row>
    <row r="29985" spans="30:30" x14ac:dyDescent="0.25">
      <c r="AD29985"/>
    </row>
    <row r="29986" spans="30:30" x14ac:dyDescent="0.25">
      <c r="AD29986"/>
    </row>
    <row r="29987" spans="30:30" x14ac:dyDescent="0.25">
      <c r="AD29987"/>
    </row>
    <row r="29988" spans="30:30" x14ac:dyDescent="0.25">
      <c r="AD29988"/>
    </row>
    <row r="29989" spans="30:30" x14ac:dyDescent="0.25">
      <c r="AD29989"/>
    </row>
    <row r="29990" spans="30:30" x14ac:dyDescent="0.25">
      <c r="AD29990"/>
    </row>
    <row r="29991" spans="30:30" x14ac:dyDescent="0.25">
      <c r="AD29991"/>
    </row>
    <row r="29992" spans="30:30" x14ac:dyDescent="0.25">
      <c r="AD29992"/>
    </row>
    <row r="29993" spans="30:30" x14ac:dyDescent="0.25">
      <c r="AD29993"/>
    </row>
    <row r="29994" spans="30:30" x14ac:dyDescent="0.25">
      <c r="AD29994"/>
    </row>
    <row r="29995" spans="30:30" x14ac:dyDescent="0.25">
      <c r="AD29995"/>
    </row>
    <row r="29996" spans="30:30" x14ac:dyDescent="0.25">
      <c r="AD29996"/>
    </row>
    <row r="29997" spans="30:30" x14ac:dyDescent="0.25">
      <c r="AD29997"/>
    </row>
    <row r="29998" spans="30:30" x14ac:dyDescent="0.25">
      <c r="AD29998"/>
    </row>
    <row r="29999" spans="30:30" x14ac:dyDescent="0.25">
      <c r="AD29999"/>
    </row>
    <row r="30000" spans="30:30" x14ac:dyDescent="0.25">
      <c r="AD30000"/>
    </row>
    <row r="30001" spans="30:30" x14ac:dyDescent="0.25">
      <c r="AD30001"/>
    </row>
    <row r="30002" spans="30:30" x14ac:dyDescent="0.25">
      <c r="AD30002"/>
    </row>
    <row r="30003" spans="30:30" x14ac:dyDescent="0.25">
      <c r="AD30003"/>
    </row>
    <row r="30004" spans="30:30" x14ac:dyDescent="0.25">
      <c r="AD30004"/>
    </row>
    <row r="30005" spans="30:30" x14ac:dyDescent="0.25">
      <c r="AD30005"/>
    </row>
    <row r="30006" spans="30:30" x14ac:dyDescent="0.25">
      <c r="AD30006"/>
    </row>
    <row r="30007" spans="30:30" x14ac:dyDescent="0.25">
      <c r="AD30007"/>
    </row>
    <row r="30008" spans="30:30" x14ac:dyDescent="0.25">
      <c r="AD30008"/>
    </row>
    <row r="30009" spans="30:30" x14ac:dyDescent="0.25">
      <c r="AD30009"/>
    </row>
    <row r="30010" spans="30:30" x14ac:dyDescent="0.25">
      <c r="AD30010"/>
    </row>
    <row r="30011" spans="30:30" x14ac:dyDescent="0.25">
      <c r="AD30011"/>
    </row>
    <row r="30012" spans="30:30" x14ac:dyDescent="0.25">
      <c r="AD30012"/>
    </row>
    <row r="30013" spans="30:30" x14ac:dyDescent="0.25">
      <c r="AD30013"/>
    </row>
    <row r="30014" spans="30:30" x14ac:dyDescent="0.25">
      <c r="AD30014"/>
    </row>
    <row r="30015" spans="30:30" x14ac:dyDescent="0.25">
      <c r="AD30015"/>
    </row>
    <row r="30016" spans="30:30" x14ac:dyDescent="0.25">
      <c r="AD30016"/>
    </row>
    <row r="30017" spans="30:30" x14ac:dyDescent="0.25">
      <c r="AD30017"/>
    </row>
    <row r="30018" spans="30:30" x14ac:dyDescent="0.25">
      <c r="AD30018"/>
    </row>
    <row r="30019" spans="30:30" x14ac:dyDescent="0.25">
      <c r="AD30019"/>
    </row>
    <row r="30020" spans="30:30" x14ac:dyDescent="0.25">
      <c r="AD30020"/>
    </row>
    <row r="30021" spans="30:30" x14ac:dyDescent="0.25">
      <c r="AD30021"/>
    </row>
    <row r="30022" spans="30:30" x14ac:dyDescent="0.25">
      <c r="AD30022"/>
    </row>
    <row r="30023" spans="30:30" x14ac:dyDescent="0.25">
      <c r="AD30023"/>
    </row>
    <row r="30024" spans="30:30" x14ac:dyDescent="0.25">
      <c r="AD30024"/>
    </row>
    <row r="30025" spans="30:30" x14ac:dyDescent="0.25">
      <c r="AD30025"/>
    </row>
    <row r="30026" spans="30:30" x14ac:dyDescent="0.25">
      <c r="AD30026"/>
    </row>
    <row r="30027" spans="30:30" x14ac:dyDescent="0.25">
      <c r="AD30027"/>
    </row>
    <row r="30028" spans="30:30" x14ac:dyDescent="0.25">
      <c r="AD30028"/>
    </row>
    <row r="30029" spans="30:30" x14ac:dyDescent="0.25">
      <c r="AD30029"/>
    </row>
    <row r="30030" spans="30:30" x14ac:dyDescent="0.25">
      <c r="AD30030"/>
    </row>
    <row r="30031" spans="30:30" x14ac:dyDescent="0.25">
      <c r="AD30031"/>
    </row>
    <row r="30032" spans="30:30" x14ac:dyDescent="0.25">
      <c r="AD30032"/>
    </row>
    <row r="30033" spans="30:30" x14ac:dyDescent="0.25">
      <c r="AD30033"/>
    </row>
    <row r="30034" spans="30:30" x14ac:dyDescent="0.25">
      <c r="AD30034"/>
    </row>
    <row r="30035" spans="30:30" x14ac:dyDescent="0.25">
      <c r="AD30035"/>
    </row>
    <row r="30036" spans="30:30" x14ac:dyDescent="0.25">
      <c r="AD30036"/>
    </row>
    <row r="30037" spans="30:30" x14ac:dyDescent="0.25">
      <c r="AD30037"/>
    </row>
    <row r="30038" spans="30:30" x14ac:dyDescent="0.25">
      <c r="AD30038"/>
    </row>
    <row r="30039" spans="30:30" x14ac:dyDescent="0.25">
      <c r="AD30039"/>
    </row>
    <row r="30040" spans="30:30" x14ac:dyDescent="0.25">
      <c r="AD30040"/>
    </row>
    <row r="30041" spans="30:30" x14ac:dyDescent="0.25">
      <c r="AD30041"/>
    </row>
    <row r="30042" spans="30:30" x14ac:dyDescent="0.25">
      <c r="AD30042"/>
    </row>
    <row r="30043" spans="30:30" x14ac:dyDescent="0.25">
      <c r="AD30043"/>
    </row>
    <row r="30044" spans="30:30" x14ac:dyDescent="0.25">
      <c r="AD30044"/>
    </row>
    <row r="30045" spans="30:30" x14ac:dyDescent="0.25">
      <c r="AD30045"/>
    </row>
    <row r="30046" spans="30:30" x14ac:dyDescent="0.25">
      <c r="AD30046"/>
    </row>
    <row r="30047" spans="30:30" x14ac:dyDescent="0.25">
      <c r="AD30047"/>
    </row>
    <row r="30048" spans="30:30" x14ac:dyDescent="0.25">
      <c r="AD30048"/>
    </row>
    <row r="30049" spans="30:30" x14ac:dyDescent="0.25">
      <c r="AD30049"/>
    </row>
    <row r="30050" spans="30:30" x14ac:dyDescent="0.25">
      <c r="AD30050"/>
    </row>
    <row r="30051" spans="30:30" x14ac:dyDescent="0.25">
      <c r="AD30051"/>
    </row>
    <row r="30052" spans="30:30" x14ac:dyDescent="0.25">
      <c r="AD30052"/>
    </row>
    <row r="30053" spans="30:30" x14ac:dyDescent="0.25">
      <c r="AD30053"/>
    </row>
    <row r="30054" spans="30:30" x14ac:dyDescent="0.25">
      <c r="AD30054"/>
    </row>
    <row r="30055" spans="30:30" x14ac:dyDescent="0.25">
      <c r="AD30055"/>
    </row>
    <row r="30056" spans="30:30" x14ac:dyDescent="0.25">
      <c r="AD30056"/>
    </row>
    <row r="30057" spans="30:30" x14ac:dyDescent="0.25">
      <c r="AD30057"/>
    </row>
    <row r="30058" spans="30:30" x14ac:dyDescent="0.25">
      <c r="AD30058"/>
    </row>
    <row r="30059" spans="30:30" x14ac:dyDescent="0.25">
      <c r="AD30059"/>
    </row>
    <row r="30060" spans="30:30" x14ac:dyDescent="0.25">
      <c r="AD30060"/>
    </row>
    <row r="30061" spans="30:30" x14ac:dyDescent="0.25">
      <c r="AD30061"/>
    </row>
    <row r="30062" spans="30:30" x14ac:dyDescent="0.25">
      <c r="AD30062"/>
    </row>
    <row r="30063" spans="30:30" x14ac:dyDescent="0.25">
      <c r="AD30063"/>
    </row>
    <row r="30064" spans="30:30" x14ac:dyDescent="0.25">
      <c r="AD30064"/>
    </row>
    <row r="30065" spans="30:30" x14ac:dyDescent="0.25">
      <c r="AD30065"/>
    </row>
    <row r="30066" spans="30:30" x14ac:dyDescent="0.25">
      <c r="AD30066"/>
    </row>
    <row r="30067" spans="30:30" x14ac:dyDescent="0.25">
      <c r="AD30067"/>
    </row>
    <row r="30068" spans="30:30" x14ac:dyDescent="0.25">
      <c r="AD30068"/>
    </row>
    <row r="30069" spans="30:30" x14ac:dyDescent="0.25">
      <c r="AD30069"/>
    </row>
    <row r="30070" spans="30:30" x14ac:dyDescent="0.25">
      <c r="AD30070"/>
    </row>
    <row r="30071" spans="30:30" x14ac:dyDescent="0.25">
      <c r="AD30071"/>
    </row>
    <row r="30072" spans="30:30" x14ac:dyDescent="0.25">
      <c r="AD30072"/>
    </row>
    <row r="30073" spans="30:30" x14ac:dyDescent="0.25">
      <c r="AD30073"/>
    </row>
    <row r="30074" spans="30:30" x14ac:dyDescent="0.25">
      <c r="AD30074"/>
    </row>
    <row r="30075" spans="30:30" x14ac:dyDescent="0.25">
      <c r="AD30075"/>
    </row>
    <row r="30076" spans="30:30" x14ac:dyDescent="0.25">
      <c r="AD30076"/>
    </row>
    <row r="30077" spans="30:30" x14ac:dyDescent="0.25">
      <c r="AD30077"/>
    </row>
    <row r="30078" spans="30:30" x14ac:dyDescent="0.25">
      <c r="AD30078"/>
    </row>
    <row r="30079" spans="30:30" x14ac:dyDescent="0.25">
      <c r="AD30079"/>
    </row>
    <row r="30080" spans="30:30" x14ac:dyDescent="0.25">
      <c r="AD30080"/>
    </row>
    <row r="30081" spans="30:30" x14ac:dyDescent="0.25">
      <c r="AD30081"/>
    </row>
    <row r="30082" spans="30:30" x14ac:dyDescent="0.25">
      <c r="AD30082"/>
    </row>
    <row r="30083" spans="30:30" x14ac:dyDescent="0.25">
      <c r="AD30083"/>
    </row>
    <row r="30084" spans="30:30" x14ac:dyDescent="0.25">
      <c r="AD30084"/>
    </row>
    <row r="30085" spans="30:30" x14ac:dyDescent="0.25">
      <c r="AD30085"/>
    </row>
    <row r="30086" spans="30:30" x14ac:dyDescent="0.25">
      <c r="AD30086"/>
    </row>
    <row r="30087" spans="30:30" x14ac:dyDescent="0.25">
      <c r="AD30087"/>
    </row>
    <row r="30088" spans="30:30" x14ac:dyDescent="0.25">
      <c r="AD30088"/>
    </row>
    <row r="30089" spans="30:30" x14ac:dyDescent="0.25">
      <c r="AD30089"/>
    </row>
    <row r="30090" spans="30:30" x14ac:dyDescent="0.25">
      <c r="AD30090"/>
    </row>
    <row r="30091" spans="30:30" x14ac:dyDescent="0.25">
      <c r="AD30091"/>
    </row>
    <row r="30092" spans="30:30" x14ac:dyDescent="0.25">
      <c r="AD30092"/>
    </row>
    <row r="30093" spans="30:30" x14ac:dyDescent="0.25">
      <c r="AD30093"/>
    </row>
    <row r="30094" spans="30:30" x14ac:dyDescent="0.25">
      <c r="AD30094"/>
    </row>
    <row r="30095" spans="30:30" x14ac:dyDescent="0.25">
      <c r="AD30095"/>
    </row>
    <row r="30096" spans="30:30" x14ac:dyDescent="0.25">
      <c r="AD30096"/>
    </row>
    <row r="30097" spans="30:30" x14ac:dyDescent="0.25">
      <c r="AD30097"/>
    </row>
    <row r="30098" spans="30:30" x14ac:dyDescent="0.25">
      <c r="AD30098"/>
    </row>
    <row r="30099" spans="30:30" x14ac:dyDescent="0.25">
      <c r="AD30099"/>
    </row>
    <row r="30100" spans="30:30" x14ac:dyDescent="0.25">
      <c r="AD30100"/>
    </row>
    <row r="30101" spans="30:30" x14ac:dyDescent="0.25">
      <c r="AD30101"/>
    </row>
    <row r="30102" spans="30:30" x14ac:dyDescent="0.25">
      <c r="AD30102"/>
    </row>
    <row r="30103" spans="30:30" x14ac:dyDescent="0.25">
      <c r="AD30103"/>
    </row>
    <row r="30104" spans="30:30" x14ac:dyDescent="0.25">
      <c r="AD30104"/>
    </row>
    <row r="30105" spans="30:30" x14ac:dyDescent="0.25">
      <c r="AD30105"/>
    </row>
    <row r="30106" spans="30:30" x14ac:dyDescent="0.25">
      <c r="AD30106"/>
    </row>
    <row r="30107" spans="30:30" x14ac:dyDescent="0.25">
      <c r="AD30107"/>
    </row>
    <row r="30108" spans="30:30" x14ac:dyDescent="0.25">
      <c r="AD30108"/>
    </row>
    <row r="30109" spans="30:30" x14ac:dyDescent="0.25">
      <c r="AD30109"/>
    </row>
    <row r="30110" spans="30:30" x14ac:dyDescent="0.25">
      <c r="AD30110"/>
    </row>
    <row r="30111" spans="30:30" x14ac:dyDescent="0.25">
      <c r="AD30111"/>
    </row>
    <row r="30112" spans="30:30" x14ac:dyDescent="0.25">
      <c r="AD30112"/>
    </row>
    <row r="30113" spans="30:30" x14ac:dyDescent="0.25">
      <c r="AD30113"/>
    </row>
    <row r="30114" spans="30:30" x14ac:dyDescent="0.25">
      <c r="AD30114"/>
    </row>
    <row r="30115" spans="30:30" x14ac:dyDescent="0.25">
      <c r="AD30115"/>
    </row>
    <row r="30116" spans="30:30" x14ac:dyDescent="0.25">
      <c r="AD30116"/>
    </row>
    <row r="30117" spans="30:30" x14ac:dyDescent="0.25">
      <c r="AD30117"/>
    </row>
    <row r="30118" spans="30:30" x14ac:dyDescent="0.25">
      <c r="AD30118"/>
    </row>
    <row r="30119" spans="30:30" x14ac:dyDescent="0.25">
      <c r="AD30119"/>
    </row>
    <row r="30120" spans="30:30" x14ac:dyDescent="0.25">
      <c r="AD30120"/>
    </row>
    <row r="30121" spans="30:30" x14ac:dyDescent="0.25">
      <c r="AD30121"/>
    </row>
    <row r="30122" spans="30:30" x14ac:dyDescent="0.25">
      <c r="AD30122"/>
    </row>
    <row r="30123" spans="30:30" x14ac:dyDescent="0.25">
      <c r="AD30123"/>
    </row>
    <row r="30124" spans="30:30" x14ac:dyDescent="0.25">
      <c r="AD30124"/>
    </row>
    <row r="30125" spans="30:30" x14ac:dyDescent="0.25">
      <c r="AD30125"/>
    </row>
    <row r="30126" spans="30:30" x14ac:dyDescent="0.25">
      <c r="AD30126"/>
    </row>
    <row r="30127" spans="30:30" x14ac:dyDescent="0.25">
      <c r="AD30127"/>
    </row>
    <row r="30128" spans="30:30" x14ac:dyDescent="0.25">
      <c r="AD30128"/>
    </row>
    <row r="30129" spans="30:30" x14ac:dyDescent="0.25">
      <c r="AD30129"/>
    </row>
    <row r="30130" spans="30:30" x14ac:dyDescent="0.25">
      <c r="AD30130"/>
    </row>
    <row r="30131" spans="30:30" x14ac:dyDescent="0.25">
      <c r="AD30131"/>
    </row>
    <row r="30132" spans="30:30" x14ac:dyDescent="0.25">
      <c r="AD30132"/>
    </row>
    <row r="30133" spans="30:30" x14ac:dyDescent="0.25">
      <c r="AD30133"/>
    </row>
    <row r="30134" spans="30:30" x14ac:dyDescent="0.25">
      <c r="AD30134"/>
    </row>
    <row r="30135" spans="30:30" x14ac:dyDescent="0.25">
      <c r="AD30135"/>
    </row>
    <row r="30136" spans="30:30" x14ac:dyDescent="0.25">
      <c r="AD30136"/>
    </row>
    <row r="30137" spans="30:30" x14ac:dyDescent="0.25">
      <c r="AD30137"/>
    </row>
    <row r="30138" spans="30:30" x14ac:dyDescent="0.25">
      <c r="AD30138"/>
    </row>
    <row r="30139" spans="30:30" x14ac:dyDescent="0.25">
      <c r="AD30139"/>
    </row>
    <row r="30140" spans="30:30" x14ac:dyDescent="0.25">
      <c r="AD30140"/>
    </row>
    <row r="30141" spans="30:30" x14ac:dyDescent="0.25">
      <c r="AD30141"/>
    </row>
    <row r="30142" spans="30:30" x14ac:dyDescent="0.25">
      <c r="AD30142"/>
    </row>
    <row r="30143" spans="30:30" x14ac:dyDescent="0.25">
      <c r="AD30143"/>
    </row>
    <row r="30144" spans="30:30" x14ac:dyDescent="0.25">
      <c r="AD30144"/>
    </row>
    <row r="30145" spans="30:30" x14ac:dyDescent="0.25">
      <c r="AD30145"/>
    </row>
    <row r="30146" spans="30:30" x14ac:dyDescent="0.25">
      <c r="AD30146"/>
    </row>
    <row r="30147" spans="30:30" x14ac:dyDescent="0.25">
      <c r="AD30147"/>
    </row>
    <row r="30148" spans="30:30" x14ac:dyDescent="0.25">
      <c r="AD30148"/>
    </row>
    <row r="30149" spans="30:30" x14ac:dyDescent="0.25">
      <c r="AD30149"/>
    </row>
    <row r="30150" spans="30:30" x14ac:dyDescent="0.25">
      <c r="AD30150"/>
    </row>
    <row r="30151" spans="30:30" x14ac:dyDescent="0.25">
      <c r="AD30151"/>
    </row>
    <row r="30152" spans="30:30" x14ac:dyDescent="0.25">
      <c r="AD30152"/>
    </row>
    <row r="30153" spans="30:30" x14ac:dyDescent="0.25">
      <c r="AD30153"/>
    </row>
    <row r="30154" spans="30:30" x14ac:dyDescent="0.25">
      <c r="AD30154"/>
    </row>
    <row r="30155" spans="30:30" x14ac:dyDescent="0.25">
      <c r="AD30155"/>
    </row>
    <row r="30156" spans="30:30" x14ac:dyDescent="0.25">
      <c r="AD30156"/>
    </row>
    <row r="30157" spans="30:30" x14ac:dyDescent="0.25">
      <c r="AD30157"/>
    </row>
    <row r="30158" spans="30:30" x14ac:dyDescent="0.25">
      <c r="AD30158"/>
    </row>
    <row r="30159" spans="30:30" x14ac:dyDescent="0.25">
      <c r="AD30159"/>
    </row>
    <row r="30160" spans="30:30" x14ac:dyDescent="0.25">
      <c r="AD30160"/>
    </row>
    <row r="30161" spans="30:30" x14ac:dyDescent="0.25">
      <c r="AD30161"/>
    </row>
    <row r="30162" spans="30:30" x14ac:dyDescent="0.25">
      <c r="AD30162"/>
    </row>
    <row r="30163" spans="30:30" x14ac:dyDescent="0.25">
      <c r="AD30163"/>
    </row>
    <row r="30164" spans="30:30" x14ac:dyDescent="0.25">
      <c r="AD30164"/>
    </row>
    <row r="30165" spans="30:30" x14ac:dyDescent="0.25">
      <c r="AD30165"/>
    </row>
    <row r="30166" spans="30:30" x14ac:dyDescent="0.25">
      <c r="AD30166"/>
    </row>
    <row r="30167" spans="30:30" x14ac:dyDescent="0.25">
      <c r="AD30167"/>
    </row>
    <row r="30168" spans="30:30" x14ac:dyDescent="0.25">
      <c r="AD30168"/>
    </row>
    <row r="30169" spans="30:30" x14ac:dyDescent="0.25">
      <c r="AD30169"/>
    </row>
    <row r="30170" spans="30:30" x14ac:dyDescent="0.25">
      <c r="AD30170"/>
    </row>
    <row r="30171" spans="30:30" x14ac:dyDescent="0.25">
      <c r="AD30171"/>
    </row>
    <row r="30172" spans="30:30" x14ac:dyDescent="0.25">
      <c r="AD30172"/>
    </row>
    <row r="30173" spans="30:30" x14ac:dyDescent="0.25">
      <c r="AD30173"/>
    </row>
    <row r="30174" spans="30:30" x14ac:dyDescent="0.25">
      <c r="AD30174"/>
    </row>
    <row r="30175" spans="30:30" x14ac:dyDescent="0.25">
      <c r="AD30175"/>
    </row>
    <row r="30176" spans="30:30" x14ac:dyDescent="0.25">
      <c r="AD30176"/>
    </row>
    <row r="30177" spans="30:30" x14ac:dyDescent="0.25">
      <c r="AD30177"/>
    </row>
    <row r="30178" spans="30:30" x14ac:dyDescent="0.25">
      <c r="AD30178"/>
    </row>
    <row r="30179" spans="30:30" x14ac:dyDescent="0.25">
      <c r="AD30179"/>
    </row>
    <row r="30180" spans="30:30" x14ac:dyDescent="0.25">
      <c r="AD30180"/>
    </row>
    <row r="30181" spans="30:30" x14ac:dyDescent="0.25">
      <c r="AD30181"/>
    </row>
    <row r="30182" spans="30:30" x14ac:dyDescent="0.25">
      <c r="AD30182"/>
    </row>
    <row r="30183" spans="30:30" x14ac:dyDescent="0.25">
      <c r="AD30183"/>
    </row>
    <row r="30184" spans="30:30" x14ac:dyDescent="0.25">
      <c r="AD30184"/>
    </row>
    <row r="30185" spans="30:30" x14ac:dyDescent="0.25">
      <c r="AD30185"/>
    </row>
    <row r="30186" spans="30:30" x14ac:dyDescent="0.25">
      <c r="AD30186"/>
    </row>
    <row r="30187" spans="30:30" x14ac:dyDescent="0.25">
      <c r="AD30187"/>
    </row>
    <row r="30188" spans="30:30" x14ac:dyDescent="0.25">
      <c r="AD30188"/>
    </row>
    <row r="30189" spans="30:30" x14ac:dyDescent="0.25">
      <c r="AD30189"/>
    </row>
    <row r="30190" spans="30:30" x14ac:dyDescent="0.25">
      <c r="AD30190"/>
    </row>
    <row r="30191" spans="30:30" x14ac:dyDescent="0.25">
      <c r="AD30191"/>
    </row>
    <row r="30192" spans="30:30" x14ac:dyDescent="0.25">
      <c r="AD30192"/>
    </row>
    <row r="30193" spans="30:30" x14ac:dyDescent="0.25">
      <c r="AD30193"/>
    </row>
    <row r="30194" spans="30:30" x14ac:dyDescent="0.25">
      <c r="AD30194"/>
    </row>
    <row r="30195" spans="30:30" x14ac:dyDescent="0.25">
      <c r="AD30195"/>
    </row>
    <row r="30196" spans="30:30" x14ac:dyDescent="0.25">
      <c r="AD30196"/>
    </row>
    <row r="30197" spans="30:30" x14ac:dyDescent="0.25">
      <c r="AD30197"/>
    </row>
    <row r="30198" spans="30:30" x14ac:dyDescent="0.25">
      <c r="AD30198"/>
    </row>
    <row r="30199" spans="30:30" x14ac:dyDescent="0.25">
      <c r="AD30199"/>
    </row>
    <row r="30200" spans="30:30" x14ac:dyDescent="0.25">
      <c r="AD30200"/>
    </row>
    <row r="30201" spans="30:30" x14ac:dyDescent="0.25">
      <c r="AD30201"/>
    </row>
    <row r="30202" spans="30:30" x14ac:dyDescent="0.25">
      <c r="AD30202"/>
    </row>
    <row r="30203" spans="30:30" x14ac:dyDescent="0.25">
      <c r="AD30203"/>
    </row>
    <row r="30204" spans="30:30" x14ac:dyDescent="0.25">
      <c r="AD30204"/>
    </row>
    <row r="30205" spans="30:30" x14ac:dyDescent="0.25">
      <c r="AD30205"/>
    </row>
    <row r="30206" spans="30:30" x14ac:dyDescent="0.25">
      <c r="AD30206"/>
    </row>
    <row r="30207" spans="30:30" x14ac:dyDescent="0.25">
      <c r="AD30207"/>
    </row>
    <row r="30208" spans="30:30" x14ac:dyDescent="0.25">
      <c r="AD30208"/>
    </row>
    <row r="30209" spans="30:30" x14ac:dyDescent="0.25">
      <c r="AD30209"/>
    </row>
    <row r="30210" spans="30:30" x14ac:dyDescent="0.25">
      <c r="AD30210"/>
    </row>
    <row r="30211" spans="30:30" x14ac:dyDescent="0.25">
      <c r="AD30211"/>
    </row>
    <row r="30212" spans="30:30" x14ac:dyDescent="0.25">
      <c r="AD30212"/>
    </row>
    <row r="30213" spans="30:30" x14ac:dyDescent="0.25">
      <c r="AD30213"/>
    </row>
    <row r="30214" spans="30:30" x14ac:dyDescent="0.25">
      <c r="AD30214"/>
    </row>
    <row r="30215" spans="30:30" x14ac:dyDescent="0.25">
      <c r="AD30215"/>
    </row>
    <row r="30216" spans="30:30" x14ac:dyDescent="0.25">
      <c r="AD30216"/>
    </row>
    <row r="30217" spans="30:30" x14ac:dyDescent="0.25">
      <c r="AD30217"/>
    </row>
    <row r="30218" spans="30:30" x14ac:dyDescent="0.25">
      <c r="AD30218"/>
    </row>
    <row r="30219" spans="30:30" x14ac:dyDescent="0.25">
      <c r="AD30219"/>
    </row>
    <row r="30220" spans="30:30" x14ac:dyDescent="0.25">
      <c r="AD30220"/>
    </row>
    <row r="30221" spans="30:30" x14ac:dyDescent="0.25">
      <c r="AD30221"/>
    </row>
    <row r="30222" spans="30:30" x14ac:dyDescent="0.25">
      <c r="AD30222"/>
    </row>
    <row r="30223" spans="30:30" x14ac:dyDescent="0.25">
      <c r="AD30223"/>
    </row>
    <row r="30224" spans="30:30" x14ac:dyDescent="0.25">
      <c r="AD30224"/>
    </row>
    <row r="30225" spans="30:30" x14ac:dyDescent="0.25">
      <c r="AD30225"/>
    </row>
    <row r="30226" spans="30:30" x14ac:dyDescent="0.25">
      <c r="AD30226"/>
    </row>
    <row r="30227" spans="30:30" x14ac:dyDescent="0.25">
      <c r="AD30227"/>
    </row>
    <row r="30228" spans="30:30" x14ac:dyDescent="0.25">
      <c r="AD30228"/>
    </row>
    <row r="30229" spans="30:30" x14ac:dyDescent="0.25">
      <c r="AD30229"/>
    </row>
    <row r="30230" spans="30:30" x14ac:dyDescent="0.25">
      <c r="AD30230"/>
    </row>
    <row r="30231" spans="30:30" x14ac:dyDescent="0.25">
      <c r="AD30231"/>
    </row>
    <row r="30232" spans="30:30" x14ac:dyDescent="0.25">
      <c r="AD30232"/>
    </row>
    <row r="30233" spans="30:30" x14ac:dyDescent="0.25">
      <c r="AD30233"/>
    </row>
    <row r="30234" spans="30:30" x14ac:dyDescent="0.25">
      <c r="AD30234"/>
    </row>
    <row r="30235" spans="30:30" x14ac:dyDescent="0.25">
      <c r="AD30235"/>
    </row>
    <row r="30236" spans="30:30" x14ac:dyDescent="0.25">
      <c r="AD30236"/>
    </row>
    <row r="30237" spans="30:30" x14ac:dyDescent="0.25">
      <c r="AD30237"/>
    </row>
    <row r="30238" spans="30:30" x14ac:dyDescent="0.25">
      <c r="AD30238"/>
    </row>
    <row r="30239" spans="30:30" x14ac:dyDescent="0.25">
      <c r="AD30239"/>
    </row>
    <row r="30240" spans="30:30" x14ac:dyDescent="0.25">
      <c r="AD30240"/>
    </row>
    <row r="30241" spans="30:30" x14ac:dyDescent="0.25">
      <c r="AD30241"/>
    </row>
    <row r="30242" spans="30:30" x14ac:dyDescent="0.25">
      <c r="AD30242"/>
    </row>
    <row r="30243" spans="30:30" x14ac:dyDescent="0.25">
      <c r="AD30243"/>
    </row>
    <row r="30244" spans="30:30" x14ac:dyDescent="0.25">
      <c r="AD30244"/>
    </row>
    <row r="30245" spans="30:30" x14ac:dyDescent="0.25">
      <c r="AD30245"/>
    </row>
    <row r="30246" spans="30:30" x14ac:dyDescent="0.25">
      <c r="AD30246"/>
    </row>
    <row r="30247" spans="30:30" x14ac:dyDescent="0.25">
      <c r="AD30247"/>
    </row>
    <row r="30248" spans="30:30" x14ac:dyDescent="0.25">
      <c r="AD30248"/>
    </row>
    <row r="30249" spans="30:30" x14ac:dyDescent="0.25">
      <c r="AD30249"/>
    </row>
    <row r="30250" spans="30:30" x14ac:dyDescent="0.25">
      <c r="AD30250"/>
    </row>
    <row r="30251" spans="30:30" x14ac:dyDescent="0.25">
      <c r="AD30251"/>
    </row>
    <row r="30252" spans="30:30" x14ac:dyDescent="0.25">
      <c r="AD30252"/>
    </row>
    <row r="30253" spans="30:30" x14ac:dyDescent="0.25">
      <c r="AD30253"/>
    </row>
    <row r="30254" spans="30:30" x14ac:dyDescent="0.25">
      <c r="AD30254"/>
    </row>
    <row r="30255" spans="30:30" x14ac:dyDescent="0.25">
      <c r="AD30255"/>
    </row>
    <row r="30256" spans="30:30" x14ac:dyDescent="0.25">
      <c r="AD30256"/>
    </row>
    <row r="30257" spans="30:30" x14ac:dyDescent="0.25">
      <c r="AD30257"/>
    </row>
    <row r="30258" spans="30:30" x14ac:dyDescent="0.25">
      <c r="AD30258"/>
    </row>
    <row r="30259" spans="30:30" x14ac:dyDescent="0.25">
      <c r="AD30259"/>
    </row>
    <row r="30260" spans="30:30" x14ac:dyDescent="0.25">
      <c r="AD30260"/>
    </row>
    <row r="30261" spans="30:30" x14ac:dyDescent="0.25">
      <c r="AD30261"/>
    </row>
    <row r="30262" spans="30:30" x14ac:dyDescent="0.25">
      <c r="AD30262"/>
    </row>
    <row r="30263" spans="30:30" x14ac:dyDescent="0.25">
      <c r="AD30263"/>
    </row>
    <row r="30264" spans="30:30" x14ac:dyDescent="0.25">
      <c r="AD30264"/>
    </row>
    <row r="30265" spans="30:30" x14ac:dyDescent="0.25">
      <c r="AD30265"/>
    </row>
    <row r="30266" spans="30:30" x14ac:dyDescent="0.25">
      <c r="AD30266"/>
    </row>
    <row r="30267" spans="30:30" x14ac:dyDescent="0.25">
      <c r="AD30267"/>
    </row>
    <row r="30268" spans="30:30" x14ac:dyDescent="0.25">
      <c r="AD30268"/>
    </row>
    <row r="30269" spans="30:30" x14ac:dyDescent="0.25">
      <c r="AD30269"/>
    </row>
    <row r="30270" spans="30:30" x14ac:dyDescent="0.25">
      <c r="AD30270"/>
    </row>
    <row r="30271" spans="30:30" x14ac:dyDescent="0.25">
      <c r="AD30271"/>
    </row>
    <row r="30272" spans="30:30" x14ac:dyDescent="0.25">
      <c r="AD30272"/>
    </row>
    <row r="30273" spans="30:30" x14ac:dyDescent="0.25">
      <c r="AD30273"/>
    </row>
    <row r="30274" spans="30:30" x14ac:dyDescent="0.25">
      <c r="AD30274"/>
    </row>
    <row r="30275" spans="30:30" x14ac:dyDescent="0.25">
      <c r="AD30275"/>
    </row>
    <row r="30276" spans="30:30" x14ac:dyDescent="0.25">
      <c r="AD30276"/>
    </row>
    <row r="30277" spans="30:30" x14ac:dyDescent="0.25">
      <c r="AD30277"/>
    </row>
    <row r="30278" spans="30:30" x14ac:dyDescent="0.25">
      <c r="AD30278"/>
    </row>
    <row r="30279" spans="30:30" x14ac:dyDescent="0.25">
      <c r="AD30279"/>
    </row>
    <row r="30280" spans="30:30" x14ac:dyDescent="0.25">
      <c r="AD30280"/>
    </row>
    <row r="30281" spans="30:30" x14ac:dyDescent="0.25">
      <c r="AD30281"/>
    </row>
    <row r="30282" spans="30:30" x14ac:dyDescent="0.25">
      <c r="AD30282"/>
    </row>
    <row r="30283" spans="30:30" x14ac:dyDescent="0.25">
      <c r="AD30283"/>
    </row>
    <row r="30284" spans="30:30" x14ac:dyDescent="0.25">
      <c r="AD30284"/>
    </row>
    <row r="30285" spans="30:30" x14ac:dyDescent="0.25">
      <c r="AD30285"/>
    </row>
    <row r="30286" spans="30:30" x14ac:dyDescent="0.25">
      <c r="AD30286"/>
    </row>
    <row r="30287" spans="30:30" x14ac:dyDescent="0.25">
      <c r="AD30287"/>
    </row>
    <row r="30288" spans="30:30" x14ac:dyDescent="0.25">
      <c r="AD30288"/>
    </row>
    <row r="30289" spans="30:30" x14ac:dyDescent="0.25">
      <c r="AD30289"/>
    </row>
    <row r="30290" spans="30:30" x14ac:dyDescent="0.25">
      <c r="AD30290"/>
    </row>
    <row r="30291" spans="30:30" x14ac:dyDescent="0.25">
      <c r="AD30291"/>
    </row>
    <row r="30292" spans="30:30" x14ac:dyDescent="0.25">
      <c r="AD30292"/>
    </row>
    <row r="30293" spans="30:30" x14ac:dyDescent="0.25">
      <c r="AD30293"/>
    </row>
    <row r="30294" spans="30:30" x14ac:dyDescent="0.25">
      <c r="AD30294"/>
    </row>
    <row r="30295" spans="30:30" x14ac:dyDescent="0.25">
      <c r="AD30295"/>
    </row>
    <row r="30296" spans="30:30" x14ac:dyDescent="0.25">
      <c r="AD30296"/>
    </row>
    <row r="30297" spans="30:30" x14ac:dyDescent="0.25">
      <c r="AD30297"/>
    </row>
    <row r="30298" spans="30:30" x14ac:dyDescent="0.25">
      <c r="AD30298"/>
    </row>
    <row r="30299" spans="30:30" x14ac:dyDescent="0.25">
      <c r="AD30299"/>
    </row>
    <row r="30300" spans="30:30" x14ac:dyDescent="0.25">
      <c r="AD30300"/>
    </row>
    <row r="30301" spans="30:30" x14ac:dyDescent="0.25">
      <c r="AD30301"/>
    </row>
    <row r="30302" spans="30:30" x14ac:dyDescent="0.25">
      <c r="AD30302"/>
    </row>
    <row r="30303" spans="30:30" x14ac:dyDescent="0.25">
      <c r="AD30303"/>
    </row>
    <row r="30304" spans="30:30" x14ac:dyDescent="0.25">
      <c r="AD30304"/>
    </row>
    <row r="30305" spans="30:30" x14ac:dyDescent="0.25">
      <c r="AD30305"/>
    </row>
    <row r="30306" spans="30:30" x14ac:dyDescent="0.25">
      <c r="AD30306"/>
    </row>
    <row r="30307" spans="30:30" x14ac:dyDescent="0.25">
      <c r="AD30307"/>
    </row>
    <row r="30308" spans="30:30" x14ac:dyDescent="0.25">
      <c r="AD30308"/>
    </row>
    <row r="30309" spans="30:30" x14ac:dyDescent="0.25">
      <c r="AD30309"/>
    </row>
    <row r="30310" spans="30:30" x14ac:dyDescent="0.25">
      <c r="AD30310"/>
    </row>
    <row r="30311" spans="30:30" x14ac:dyDescent="0.25">
      <c r="AD30311"/>
    </row>
    <row r="30312" spans="30:30" x14ac:dyDescent="0.25">
      <c r="AD30312"/>
    </row>
    <row r="30313" spans="30:30" x14ac:dyDescent="0.25">
      <c r="AD30313"/>
    </row>
    <row r="30314" spans="30:30" x14ac:dyDescent="0.25">
      <c r="AD30314"/>
    </row>
    <row r="30315" spans="30:30" x14ac:dyDescent="0.25">
      <c r="AD30315"/>
    </row>
    <row r="30316" spans="30:30" x14ac:dyDescent="0.25">
      <c r="AD30316"/>
    </row>
    <row r="30317" spans="30:30" x14ac:dyDescent="0.25">
      <c r="AD30317"/>
    </row>
    <row r="30318" spans="30:30" x14ac:dyDescent="0.25">
      <c r="AD30318"/>
    </row>
    <row r="30319" spans="30:30" x14ac:dyDescent="0.25">
      <c r="AD30319"/>
    </row>
    <row r="30320" spans="30:30" x14ac:dyDescent="0.25">
      <c r="AD30320"/>
    </row>
    <row r="30321" spans="30:30" x14ac:dyDescent="0.25">
      <c r="AD30321"/>
    </row>
    <row r="30322" spans="30:30" x14ac:dyDescent="0.25">
      <c r="AD30322"/>
    </row>
    <row r="30323" spans="30:30" x14ac:dyDescent="0.25">
      <c r="AD30323"/>
    </row>
    <row r="30324" spans="30:30" x14ac:dyDescent="0.25">
      <c r="AD30324"/>
    </row>
    <row r="30325" spans="30:30" x14ac:dyDescent="0.25">
      <c r="AD30325"/>
    </row>
    <row r="30326" spans="30:30" x14ac:dyDescent="0.25">
      <c r="AD30326"/>
    </row>
    <row r="30327" spans="30:30" x14ac:dyDescent="0.25">
      <c r="AD30327"/>
    </row>
    <row r="30328" spans="30:30" x14ac:dyDescent="0.25">
      <c r="AD30328"/>
    </row>
    <row r="30329" spans="30:30" x14ac:dyDescent="0.25">
      <c r="AD30329"/>
    </row>
    <row r="30330" spans="30:30" x14ac:dyDescent="0.25">
      <c r="AD30330"/>
    </row>
    <row r="30331" spans="30:30" x14ac:dyDescent="0.25">
      <c r="AD30331"/>
    </row>
    <row r="30332" spans="30:30" x14ac:dyDescent="0.25">
      <c r="AD30332"/>
    </row>
    <row r="30333" spans="30:30" x14ac:dyDescent="0.25">
      <c r="AD30333"/>
    </row>
    <row r="30334" spans="30:30" x14ac:dyDescent="0.25">
      <c r="AD30334"/>
    </row>
    <row r="30335" spans="30:30" x14ac:dyDescent="0.25">
      <c r="AD30335"/>
    </row>
    <row r="30336" spans="30:30" x14ac:dyDescent="0.25">
      <c r="AD30336"/>
    </row>
    <row r="30337" spans="30:30" x14ac:dyDescent="0.25">
      <c r="AD30337"/>
    </row>
    <row r="30338" spans="30:30" x14ac:dyDescent="0.25">
      <c r="AD30338"/>
    </row>
    <row r="30339" spans="30:30" x14ac:dyDescent="0.25">
      <c r="AD30339"/>
    </row>
    <row r="30340" spans="30:30" x14ac:dyDescent="0.25">
      <c r="AD30340"/>
    </row>
    <row r="30341" spans="30:30" x14ac:dyDescent="0.25">
      <c r="AD30341"/>
    </row>
    <row r="30342" spans="30:30" x14ac:dyDescent="0.25">
      <c r="AD30342"/>
    </row>
    <row r="30343" spans="30:30" x14ac:dyDescent="0.25">
      <c r="AD30343"/>
    </row>
    <row r="30344" spans="30:30" x14ac:dyDescent="0.25">
      <c r="AD30344"/>
    </row>
    <row r="30345" spans="30:30" x14ac:dyDescent="0.25">
      <c r="AD30345"/>
    </row>
    <row r="30346" spans="30:30" x14ac:dyDescent="0.25">
      <c r="AD30346"/>
    </row>
    <row r="30347" spans="30:30" x14ac:dyDescent="0.25">
      <c r="AD30347"/>
    </row>
    <row r="30348" spans="30:30" x14ac:dyDescent="0.25">
      <c r="AD30348"/>
    </row>
    <row r="30349" spans="30:30" x14ac:dyDescent="0.25">
      <c r="AD30349"/>
    </row>
    <row r="30350" spans="30:30" x14ac:dyDescent="0.25">
      <c r="AD30350"/>
    </row>
    <row r="30351" spans="30:30" x14ac:dyDescent="0.25">
      <c r="AD30351"/>
    </row>
    <row r="30352" spans="30:30" x14ac:dyDescent="0.25">
      <c r="AD30352"/>
    </row>
    <row r="30353" spans="30:30" x14ac:dyDescent="0.25">
      <c r="AD30353"/>
    </row>
    <row r="30354" spans="30:30" x14ac:dyDescent="0.25">
      <c r="AD30354"/>
    </row>
    <row r="30355" spans="30:30" x14ac:dyDescent="0.25">
      <c r="AD30355"/>
    </row>
    <row r="30356" spans="30:30" x14ac:dyDescent="0.25">
      <c r="AD30356"/>
    </row>
    <row r="30357" spans="30:30" x14ac:dyDescent="0.25">
      <c r="AD30357"/>
    </row>
    <row r="30358" spans="30:30" x14ac:dyDescent="0.25">
      <c r="AD30358"/>
    </row>
    <row r="30359" spans="30:30" x14ac:dyDescent="0.25">
      <c r="AD30359"/>
    </row>
    <row r="30360" spans="30:30" x14ac:dyDescent="0.25">
      <c r="AD30360"/>
    </row>
    <row r="30361" spans="30:30" x14ac:dyDescent="0.25">
      <c r="AD30361"/>
    </row>
    <row r="30362" spans="30:30" x14ac:dyDescent="0.25">
      <c r="AD30362"/>
    </row>
    <row r="30363" spans="30:30" x14ac:dyDescent="0.25">
      <c r="AD30363"/>
    </row>
    <row r="30364" spans="30:30" x14ac:dyDescent="0.25">
      <c r="AD30364"/>
    </row>
    <row r="30365" spans="30:30" x14ac:dyDescent="0.25">
      <c r="AD30365"/>
    </row>
    <row r="30366" spans="30:30" x14ac:dyDescent="0.25">
      <c r="AD30366"/>
    </row>
    <row r="30367" spans="30:30" x14ac:dyDescent="0.25">
      <c r="AD30367"/>
    </row>
    <row r="30368" spans="30:30" x14ac:dyDescent="0.25">
      <c r="AD30368"/>
    </row>
    <row r="30369" spans="30:30" x14ac:dyDescent="0.25">
      <c r="AD30369"/>
    </row>
    <row r="30370" spans="30:30" x14ac:dyDescent="0.25">
      <c r="AD30370"/>
    </row>
    <row r="30371" spans="30:30" x14ac:dyDescent="0.25">
      <c r="AD30371"/>
    </row>
    <row r="30372" spans="30:30" x14ac:dyDescent="0.25">
      <c r="AD30372"/>
    </row>
    <row r="30373" spans="30:30" x14ac:dyDescent="0.25">
      <c r="AD30373"/>
    </row>
    <row r="30374" spans="30:30" x14ac:dyDescent="0.25">
      <c r="AD30374"/>
    </row>
    <row r="30375" spans="30:30" x14ac:dyDescent="0.25">
      <c r="AD30375"/>
    </row>
    <row r="30376" spans="30:30" x14ac:dyDescent="0.25">
      <c r="AD30376"/>
    </row>
    <row r="30377" spans="30:30" x14ac:dyDescent="0.25">
      <c r="AD30377"/>
    </row>
    <row r="30378" spans="30:30" x14ac:dyDescent="0.25">
      <c r="AD30378"/>
    </row>
    <row r="30379" spans="30:30" x14ac:dyDescent="0.25">
      <c r="AD30379"/>
    </row>
    <row r="30380" spans="30:30" x14ac:dyDescent="0.25">
      <c r="AD30380"/>
    </row>
    <row r="30381" spans="30:30" x14ac:dyDescent="0.25">
      <c r="AD30381"/>
    </row>
    <row r="30382" spans="30:30" x14ac:dyDescent="0.25">
      <c r="AD30382"/>
    </row>
    <row r="30383" spans="30:30" x14ac:dyDescent="0.25">
      <c r="AD30383"/>
    </row>
    <row r="30384" spans="30:30" x14ac:dyDescent="0.25">
      <c r="AD30384"/>
    </row>
    <row r="30385" spans="30:30" x14ac:dyDescent="0.25">
      <c r="AD30385"/>
    </row>
    <row r="30386" spans="30:30" x14ac:dyDescent="0.25">
      <c r="AD30386"/>
    </row>
    <row r="30387" spans="30:30" x14ac:dyDescent="0.25">
      <c r="AD30387"/>
    </row>
    <row r="30388" spans="30:30" x14ac:dyDescent="0.25">
      <c r="AD30388"/>
    </row>
    <row r="30389" spans="30:30" x14ac:dyDescent="0.25">
      <c r="AD30389"/>
    </row>
    <row r="30390" spans="30:30" x14ac:dyDescent="0.25">
      <c r="AD30390"/>
    </row>
    <row r="30391" spans="30:30" x14ac:dyDescent="0.25">
      <c r="AD30391"/>
    </row>
    <row r="30392" spans="30:30" x14ac:dyDescent="0.25">
      <c r="AD30392"/>
    </row>
    <row r="30393" spans="30:30" x14ac:dyDescent="0.25">
      <c r="AD30393"/>
    </row>
    <row r="30394" spans="30:30" x14ac:dyDescent="0.25">
      <c r="AD30394"/>
    </row>
    <row r="30395" spans="30:30" x14ac:dyDescent="0.25">
      <c r="AD30395"/>
    </row>
    <row r="30396" spans="30:30" x14ac:dyDescent="0.25">
      <c r="AD30396"/>
    </row>
    <row r="30397" spans="30:30" x14ac:dyDescent="0.25">
      <c r="AD30397"/>
    </row>
    <row r="30398" spans="30:30" x14ac:dyDescent="0.25">
      <c r="AD30398"/>
    </row>
    <row r="30399" spans="30:30" x14ac:dyDescent="0.25">
      <c r="AD30399"/>
    </row>
    <row r="30400" spans="30:30" x14ac:dyDescent="0.25">
      <c r="AD30400"/>
    </row>
    <row r="30401" spans="30:30" x14ac:dyDescent="0.25">
      <c r="AD30401"/>
    </row>
    <row r="30402" spans="30:30" x14ac:dyDescent="0.25">
      <c r="AD30402"/>
    </row>
    <row r="30403" spans="30:30" x14ac:dyDescent="0.25">
      <c r="AD30403"/>
    </row>
    <row r="30404" spans="30:30" x14ac:dyDescent="0.25">
      <c r="AD30404"/>
    </row>
    <row r="30405" spans="30:30" x14ac:dyDescent="0.25">
      <c r="AD30405"/>
    </row>
    <row r="30406" spans="30:30" x14ac:dyDescent="0.25">
      <c r="AD30406"/>
    </row>
    <row r="30407" spans="30:30" x14ac:dyDescent="0.25">
      <c r="AD30407"/>
    </row>
    <row r="30408" spans="30:30" x14ac:dyDescent="0.25">
      <c r="AD30408"/>
    </row>
    <row r="30409" spans="30:30" x14ac:dyDescent="0.25">
      <c r="AD30409"/>
    </row>
    <row r="30410" spans="30:30" x14ac:dyDescent="0.25">
      <c r="AD30410"/>
    </row>
    <row r="30411" spans="30:30" x14ac:dyDescent="0.25">
      <c r="AD30411"/>
    </row>
    <row r="30412" spans="30:30" x14ac:dyDescent="0.25">
      <c r="AD30412"/>
    </row>
    <row r="30413" spans="30:30" x14ac:dyDescent="0.25">
      <c r="AD30413"/>
    </row>
    <row r="30414" spans="30:30" x14ac:dyDescent="0.25">
      <c r="AD30414"/>
    </row>
    <row r="30415" spans="30:30" x14ac:dyDescent="0.25">
      <c r="AD30415"/>
    </row>
    <row r="30416" spans="30:30" x14ac:dyDescent="0.25">
      <c r="AD30416"/>
    </row>
    <row r="30417" spans="30:30" x14ac:dyDescent="0.25">
      <c r="AD30417"/>
    </row>
    <row r="30418" spans="30:30" x14ac:dyDescent="0.25">
      <c r="AD30418"/>
    </row>
    <row r="30419" spans="30:30" x14ac:dyDescent="0.25">
      <c r="AD30419"/>
    </row>
    <row r="30420" spans="30:30" x14ac:dyDescent="0.25">
      <c r="AD30420"/>
    </row>
    <row r="30421" spans="30:30" x14ac:dyDescent="0.25">
      <c r="AD30421"/>
    </row>
    <row r="30422" spans="30:30" x14ac:dyDescent="0.25">
      <c r="AD30422"/>
    </row>
    <row r="30423" spans="30:30" x14ac:dyDescent="0.25">
      <c r="AD30423"/>
    </row>
    <row r="30424" spans="30:30" x14ac:dyDescent="0.25">
      <c r="AD30424"/>
    </row>
    <row r="30425" spans="30:30" x14ac:dyDescent="0.25">
      <c r="AD30425"/>
    </row>
    <row r="30426" spans="30:30" x14ac:dyDescent="0.25">
      <c r="AD30426"/>
    </row>
    <row r="30427" spans="30:30" x14ac:dyDescent="0.25">
      <c r="AD30427"/>
    </row>
    <row r="30428" spans="30:30" x14ac:dyDescent="0.25">
      <c r="AD30428"/>
    </row>
    <row r="30429" spans="30:30" x14ac:dyDescent="0.25">
      <c r="AD30429"/>
    </row>
    <row r="30430" spans="30:30" x14ac:dyDescent="0.25">
      <c r="AD30430"/>
    </row>
    <row r="30431" spans="30:30" x14ac:dyDescent="0.25">
      <c r="AD30431"/>
    </row>
    <row r="30432" spans="30:30" x14ac:dyDescent="0.25">
      <c r="AD30432"/>
    </row>
    <row r="30433" spans="30:30" x14ac:dyDescent="0.25">
      <c r="AD30433"/>
    </row>
    <row r="30434" spans="30:30" x14ac:dyDescent="0.25">
      <c r="AD30434"/>
    </row>
    <row r="30435" spans="30:30" x14ac:dyDescent="0.25">
      <c r="AD30435"/>
    </row>
    <row r="30436" spans="30:30" x14ac:dyDescent="0.25">
      <c r="AD30436"/>
    </row>
    <row r="30437" spans="30:30" x14ac:dyDescent="0.25">
      <c r="AD30437"/>
    </row>
    <row r="30438" spans="30:30" x14ac:dyDescent="0.25">
      <c r="AD30438"/>
    </row>
    <row r="30439" spans="30:30" x14ac:dyDescent="0.25">
      <c r="AD30439"/>
    </row>
    <row r="30440" spans="30:30" x14ac:dyDescent="0.25">
      <c r="AD30440"/>
    </row>
    <row r="30441" spans="30:30" x14ac:dyDescent="0.25">
      <c r="AD30441"/>
    </row>
    <row r="30442" spans="30:30" x14ac:dyDescent="0.25">
      <c r="AD30442"/>
    </row>
    <row r="30443" spans="30:30" x14ac:dyDescent="0.25">
      <c r="AD30443"/>
    </row>
    <row r="30444" spans="30:30" x14ac:dyDescent="0.25">
      <c r="AD30444"/>
    </row>
    <row r="30445" spans="30:30" x14ac:dyDescent="0.25">
      <c r="AD30445"/>
    </row>
    <row r="30446" spans="30:30" x14ac:dyDescent="0.25">
      <c r="AD30446"/>
    </row>
    <row r="30447" spans="30:30" x14ac:dyDescent="0.25">
      <c r="AD30447"/>
    </row>
    <row r="30448" spans="30:30" x14ac:dyDescent="0.25">
      <c r="AD30448"/>
    </row>
    <row r="30449" spans="30:30" x14ac:dyDescent="0.25">
      <c r="AD30449"/>
    </row>
    <row r="30450" spans="30:30" x14ac:dyDescent="0.25">
      <c r="AD30450"/>
    </row>
    <row r="30451" spans="30:30" x14ac:dyDescent="0.25">
      <c r="AD30451"/>
    </row>
    <row r="30452" spans="30:30" x14ac:dyDescent="0.25">
      <c r="AD30452"/>
    </row>
    <row r="30453" spans="30:30" x14ac:dyDescent="0.25">
      <c r="AD30453"/>
    </row>
    <row r="30454" spans="30:30" x14ac:dyDescent="0.25">
      <c r="AD30454"/>
    </row>
    <row r="30455" spans="30:30" x14ac:dyDescent="0.25">
      <c r="AD30455"/>
    </row>
    <row r="30456" spans="30:30" x14ac:dyDescent="0.25">
      <c r="AD30456"/>
    </row>
    <row r="30457" spans="30:30" x14ac:dyDescent="0.25">
      <c r="AD30457"/>
    </row>
    <row r="30458" spans="30:30" x14ac:dyDescent="0.25">
      <c r="AD30458"/>
    </row>
    <row r="30459" spans="30:30" x14ac:dyDescent="0.25">
      <c r="AD30459"/>
    </row>
    <row r="30460" spans="30:30" x14ac:dyDescent="0.25">
      <c r="AD30460"/>
    </row>
    <row r="30461" spans="30:30" x14ac:dyDescent="0.25">
      <c r="AD30461"/>
    </row>
    <row r="30462" spans="30:30" x14ac:dyDescent="0.25">
      <c r="AD30462"/>
    </row>
    <row r="30463" spans="30:30" x14ac:dyDescent="0.25">
      <c r="AD30463"/>
    </row>
    <row r="30464" spans="30:30" x14ac:dyDescent="0.25">
      <c r="AD30464"/>
    </row>
    <row r="30465" spans="30:30" x14ac:dyDescent="0.25">
      <c r="AD30465"/>
    </row>
    <row r="30466" spans="30:30" x14ac:dyDescent="0.25">
      <c r="AD30466"/>
    </row>
    <row r="30467" spans="30:30" x14ac:dyDescent="0.25">
      <c r="AD30467"/>
    </row>
    <row r="30468" spans="30:30" x14ac:dyDescent="0.25">
      <c r="AD30468"/>
    </row>
    <row r="30469" spans="30:30" x14ac:dyDescent="0.25">
      <c r="AD30469"/>
    </row>
    <row r="30470" spans="30:30" x14ac:dyDescent="0.25">
      <c r="AD30470"/>
    </row>
    <row r="30471" spans="30:30" x14ac:dyDescent="0.25">
      <c r="AD30471"/>
    </row>
    <row r="30472" spans="30:30" x14ac:dyDescent="0.25">
      <c r="AD30472"/>
    </row>
    <row r="30473" spans="30:30" x14ac:dyDescent="0.25">
      <c r="AD30473"/>
    </row>
    <row r="30474" spans="30:30" x14ac:dyDescent="0.25">
      <c r="AD30474"/>
    </row>
    <row r="30475" spans="30:30" x14ac:dyDescent="0.25">
      <c r="AD30475"/>
    </row>
    <row r="30476" spans="30:30" x14ac:dyDescent="0.25">
      <c r="AD30476"/>
    </row>
    <row r="30477" spans="30:30" x14ac:dyDescent="0.25">
      <c r="AD30477"/>
    </row>
    <row r="30478" spans="30:30" x14ac:dyDescent="0.25">
      <c r="AD30478"/>
    </row>
    <row r="30479" spans="30:30" x14ac:dyDescent="0.25">
      <c r="AD30479"/>
    </row>
    <row r="30480" spans="30:30" x14ac:dyDescent="0.25">
      <c r="AD30480"/>
    </row>
    <row r="30481" spans="30:30" x14ac:dyDescent="0.25">
      <c r="AD30481"/>
    </row>
    <row r="30482" spans="30:30" x14ac:dyDescent="0.25">
      <c r="AD30482"/>
    </row>
    <row r="30483" spans="30:30" x14ac:dyDescent="0.25">
      <c r="AD30483"/>
    </row>
    <row r="30484" spans="30:30" x14ac:dyDescent="0.25">
      <c r="AD30484"/>
    </row>
    <row r="30485" spans="30:30" x14ac:dyDescent="0.25">
      <c r="AD30485"/>
    </row>
    <row r="30486" spans="30:30" x14ac:dyDescent="0.25">
      <c r="AD30486"/>
    </row>
    <row r="30487" spans="30:30" x14ac:dyDescent="0.25">
      <c r="AD30487"/>
    </row>
    <row r="30488" spans="30:30" x14ac:dyDescent="0.25">
      <c r="AD30488"/>
    </row>
    <row r="30489" spans="30:30" x14ac:dyDescent="0.25">
      <c r="AD30489"/>
    </row>
    <row r="30490" spans="30:30" x14ac:dyDescent="0.25">
      <c r="AD30490"/>
    </row>
    <row r="30491" spans="30:30" x14ac:dyDescent="0.25">
      <c r="AD30491"/>
    </row>
    <row r="30492" spans="30:30" x14ac:dyDescent="0.25">
      <c r="AD30492"/>
    </row>
    <row r="30493" spans="30:30" x14ac:dyDescent="0.25">
      <c r="AD30493"/>
    </row>
    <row r="30494" spans="30:30" x14ac:dyDescent="0.25">
      <c r="AD30494"/>
    </row>
    <row r="30495" spans="30:30" x14ac:dyDescent="0.25">
      <c r="AD30495"/>
    </row>
    <row r="30496" spans="30:30" x14ac:dyDescent="0.25">
      <c r="AD30496"/>
    </row>
    <row r="30497" spans="30:30" x14ac:dyDescent="0.25">
      <c r="AD30497"/>
    </row>
    <row r="30498" spans="30:30" x14ac:dyDescent="0.25">
      <c r="AD30498"/>
    </row>
    <row r="30499" spans="30:30" x14ac:dyDescent="0.25">
      <c r="AD30499"/>
    </row>
    <row r="30500" spans="30:30" x14ac:dyDescent="0.25">
      <c r="AD30500"/>
    </row>
    <row r="30501" spans="30:30" x14ac:dyDescent="0.25">
      <c r="AD30501"/>
    </row>
    <row r="30502" spans="30:30" x14ac:dyDescent="0.25">
      <c r="AD30502"/>
    </row>
    <row r="30503" spans="30:30" x14ac:dyDescent="0.25">
      <c r="AD30503"/>
    </row>
    <row r="30504" spans="30:30" x14ac:dyDescent="0.25">
      <c r="AD30504"/>
    </row>
    <row r="30505" spans="30:30" x14ac:dyDescent="0.25">
      <c r="AD30505"/>
    </row>
    <row r="30506" spans="30:30" x14ac:dyDescent="0.25">
      <c r="AD30506"/>
    </row>
    <row r="30507" spans="30:30" x14ac:dyDescent="0.25">
      <c r="AD30507"/>
    </row>
    <row r="30508" spans="30:30" x14ac:dyDescent="0.25">
      <c r="AD30508"/>
    </row>
    <row r="30509" spans="30:30" x14ac:dyDescent="0.25">
      <c r="AD30509"/>
    </row>
    <row r="30510" spans="30:30" x14ac:dyDescent="0.25">
      <c r="AD30510"/>
    </row>
    <row r="30511" spans="30:30" x14ac:dyDescent="0.25">
      <c r="AD30511"/>
    </row>
    <row r="30512" spans="30:30" x14ac:dyDescent="0.25">
      <c r="AD30512"/>
    </row>
    <row r="30513" spans="30:30" x14ac:dyDescent="0.25">
      <c r="AD30513"/>
    </row>
    <row r="30514" spans="30:30" x14ac:dyDescent="0.25">
      <c r="AD30514"/>
    </row>
    <row r="30515" spans="30:30" x14ac:dyDescent="0.25">
      <c r="AD30515"/>
    </row>
    <row r="30516" spans="30:30" x14ac:dyDescent="0.25">
      <c r="AD30516"/>
    </row>
    <row r="30517" spans="30:30" x14ac:dyDescent="0.25">
      <c r="AD30517"/>
    </row>
    <row r="30518" spans="30:30" x14ac:dyDescent="0.25">
      <c r="AD30518"/>
    </row>
    <row r="30519" spans="30:30" x14ac:dyDescent="0.25">
      <c r="AD30519"/>
    </row>
    <row r="30520" spans="30:30" x14ac:dyDescent="0.25">
      <c r="AD30520"/>
    </row>
    <row r="30521" spans="30:30" x14ac:dyDescent="0.25">
      <c r="AD30521"/>
    </row>
    <row r="30522" spans="30:30" x14ac:dyDescent="0.25">
      <c r="AD30522"/>
    </row>
    <row r="30523" spans="30:30" x14ac:dyDescent="0.25">
      <c r="AD30523"/>
    </row>
    <row r="30524" spans="30:30" x14ac:dyDescent="0.25">
      <c r="AD30524"/>
    </row>
    <row r="30525" spans="30:30" x14ac:dyDescent="0.25">
      <c r="AD30525"/>
    </row>
    <row r="30526" spans="30:30" x14ac:dyDescent="0.25">
      <c r="AD30526"/>
    </row>
    <row r="30527" spans="30:30" x14ac:dyDescent="0.25">
      <c r="AD30527"/>
    </row>
    <row r="30528" spans="30:30" x14ac:dyDescent="0.25">
      <c r="AD30528"/>
    </row>
    <row r="30529" spans="30:30" x14ac:dyDescent="0.25">
      <c r="AD30529"/>
    </row>
    <row r="30530" spans="30:30" x14ac:dyDescent="0.25">
      <c r="AD30530"/>
    </row>
    <row r="30531" spans="30:30" x14ac:dyDescent="0.25">
      <c r="AD30531"/>
    </row>
    <row r="30532" spans="30:30" x14ac:dyDescent="0.25">
      <c r="AD30532"/>
    </row>
    <row r="30533" spans="30:30" x14ac:dyDescent="0.25">
      <c r="AD30533"/>
    </row>
    <row r="30534" spans="30:30" x14ac:dyDescent="0.25">
      <c r="AD30534"/>
    </row>
    <row r="30535" spans="30:30" x14ac:dyDescent="0.25">
      <c r="AD30535"/>
    </row>
    <row r="30536" spans="30:30" x14ac:dyDescent="0.25">
      <c r="AD30536"/>
    </row>
    <row r="30537" spans="30:30" x14ac:dyDescent="0.25">
      <c r="AD30537"/>
    </row>
    <row r="30538" spans="30:30" x14ac:dyDescent="0.25">
      <c r="AD30538"/>
    </row>
    <row r="30539" spans="30:30" x14ac:dyDescent="0.25">
      <c r="AD30539"/>
    </row>
    <row r="30540" spans="30:30" x14ac:dyDescent="0.25">
      <c r="AD30540"/>
    </row>
    <row r="30541" spans="30:30" x14ac:dyDescent="0.25">
      <c r="AD30541"/>
    </row>
    <row r="30542" spans="30:30" x14ac:dyDescent="0.25">
      <c r="AD30542"/>
    </row>
    <row r="30543" spans="30:30" x14ac:dyDescent="0.25">
      <c r="AD30543"/>
    </row>
    <row r="30544" spans="30:30" x14ac:dyDescent="0.25">
      <c r="AD30544"/>
    </row>
    <row r="30545" spans="30:30" x14ac:dyDescent="0.25">
      <c r="AD30545"/>
    </row>
    <row r="30546" spans="30:30" x14ac:dyDescent="0.25">
      <c r="AD30546"/>
    </row>
    <row r="30547" spans="30:30" x14ac:dyDescent="0.25">
      <c r="AD30547"/>
    </row>
    <row r="30548" spans="30:30" x14ac:dyDescent="0.25">
      <c r="AD30548"/>
    </row>
    <row r="30549" spans="30:30" x14ac:dyDescent="0.25">
      <c r="AD30549"/>
    </row>
    <row r="30550" spans="30:30" x14ac:dyDescent="0.25">
      <c r="AD30550"/>
    </row>
    <row r="30551" spans="30:30" x14ac:dyDescent="0.25">
      <c r="AD30551"/>
    </row>
    <row r="30552" spans="30:30" x14ac:dyDescent="0.25">
      <c r="AD30552"/>
    </row>
    <row r="30553" spans="30:30" x14ac:dyDescent="0.25">
      <c r="AD30553"/>
    </row>
    <row r="30554" spans="30:30" x14ac:dyDescent="0.25">
      <c r="AD30554"/>
    </row>
    <row r="30555" spans="30:30" x14ac:dyDescent="0.25">
      <c r="AD30555"/>
    </row>
    <row r="30556" spans="30:30" x14ac:dyDescent="0.25">
      <c r="AD30556"/>
    </row>
    <row r="30557" spans="30:30" x14ac:dyDescent="0.25">
      <c r="AD30557"/>
    </row>
    <row r="30558" spans="30:30" x14ac:dyDescent="0.25">
      <c r="AD30558"/>
    </row>
    <row r="30559" spans="30:30" x14ac:dyDescent="0.25">
      <c r="AD30559"/>
    </row>
    <row r="30560" spans="30:30" x14ac:dyDescent="0.25">
      <c r="AD30560"/>
    </row>
    <row r="30561" spans="30:30" x14ac:dyDescent="0.25">
      <c r="AD30561"/>
    </row>
    <row r="30562" spans="30:30" x14ac:dyDescent="0.25">
      <c r="AD30562"/>
    </row>
    <row r="30563" spans="30:30" x14ac:dyDescent="0.25">
      <c r="AD30563"/>
    </row>
    <row r="30564" spans="30:30" x14ac:dyDescent="0.25">
      <c r="AD30564"/>
    </row>
    <row r="30565" spans="30:30" x14ac:dyDescent="0.25">
      <c r="AD30565"/>
    </row>
    <row r="30566" spans="30:30" x14ac:dyDescent="0.25">
      <c r="AD30566"/>
    </row>
    <row r="30567" spans="30:30" x14ac:dyDescent="0.25">
      <c r="AD30567"/>
    </row>
    <row r="30568" spans="30:30" x14ac:dyDescent="0.25">
      <c r="AD30568"/>
    </row>
    <row r="30569" spans="30:30" x14ac:dyDescent="0.25">
      <c r="AD30569"/>
    </row>
    <row r="30570" spans="30:30" x14ac:dyDescent="0.25">
      <c r="AD30570"/>
    </row>
    <row r="30571" spans="30:30" x14ac:dyDescent="0.25">
      <c r="AD30571"/>
    </row>
    <row r="30572" spans="30:30" x14ac:dyDescent="0.25">
      <c r="AD30572"/>
    </row>
    <row r="30573" spans="30:30" x14ac:dyDescent="0.25">
      <c r="AD30573"/>
    </row>
    <row r="30574" spans="30:30" x14ac:dyDescent="0.25">
      <c r="AD30574"/>
    </row>
    <row r="30575" spans="30:30" x14ac:dyDescent="0.25">
      <c r="AD30575"/>
    </row>
    <row r="30576" spans="30:30" x14ac:dyDescent="0.25">
      <c r="AD30576"/>
    </row>
    <row r="30577" spans="30:30" x14ac:dyDescent="0.25">
      <c r="AD30577"/>
    </row>
    <row r="30578" spans="30:30" x14ac:dyDescent="0.25">
      <c r="AD30578"/>
    </row>
    <row r="30579" spans="30:30" x14ac:dyDescent="0.25">
      <c r="AD30579"/>
    </row>
    <row r="30580" spans="30:30" x14ac:dyDescent="0.25">
      <c r="AD30580"/>
    </row>
    <row r="30581" spans="30:30" x14ac:dyDescent="0.25">
      <c r="AD30581"/>
    </row>
    <row r="30582" spans="30:30" x14ac:dyDescent="0.25">
      <c r="AD30582"/>
    </row>
    <row r="30583" spans="30:30" x14ac:dyDescent="0.25">
      <c r="AD30583"/>
    </row>
    <row r="30584" spans="30:30" x14ac:dyDescent="0.25">
      <c r="AD30584"/>
    </row>
    <row r="30585" spans="30:30" x14ac:dyDescent="0.25">
      <c r="AD30585"/>
    </row>
    <row r="30586" spans="30:30" x14ac:dyDescent="0.25">
      <c r="AD30586"/>
    </row>
    <row r="30587" spans="30:30" x14ac:dyDescent="0.25">
      <c r="AD30587"/>
    </row>
    <row r="30588" spans="30:30" x14ac:dyDescent="0.25">
      <c r="AD30588"/>
    </row>
    <row r="30589" spans="30:30" x14ac:dyDescent="0.25">
      <c r="AD30589"/>
    </row>
    <row r="30590" spans="30:30" x14ac:dyDescent="0.25">
      <c r="AD30590"/>
    </row>
    <row r="30591" spans="30:30" x14ac:dyDescent="0.25">
      <c r="AD30591"/>
    </row>
    <row r="30592" spans="30:30" x14ac:dyDescent="0.25">
      <c r="AD30592"/>
    </row>
    <row r="30593" spans="30:30" x14ac:dyDescent="0.25">
      <c r="AD30593"/>
    </row>
    <row r="30594" spans="30:30" x14ac:dyDescent="0.25">
      <c r="AD30594"/>
    </row>
    <row r="30595" spans="30:30" x14ac:dyDescent="0.25">
      <c r="AD30595"/>
    </row>
    <row r="30596" spans="30:30" x14ac:dyDescent="0.25">
      <c r="AD30596"/>
    </row>
    <row r="30597" spans="30:30" x14ac:dyDescent="0.25">
      <c r="AD30597"/>
    </row>
    <row r="30598" spans="30:30" x14ac:dyDescent="0.25">
      <c r="AD30598"/>
    </row>
    <row r="30599" spans="30:30" x14ac:dyDescent="0.25">
      <c r="AD30599"/>
    </row>
    <row r="30600" spans="30:30" x14ac:dyDescent="0.25">
      <c r="AD30600"/>
    </row>
    <row r="30601" spans="30:30" x14ac:dyDescent="0.25">
      <c r="AD30601"/>
    </row>
    <row r="30602" spans="30:30" x14ac:dyDescent="0.25">
      <c r="AD30602"/>
    </row>
    <row r="30603" spans="30:30" x14ac:dyDescent="0.25">
      <c r="AD30603"/>
    </row>
    <row r="30604" spans="30:30" x14ac:dyDescent="0.25">
      <c r="AD30604"/>
    </row>
    <row r="30605" spans="30:30" x14ac:dyDescent="0.25">
      <c r="AD30605"/>
    </row>
    <row r="30606" spans="30:30" x14ac:dyDescent="0.25">
      <c r="AD30606"/>
    </row>
    <row r="30607" spans="30:30" x14ac:dyDescent="0.25">
      <c r="AD30607"/>
    </row>
    <row r="30608" spans="30:30" x14ac:dyDescent="0.25">
      <c r="AD30608"/>
    </row>
    <row r="30609" spans="30:30" x14ac:dyDescent="0.25">
      <c r="AD30609"/>
    </row>
    <row r="30610" spans="30:30" x14ac:dyDescent="0.25">
      <c r="AD30610"/>
    </row>
    <row r="30611" spans="30:30" x14ac:dyDescent="0.25">
      <c r="AD30611"/>
    </row>
    <row r="30612" spans="30:30" x14ac:dyDescent="0.25">
      <c r="AD30612"/>
    </row>
    <row r="30613" spans="30:30" x14ac:dyDescent="0.25">
      <c r="AD30613"/>
    </row>
    <row r="30614" spans="30:30" x14ac:dyDescent="0.25">
      <c r="AD30614"/>
    </row>
    <row r="30615" spans="30:30" x14ac:dyDescent="0.25">
      <c r="AD30615"/>
    </row>
    <row r="30616" spans="30:30" x14ac:dyDescent="0.25">
      <c r="AD30616"/>
    </row>
    <row r="30617" spans="30:30" x14ac:dyDescent="0.25">
      <c r="AD30617"/>
    </row>
    <row r="30618" spans="30:30" x14ac:dyDescent="0.25">
      <c r="AD30618"/>
    </row>
    <row r="30619" spans="30:30" x14ac:dyDescent="0.25">
      <c r="AD30619"/>
    </row>
    <row r="30620" spans="30:30" x14ac:dyDescent="0.25">
      <c r="AD30620"/>
    </row>
    <row r="30621" spans="30:30" x14ac:dyDescent="0.25">
      <c r="AD30621"/>
    </row>
    <row r="30622" spans="30:30" x14ac:dyDescent="0.25">
      <c r="AD30622"/>
    </row>
    <row r="30623" spans="30:30" x14ac:dyDescent="0.25">
      <c r="AD30623"/>
    </row>
    <row r="30624" spans="30:30" x14ac:dyDescent="0.25">
      <c r="AD30624"/>
    </row>
    <row r="30625" spans="30:30" x14ac:dyDescent="0.25">
      <c r="AD30625"/>
    </row>
    <row r="30626" spans="30:30" x14ac:dyDescent="0.25">
      <c r="AD30626"/>
    </row>
    <row r="30627" spans="30:30" x14ac:dyDescent="0.25">
      <c r="AD30627"/>
    </row>
    <row r="30628" spans="30:30" x14ac:dyDescent="0.25">
      <c r="AD30628"/>
    </row>
    <row r="30629" spans="30:30" x14ac:dyDescent="0.25">
      <c r="AD30629"/>
    </row>
    <row r="30630" spans="30:30" x14ac:dyDescent="0.25">
      <c r="AD30630"/>
    </row>
    <row r="30631" spans="30:30" x14ac:dyDescent="0.25">
      <c r="AD30631"/>
    </row>
    <row r="30632" spans="30:30" x14ac:dyDescent="0.25">
      <c r="AD30632"/>
    </row>
    <row r="30633" spans="30:30" x14ac:dyDescent="0.25">
      <c r="AD30633"/>
    </row>
    <row r="30634" spans="30:30" x14ac:dyDescent="0.25">
      <c r="AD30634"/>
    </row>
    <row r="30635" spans="30:30" x14ac:dyDescent="0.25">
      <c r="AD30635"/>
    </row>
    <row r="30636" spans="30:30" x14ac:dyDescent="0.25">
      <c r="AD30636"/>
    </row>
    <row r="30637" spans="30:30" x14ac:dyDescent="0.25">
      <c r="AD30637"/>
    </row>
    <row r="30638" spans="30:30" x14ac:dyDescent="0.25">
      <c r="AD30638"/>
    </row>
    <row r="30639" spans="30:30" x14ac:dyDescent="0.25">
      <c r="AD30639"/>
    </row>
    <row r="30640" spans="30:30" x14ac:dyDescent="0.25">
      <c r="AD30640"/>
    </row>
    <row r="30641" spans="30:30" x14ac:dyDescent="0.25">
      <c r="AD30641"/>
    </row>
    <row r="30642" spans="30:30" x14ac:dyDescent="0.25">
      <c r="AD30642"/>
    </row>
    <row r="30643" spans="30:30" x14ac:dyDescent="0.25">
      <c r="AD30643"/>
    </row>
    <row r="30644" spans="30:30" x14ac:dyDescent="0.25">
      <c r="AD30644"/>
    </row>
    <row r="30645" spans="30:30" x14ac:dyDescent="0.25">
      <c r="AD30645"/>
    </row>
    <row r="30646" spans="30:30" x14ac:dyDescent="0.25">
      <c r="AD30646"/>
    </row>
    <row r="30647" spans="30:30" x14ac:dyDescent="0.25">
      <c r="AD30647"/>
    </row>
    <row r="30648" spans="30:30" x14ac:dyDescent="0.25">
      <c r="AD30648"/>
    </row>
    <row r="30649" spans="30:30" x14ac:dyDescent="0.25">
      <c r="AD30649"/>
    </row>
    <row r="30650" spans="30:30" x14ac:dyDescent="0.25">
      <c r="AD30650"/>
    </row>
    <row r="30651" spans="30:30" x14ac:dyDescent="0.25">
      <c r="AD30651"/>
    </row>
    <row r="30652" spans="30:30" x14ac:dyDescent="0.25">
      <c r="AD30652"/>
    </row>
    <row r="30653" spans="30:30" x14ac:dyDescent="0.25">
      <c r="AD30653"/>
    </row>
    <row r="30654" spans="30:30" x14ac:dyDescent="0.25">
      <c r="AD30654"/>
    </row>
    <row r="30655" spans="30:30" x14ac:dyDescent="0.25">
      <c r="AD30655"/>
    </row>
    <row r="30656" spans="30:30" x14ac:dyDescent="0.25">
      <c r="AD30656"/>
    </row>
    <row r="30657" spans="30:30" x14ac:dyDescent="0.25">
      <c r="AD30657"/>
    </row>
    <row r="30658" spans="30:30" x14ac:dyDescent="0.25">
      <c r="AD30658"/>
    </row>
    <row r="30659" spans="30:30" x14ac:dyDescent="0.25">
      <c r="AD30659"/>
    </row>
    <row r="30660" spans="30:30" x14ac:dyDescent="0.25">
      <c r="AD30660"/>
    </row>
    <row r="30661" spans="30:30" x14ac:dyDescent="0.25">
      <c r="AD30661"/>
    </row>
    <row r="30662" spans="30:30" x14ac:dyDescent="0.25">
      <c r="AD30662"/>
    </row>
    <row r="30663" spans="30:30" x14ac:dyDescent="0.25">
      <c r="AD30663"/>
    </row>
    <row r="30664" spans="30:30" x14ac:dyDescent="0.25">
      <c r="AD30664"/>
    </row>
    <row r="30665" spans="30:30" x14ac:dyDescent="0.25">
      <c r="AD30665"/>
    </row>
    <row r="30666" spans="30:30" x14ac:dyDescent="0.25">
      <c r="AD30666"/>
    </row>
    <row r="30667" spans="30:30" x14ac:dyDescent="0.25">
      <c r="AD30667"/>
    </row>
    <row r="30668" spans="30:30" x14ac:dyDescent="0.25">
      <c r="AD30668"/>
    </row>
    <row r="30669" spans="30:30" x14ac:dyDescent="0.25">
      <c r="AD30669"/>
    </row>
    <row r="30670" spans="30:30" x14ac:dyDescent="0.25">
      <c r="AD30670"/>
    </row>
    <row r="30671" spans="30:30" x14ac:dyDescent="0.25">
      <c r="AD30671"/>
    </row>
    <row r="30672" spans="30:30" x14ac:dyDescent="0.25">
      <c r="AD30672"/>
    </row>
    <row r="30673" spans="30:30" x14ac:dyDescent="0.25">
      <c r="AD30673"/>
    </row>
    <row r="30674" spans="30:30" x14ac:dyDescent="0.25">
      <c r="AD30674"/>
    </row>
    <row r="30675" spans="30:30" x14ac:dyDescent="0.25">
      <c r="AD30675"/>
    </row>
    <row r="30676" spans="30:30" x14ac:dyDescent="0.25">
      <c r="AD30676"/>
    </row>
    <row r="30677" spans="30:30" x14ac:dyDescent="0.25">
      <c r="AD30677"/>
    </row>
    <row r="30678" spans="30:30" x14ac:dyDescent="0.25">
      <c r="AD30678"/>
    </row>
    <row r="30679" spans="30:30" x14ac:dyDescent="0.25">
      <c r="AD30679"/>
    </row>
    <row r="30680" spans="30:30" x14ac:dyDescent="0.25">
      <c r="AD30680"/>
    </row>
    <row r="30681" spans="30:30" x14ac:dyDescent="0.25">
      <c r="AD30681"/>
    </row>
    <row r="30682" spans="30:30" x14ac:dyDescent="0.25">
      <c r="AD30682"/>
    </row>
    <row r="30683" spans="30:30" x14ac:dyDescent="0.25">
      <c r="AD30683"/>
    </row>
    <row r="30684" spans="30:30" x14ac:dyDescent="0.25">
      <c r="AD30684"/>
    </row>
    <row r="30685" spans="30:30" x14ac:dyDescent="0.25">
      <c r="AD30685"/>
    </row>
    <row r="30686" spans="30:30" x14ac:dyDescent="0.25">
      <c r="AD30686"/>
    </row>
    <row r="30687" spans="30:30" x14ac:dyDescent="0.25">
      <c r="AD30687"/>
    </row>
    <row r="30688" spans="30:30" x14ac:dyDescent="0.25">
      <c r="AD30688"/>
    </row>
    <row r="30689" spans="30:30" x14ac:dyDescent="0.25">
      <c r="AD30689"/>
    </row>
    <row r="30690" spans="30:30" x14ac:dyDescent="0.25">
      <c r="AD30690"/>
    </row>
    <row r="30691" spans="30:30" x14ac:dyDescent="0.25">
      <c r="AD30691"/>
    </row>
    <row r="30692" spans="30:30" x14ac:dyDescent="0.25">
      <c r="AD30692"/>
    </row>
    <row r="30693" spans="30:30" x14ac:dyDescent="0.25">
      <c r="AD30693"/>
    </row>
    <row r="30694" spans="30:30" x14ac:dyDescent="0.25">
      <c r="AD30694"/>
    </row>
    <row r="30695" spans="30:30" x14ac:dyDescent="0.25">
      <c r="AD30695"/>
    </row>
    <row r="30696" spans="30:30" x14ac:dyDescent="0.25">
      <c r="AD30696"/>
    </row>
    <row r="30697" spans="30:30" x14ac:dyDescent="0.25">
      <c r="AD30697"/>
    </row>
    <row r="30698" spans="30:30" x14ac:dyDescent="0.25">
      <c r="AD30698"/>
    </row>
    <row r="30699" spans="30:30" x14ac:dyDescent="0.25">
      <c r="AD30699"/>
    </row>
    <row r="30700" spans="30:30" x14ac:dyDescent="0.25">
      <c r="AD30700"/>
    </row>
    <row r="30701" spans="30:30" x14ac:dyDescent="0.25">
      <c r="AD30701"/>
    </row>
    <row r="30702" spans="30:30" x14ac:dyDescent="0.25">
      <c r="AD30702"/>
    </row>
    <row r="30703" spans="30:30" x14ac:dyDescent="0.25">
      <c r="AD30703"/>
    </row>
    <row r="30704" spans="30:30" x14ac:dyDescent="0.25">
      <c r="AD30704"/>
    </row>
    <row r="30705" spans="30:30" x14ac:dyDescent="0.25">
      <c r="AD30705"/>
    </row>
    <row r="30706" spans="30:30" x14ac:dyDescent="0.25">
      <c r="AD30706"/>
    </row>
    <row r="30707" spans="30:30" x14ac:dyDescent="0.25">
      <c r="AD30707"/>
    </row>
    <row r="30708" spans="30:30" x14ac:dyDescent="0.25">
      <c r="AD30708"/>
    </row>
    <row r="30709" spans="30:30" x14ac:dyDescent="0.25">
      <c r="AD30709"/>
    </row>
    <row r="30710" spans="30:30" x14ac:dyDescent="0.25">
      <c r="AD30710"/>
    </row>
    <row r="30711" spans="30:30" x14ac:dyDescent="0.25">
      <c r="AD30711"/>
    </row>
    <row r="30712" spans="30:30" x14ac:dyDescent="0.25">
      <c r="AD30712"/>
    </row>
    <row r="30713" spans="30:30" x14ac:dyDescent="0.25">
      <c r="AD30713"/>
    </row>
    <row r="30714" spans="30:30" x14ac:dyDescent="0.25">
      <c r="AD30714"/>
    </row>
    <row r="30715" spans="30:30" x14ac:dyDescent="0.25">
      <c r="AD30715"/>
    </row>
    <row r="30716" spans="30:30" x14ac:dyDescent="0.25">
      <c r="AD30716"/>
    </row>
    <row r="30717" spans="30:30" x14ac:dyDescent="0.25">
      <c r="AD30717"/>
    </row>
    <row r="30718" spans="30:30" x14ac:dyDescent="0.25">
      <c r="AD30718"/>
    </row>
    <row r="30719" spans="30:30" x14ac:dyDescent="0.25">
      <c r="AD30719"/>
    </row>
    <row r="30720" spans="30:30" x14ac:dyDescent="0.25">
      <c r="AD30720"/>
    </row>
    <row r="30721" spans="30:30" x14ac:dyDescent="0.25">
      <c r="AD30721"/>
    </row>
    <row r="30722" spans="30:30" x14ac:dyDescent="0.25">
      <c r="AD30722"/>
    </row>
    <row r="30723" spans="30:30" x14ac:dyDescent="0.25">
      <c r="AD30723"/>
    </row>
    <row r="30724" spans="30:30" x14ac:dyDescent="0.25">
      <c r="AD30724"/>
    </row>
    <row r="30725" spans="30:30" x14ac:dyDescent="0.25">
      <c r="AD30725"/>
    </row>
    <row r="30726" spans="30:30" x14ac:dyDescent="0.25">
      <c r="AD30726"/>
    </row>
    <row r="30727" spans="30:30" x14ac:dyDescent="0.25">
      <c r="AD30727"/>
    </row>
    <row r="30728" spans="30:30" x14ac:dyDescent="0.25">
      <c r="AD30728"/>
    </row>
    <row r="30729" spans="30:30" x14ac:dyDescent="0.25">
      <c r="AD30729"/>
    </row>
    <row r="30730" spans="30:30" x14ac:dyDescent="0.25">
      <c r="AD30730"/>
    </row>
    <row r="30731" spans="30:30" x14ac:dyDescent="0.25">
      <c r="AD30731"/>
    </row>
    <row r="30732" spans="30:30" x14ac:dyDescent="0.25">
      <c r="AD30732"/>
    </row>
    <row r="30733" spans="30:30" x14ac:dyDescent="0.25">
      <c r="AD30733"/>
    </row>
    <row r="30734" spans="30:30" x14ac:dyDescent="0.25">
      <c r="AD30734"/>
    </row>
    <row r="30735" spans="30:30" x14ac:dyDescent="0.25">
      <c r="AD30735"/>
    </row>
    <row r="30736" spans="30:30" x14ac:dyDescent="0.25">
      <c r="AD30736"/>
    </row>
    <row r="30737" spans="30:30" x14ac:dyDescent="0.25">
      <c r="AD30737"/>
    </row>
    <row r="30738" spans="30:30" x14ac:dyDescent="0.25">
      <c r="AD30738"/>
    </row>
    <row r="30739" spans="30:30" x14ac:dyDescent="0.25">
      <c r="AD30739"/>
    </row>
    <row r="30740" spans="30:30" x14ac:dyDescent="0.25">
      <c r="AD30740"/>
    </row>
    <row r="30741" spans="30:30" x14ac:dyDescent="0.25">
      <c r="AD30741"/>
    </row>
    <row r="30742" spans="30:30" x14ac:dyDescent="0.25">
      <c r="AD30742"/>
    </row>
    <row r="30743" spans="30:30" x14ac:dyDescent="0.25">
      <c r="AD30743"/>
    </row>
    <row r="30744" spans="30:30" x14ac:dyDescent="0.25">
      <c r="AD30744"/>
    </row>
    <row r="30745" spans="30:30" x14ac:dyDescent="0.25">
      <c r="AD30745"/>
    </row>
    <row r="30746" spans="30:30" x14ac:dyDescent="0.25">
      <c r="AD30746"/>
    </row>
    <row r="30747" spans="30:30" x14ac:dyDescent="0.25">
      <c r="AD30747"/>
    </row>
    <row r="30748" spans="30:30" x14ac:dyDescent="0.25">
      <c r="AD30748"/>
    </row>
    <row r="30749" spans="30:30" x14ac:dyDescent="0.25">
      <c r="AD30749"/>
    </row>
    <row r="30750" spans="30:30" x14ac:dyDescent="0.25">
      <c r="AD30750"/>
    </row>
    <row r="30751" spans="30:30" x14ac:dyDescent="0.25">
      <c r="AD30751"/>
    </row>
    <row r="30752" spans="30:30" x14ac:dyDescent="0.25">
      <c r="AD30752"/>
    </row>
    <row r="30753" spans="30:30" x14ac:dyDescent="0.25">
      <c r="AD30753"/>
    </row>
    <row r="30754" spans="30:30" x14ac:dyDescent="0.25">
      <c r="AD30754"/>
    </row>
    <row r="30755" spans="30:30" x14ac:dyDescent="0.25">
      <c r="AD30755"/>
    </row>
    <row r="30756" spans="30:30" x14ac:dyDescent="0.25">
      <c r="AD30756"/>
    </row>
    <row r="30757" spans="30:30" x14ac:dyDescent="0.25">
      <c r="AD30757"/>
    </row>
    <row r="30758" spans="30:30" x14ac:dyDescent="0.25">
      <c r="AD30758"/>
    </row>
    <row r="30759" spans="30:30" x14ac:dyDescent="0.25">
      <c r="AD30759"/>
    </row>
    <row r="30760" spans="30:30" x14ac:dyDescent="0.25">
      <c r="AD30760"/>
    </row>
    <row r="30761" spans="30:30" x14ac:dyDescent="0.25">
      <c r="AD30761"/>
    </row>
    <row r="30762" spans="30:30" x14ac:dyDescent="0.25">
      <c r="AD30762"/>
    </row>
    <row r="30763" spans="30:30" x14ac:dyDescent="0.25">
      <c r="AD30763"/>
    </row>
    <row r="30764" spans="30:30" x14ac:dyDescent="0.25">
      <c r="AD30764"/>
    </row>
    <row r="30765" spans="30:30" x14ac:dyDescent="0.25">
      <c r="AD30765"/>
    </row>
    <row r="30766" spans="30:30" x14ac:dyDescent="0.25">
      <c r="AD30766"/>
    </row>
    <row r="30767" spans="30:30" x14ac:dyDescent="0.25">
      <c r="AD30767"/>
    </row>
    <row r="30768" spans="30:30" x14ac:dyDescent="0.25">
      <c r="AD30768"/>
    </row>
    <row r="30769" spans="30:30" x14ac:dyDescent="0.25">
      <c r="AD30769"/>
    </row>
    <row r="30770" spans="30:30" x14ac:dyDescent="0.25">
      <c r="AD30770"/>
    </row>
    <row r="30771" spans="30:30" x14ac:dyDescent="0.25">
      <c r="AD30771"/>
    </row>
    <row r="30772" spans="30:30" x14ac:dyDescent="0.25">
      <c r="AD30772"/>
    </row>
    <row r="30773" spans="30:30" x14ac:dyDescent="0.25">
      <c r="AD30773"/>
    </row>
    <row r="30774" spans="30:30" x14ac:dyDescent="0.25">
      <c r="AD30774"/>
    </row>
    <row r="30775" spans="30:30" x14ac:dyDescent="0.25">
      <c r="AD30775"/>
    </row>
    <row r="30776" spans="30:30" x14ac:dyDescent="0.25">
      <c r="AD30776"/>
    </row>
    <row r="30777" spans="30:30" x14ac:dyDescent="0.25">
      <c r="AD30777"/>
    </row>
    <row r="30778" spans="30:30" x14ac:dyDescent="0.25">
      <c r="AD30778"/>
    </row>
    <row r="30779" spans="30:30" x14ac:dyDescent="0.25">
      <c r="AD30779"/>
    </row>
    <row r="30780" spans="30:30" x14ac:dyDescent="0.25">
      <c r="AD30780"/>
    </row>
    <row r="30781" spans="30:30" x14ac:dyDescent="0.25">
      <c r="AD30781"/>
    </row>
    <row r="30782" spans="30:30" x14ac:dyDescent="0.25">
      <c r="AD30782"/>
    </row>
    <row r="30783" spans="30:30" x14ac:dyDescent="0.25">
      <c r="AD30783"/>
    </row>
    <row r="30784" spans="30:30" x14ac:dyDescent="0.25">
      <c r="AD30784"/>
    </row>
    <row r="30785" spans="30:30" x14ac:dyDescent="0.25">
      <c r="AD30785"/>
    </row>
    <row r="30786" spans="30:30" x14ac:dyDescent="0.25">
      <c r="AD30786"/>
    </row>
    <row r="30787" spans="30:30" x14ac:dyDescent="0.25">
      <c r="AD30787"/>
    </row>
    <row r="30788" spans="30:30" x14ac:dyDescent="0.25">
      <c r="AD30788"/>
    </row>
    <row r="30789" spans="30:30" x14ac:dyDescent="0.25">
      <c r="AD30789"/>
    </row>
    <row r="30790" spans="30:30" x14ac:dyDescent="0.25">
      <c r="AD30790"/>
    </row>
    <row r="30791" spans="30:30" x14ac:dyDescent="0.25">
      <c r="AD30791"/>
    </row>
    <row r="30792" spans="30:30" x14ac:dyDescent="0.25">
      <c r="AD30792"/>
    </row>
    <row r="30793" spans="30:30" x14ac:dyDescent="0.25">
      <c r="AD30793"/>
    </row>
    <row r="30794" spans="30:30" x14ac:dyDescent="0.25">
      <c r="AD30794"/>
    </row>
    <row r="30795" spans="30:30" x14ac:dyDescent="0.25">
      <c r="AD30795"/>
    </row>
    <row r="30796" spans="30:30" x14ac:dyDescent="0.25">
      <c r="AD30796"/>
    </row>
    <row r="30797" spans="30:30" x14ac:dyDescent="0.25">
      <c r="AD30797"/>
    </row>
    <row r="30798" spans="30:30" x14ac:dyDescent="0.25">
      <c r="AD30798"/>
    </row>
    <row r="30799" spans="30:30" x14ac:dyDescent="0.25">
      <c r="AD30799"/>
    </row>
    <row r="30800" spans="30:30" x14ac:dyDescent="0.25">
      <c r="AD30800"/>
    </row>
    <row r="30801" spans="30:30" x14ac:dyDescent="0.25">
      <c r="AD30801"/>
    </row>
    <row r="30802" spans="30:30" x14ac:dyDescent="0.25">
      <c r="AD30802"/>
    </row>
    <row r="30803" spans="30:30" x14ac:dyDescent="0.25">
      <c r="AD30803"/>
    </row>
    <row r="30804" spans="30:30" x14ac:dyDescent="0.25">
      <c r="AD30804"/>
    </row>
    <row r="30805" spans="30:30" x14ac:dyDescent="0.25">
      <c r="AD30805"/>
    </row>
    <row r="30806" spans="30:30" x14ac:dyDescent="0.25">
      <c r="AD30806"/>
    </row>
    <row r="30807" spans="30:30" x14ac:dyDescent="0.25">
      <c r="AD30807"/>
    </row>
    <row r="30808" spans="30:30" x14ac:dyDescent="0.25">
      <c r="AD30808"/>
    </row>
    <row r="30809" spans="30:30" x14ac:dyDescent="0.25">
      <c r="AD30809"/>
    </row>
    <row r="30810" spans="30:30" x14ac:dyDescent="0.25">
      <c r="AD30810"/>
    </row>
    <row r="30811" spans="30:30" x14ac:dyDescent="0.25">
      <c r="AD30811"/>
    </row>
    <row r="30812" spans="30:30" x14ac:dyDescent="0.25">
      <c r="AD30812"/>
    </row>
    <row r="30813" spans="30:30" x14ac:dyDescent="0.25">
      <c r="AD30813"/>
    </row>
    <row r="30814" spans="30:30" x14ac:dyDescent="0.25">
      <c r="AD30814"/>
    </row>
    <row r="30815" spans="30:30" x14ac:dyDescent="0.25">
      <c r="AD30815"/>
    </row>
    <row r="30816" spans="30:30" x14ac:dyDescent="0.25">
      <c r="AD30816"/>
    </row>
    <row r="30817" spans="30:30" x14ac:dyDescent="0.25">
      <c r="AD30817"/>
    </row>
    <row r="30818" spans="30:30" x14ac:dyDescent="0.25">
      <c r="AD30818"/>
    </row>
    <row r="30819" spans="30:30" x14ac:dyDescent="0.25">
      <c r="AD30819"/>
    </row>
    <row r="30820" spans="30:30" x14ac:dyDescent="0.25">
      <c r="AD30820"/>
    </row>
    <row r="30821" spans="30:30" x14ac:dyDescent="0.25">
      <c r="AD30821"/>
    </row>
    <row r="30822" spans="30:30" x14ac:dyDescent="0.25">
      <c r="AD30822"/>
    </row>
    <row r="30823" spans="30:30" x14ac:dyDescent="0.25">
      <c r="AD30823"/>
    </row>
    <row r="30824" spans="30:30" x14ac:dyDescent="0.25">
      <c r="AD30824"/>
    </row>
    <row r="30825" spans="30:30" x14ac:dyDescent="0.25">
      <c r="AD30825"/>
    </row>
    <row r="30826" spans="30:30" x14ac:dyDescent="0.25">
      <c r="AD30826"/>
    </row>
    <row r="30827" spans="30:30" x14ac:dyDescent="0.25">
      <c r="AD30827"/>
    </row>
    <row r="30828" spans="30:30" x14ac:dyDescent="0.25">
      <c r="AD30828"/>
    </row>
    <row r="30829" spans="30:30" x14ac:dyDescent="0.25">
      <c r="AD30829"/>
    </row>
    <row r="30830" spans="30:30" x14ac:dyDescent="0.25">
      <c r="AD30830"/>
    </row>
    <row r="30831" spans="30:30" x14ac:dyDescent="0.25">
      <c r="AD30831"/>
    </row>
    <row r="30832" spans="30:30" x14ac:dyDescent="0.25">
      <c r="AD30832"/>
    </row>
    <row r="30833" spans="30:30" x14ac:dyDescent="0.25">
      <c r="AD30833"/>
    </row>
    <row r="30834" spans="30:30" x14ac:dyDescent="0.25">
      <c r="AD30834"/>
    </row>
    <row r="30835" spans="30:30" x14ac:dyDescent="0.25">
      <c r="AD30835"/>
    </row>
    <row r="30836" spans="30:30" x14ac:dyDescent="0.25">
      <c r="AD30836"/>
    </row>
    <row r="30837" spans="30:30" x14ac:dyDescent="0.25">
      <c r="AD30837"/>
    </row>
    <row r="30838" spans="30:30" x14ac:dyDescent="0.25">
      <c r="AD30838"/>
    </row>
    <row r="30839" spans="30:30" x14ac:dyDescent="0.25">
      <c r="AD30839"/>
    </row>
    <row r="30840" spans="30:30" x14ac:dyDescent="0.25">
      <c r="AD30840"/>
    </row>
    <row r="30841" spans="30:30" x14ac:dyDescent="0.25">
      <c r="AD30841"/>
    </row>
    <row r="30842" spans="30:30" x14ac:dyDescent="0.25">
      <c r="AD30842"/>
    </row>
    <row r="30843" spans="30:30" x14ac:dyDescent="0.25">
      <c r="AD30843"/>
    </row>
    <row r="30844" spans="30:30" x14ac:dyDescent="0.25">
      <c r="AD30844"/>
    </row>
    <row r="30845" spans="30:30" x14ac:dyDescent="0.25">
      <c r="AD30845"/>
    </row>
    <row r="30846" spans="30:30" x14ac:dyDescent="0.25">
      <c r="AD30846"/>
    </row>
    <row r="30847" spans="30:30" x14ac:dyDescent="0.25">
      <c r="AD30847"/>
    </row>
    <row r="30848" spans="30:30" x14ac:dyDescent="0.25">
      <c r="AD30848"/>
    </row>
    <row r="30849" spans="30:30" x14ac:dyDescent="0.25">
      <c r="AD30849"/>
    </row>
    <row r="30850" spans="30:30" x14ac:dyDescent="0.25">
      <c r="AD30850"/>
    </row>
    <row r="30851" spans="30:30" x14ac:dyDescent="0.25">
      <c r="AD30851"/>
    </row>
    <row r="30852" spans="30:30" x14ac:dyDescent="0.25">
      <c r="AD30852"/>
    </row>
    <row r="30853" spans="30:30" x14ac:dyDescent="0.25">
      <c r="AD30853"/>
    </row>
    <row r="30854" spans="30:30" x14ac:dyDescent="0.25">
      <c r="AD30854"/>
    </row>
    <row r="30855" spans="30:30" x14ac:dyDescent="0.25">
      <c r="AD30855"/>
    </row>
    <row r="30856" spans="30:30" x14ac:dyDescent="0.25">
      <c r="AD30856"/>
    </row>
    <row r="30857" spans="30:30" x14ac:dyDescent="0.25">
      <c r="AD30857"/>
    </row>
    <row r="30858" spans="30:30" x14ac:dyDescent="0.25">
      <c r="AD30858"/>
    </row>
    <row r="30859" spans="30:30" x14ac:dyDescent="0.25">
      <c r="AD30859"/>
    </row>
    <row r="30860" spans="30:30" x14ac:dyDescent="0.25">
      <c r="AD30860"/>
    </row>
    <row r="30861" spans="30:30" x14ac:dyDescent="0.25">
      <c r="AD30861"/>
    </row>
    <row r="30862" spans="30:30" x14ac:dyDescent="0.25">
      <c r="AD30862"/>
    </row>
    <row r="30863" spans="30:30" x14ac:dyDescent="0.25">
      <c r="AD30863"/>
    </row>
    <row r="30864" spans="30:30" x14ac:dyDescent="0.25">
      <c r="AD30864"/>
    </row>
    <row r="30865" spans="30:30" x14ac:dyDescent="0.25">
      <c r="AD30865"/>
    </row>
    <row r="30866" spans="30:30" x14ac:dyDescent="0.25">
      <c r="AD30866"/>
    </row>
    <row r="30867" spans="30:30" x14ac:dyDescent="0.25">
      <c r="AD30867"/>
    </row>
    <row r="30868" spans="30:30" x14ac:dyDescent="0.25">
      <c r="AD30868"/>
    </row>
    <row r="30869" spans="30:30" x14ac:dyDescent="0.25">
      <c r="AD30869"/>
    </row>
    <row r="30870" spans="30:30" x14ac:dyDescent="0.25">
      <c r="AD30870"/>
    </row>
    <row r="30871" spans="30:30" x14ac:dyDescent="0.25">
      <c r="AD30871"/>
    </row>
    <row r="30872" spans="30:30" x14ac:dyDescent="0.25">
      <c r="AD30872"/>
    </row>
    <row r="30873" spans="30:30" x14ac:dyDescent="0.25">
      <c r="AD30873"/>
    </row>
    <row r="30874" spans="30:30" x14ac:dyDescent="0.25">
      <c r="AD30874"/>
    </row>
    <row r="30875" spans="30:30" x14ac:dyDescent="0.25">
      <c r="AD30875"/>
    </row>
    <row r="30876" spans="30:30" x14ac:dyDescent="0.25">
      <c r="AD30876"/>
    </row>
    <row r="30877" spans="30:30" x14ac:dyDescent="0.25">
      <c r="AD30877"/>
    </row>
    <row r="30878" spans="30:30" x14ac:dyDescent="0.25">
      <c r="AD30878"/>
    </row>
    <row r="30879" spans="30:30" x14ac:dyDescent="0.25">
      <c r="AD30879"/>
    </row>
    <row r="30880" spans="30:30" x14ac:dyDescent="0.25">
      <c r="AD30880"/>
    </row>
    <row r="30881" spans="30:30" x14ac:dyDescent="0.25">
      <c r="AD30881"/>
    </row>
    <row r="30882" spans="30:30" x14ac:dyDescent="0.25">
      <c r="AD30882"/>
    </row>
    <row r="30883" spans="30:30" x14ac:dyDescent="0.25">
      <c r="AD30883"/>
    </row>
    <row r="30884" spans="30:30" x14ac:dyDescent="0.25">
      <c r="AD30884"/>
    </row>
    <row r="30885" spans="30:30" x14ac:dyDescent="0.25">
      <c r="AD30885"/>
    </row>
    <row r="30886" spans="30:30" x14ac:dyDescent="0.25">
      <c r="AD30886"/>
    </row>
    <row r="30887" spans="30:30" x14ac:dyDescent="0.25">
      <c r="AD30887"/>
    </row>
    <row r="30888" spans="30:30" x14ac:dyDescent="0.25">
      <c r="AD30888"/>
    </row>
    <row r="30889" spans="30:30" x14ac:dyDescent="0.25">
      <c r="AD30889"/>
    </row>
    <row r="30890" spans="30:30" x14ac:dyDescent="0.25">
      <c r="AD30890"/>
    </row>
    <row r="30891" spans="30:30" x14ac:dyDescent="0.25">
      <c r="AD30891"/>
    </row>
    <row r="30892" spans="30:30" x14ac:dyDescent="0.25">
      <c r="AD30892"/>
    </row>
    <row r="30893" spans="30:30" x14ac:dyDescent="0.25">
      <c r="AD30893"/>
    </row>
    <row r="30894" spans="30:30" x14ac:dyDescent="0.25">
      <c r="AD30894"/>
    </row>
    <row r="30895" spans="30:30" x14ac:dyDescent="0.25">
      <c r="AD30895"/>
    </row>
    <row r="30896" spans="30:30" x14ac:dyDescent="0.25">
      <c r="AD30896"/>
    </row>
    <row r="30897" spans="30:30" x14ac:dyDescent="0.25">
      <c r="AD30897"/>
    </row>
    <row r="30898" spans="30:30" x14ac:dyDescent="0.25">
      <c r="AD30898"/>
    </row>
    <row r="30899" spans="30:30" x14ac:dyDescent="0.25">
      <c r="AD30899"/>
    </row>
    <row r="30900" spans="30:30" x14ac:dyDescent="0.25">
      <c r="AD30900"/>
    </row>
    <row r="30901" spans="30:30" x14ac:dyDescent="0.25">
      <c r="AD30901"/>
    </row>
    <row r="30902" spans="30:30" x14ac:dyDescent="0.25">
      <c r="AD30902"/>
    </row>
    <row r="30903" spans="30:30" x14ac:dyDescent="0.25">
      <c r="AD30903"/>
    </row>
    <row r="30904" spans="30:30" x14ac:dyDescent="0.25">
      <c r="AD30904"/>
    </row>
    <row r="30905" spans="30:30" x14ac:dyDescent="0.25">
      <c r="AD30905"/>
    </row>
    <row r="30906" spans="30:30" x14ac:dyDescent="0.25">
      <c r="AD30906"/>
    </row>
    <row r="30907" spans="30:30" x14ac:dyDescent="0.25">
      <c r="AD30907"/>
    </row>
    <row r="30908" spans="30:30" x14ac:dyDescent="0.25">
      <c r="AD30908"/>
    </row>
    <row r="30909" spans="30:30" x14ac:dyDescent="0.25">
      <c r="AD30909"/>
    </row>
    <row r="30910" spans="30:30" x14ac:dyDescent="0.25">
      <c r="AD30910"/>
    </row>
    <row r="30911" spans="30:30" x14ac:dyDescent="0.25">
      <c r="AD30911"/>
    </row>
    <row r="30912" spans="30:30" x14ac:dyDescent="0.25">
      <c r="AD30912"/>
    </row>
    <row r="30913" spans="30:30" x14ac:dyDescent="0.25">
      <c r="AD30913"/>
    </row>
    <row r="30914" spans="30:30" x14ac:dyDescent="0.25">
      <c r="AD30914"/>
    </row>
    <row r="30915" spans="30:30" x14ac:dyDescent="0.25">
      <c r="AD30915"/>
    </row>
    <row r="30916" spans="30:30" x14ac:dyDescent="0.25">
      <c r="AD30916"/>
    </row>
    <row r="30917" spans="30:30" x14ac:dyDescent="0.25">
      <c r="AD30917"/>
    </row>
    <row r="30918" spans="30:30" x14ac:dyDescent="0.25">
      <c r="AD30918"/>
    </row>
    <row r="30919" spans="30:30" x14ac:dyDescent="0.25">
      <c r="AD30919"/>
    </row>
    <row r="30920" spans="30:30" x14ac:dyDescent="0.25">
      <c r="AD30920"/>
    </row>
    <row r="30921" spans="30:30" x14ac:dyDescent="0.25">
      <c r="AD30921"/>
    </row>
    <row r="30922" spans="30:30" x14ac:dyDescent="0.25">
      <c r="AD30922"/>
    </row>
    <row r="30923" spans="30:30" x14ac:dyDescent="0.25">
      <c r="AD30923"/>
    </row>
    <row r="30924" spans="30:30" x14ac:dyDescent="0.25">
      <c r="AD30924"/>
    </row>
    <row r="30925" spans="30:30" x14ac:dyDescent="0.25">
      <c r="AD30925"/>
    </row>
    <row r="30926" spans="30:30" x14ac:dyDescent="0.25">
      <c r="AD30926"/>
    </row>
    <row r="30927" spans="30:30" x14ac:dyDescent="0.25">
      <c r="AD30927"/>
    </row>
    <row r="30928" spans="30:30" x14ac:dyDescent="0.25">
      <c r="AD30928"/>
    </row>
    <row r="30929" spans="30:30" x14ac:dyDescent="0.25">
      <c r="AD30929"/>
    </row>
    <row r="30930" spans="30:30" x14ac:dyDescent="0.25">
      <c r="AD30930"/>
    </row>
    <row r="30931" spans="30:30" x14ac:dyDescent="0.25">
      <c r="AD30931"/>
    </row>
    <row r="30932" spans="30:30" x14ac:dyDescent="0.25">
      <c r="AD30932"/>
    </row>
    <row r="30933" spans="30:30" x14ac:dyDescent="0.25">
      <c r="AD30933"/>
    </row>
    <row r="30934" spans="30:30" x14ac:dyDescent="0.25">
      <c r="AD30934"/>
    </row>
    <row r="30935" spans="30:30" x14ac:dyDescent="0.25">
      <c r="AD30935"/>
    </row>
    <row r="30936" spans="30:30" x14ac:dyDescent="0.25">
      <c r="AD30936"/>
    </row>
    <row r="30937" spans="30:30" x14ac:dyDescent="0.25">
      <c r="AD30937"/>
    </row>
    <row r="30938" spans="30:30" x14ac:dyDescent="0.25">
      <c r="AD30938"/>
    </row>
    <row r="30939" spans="30:30" x14ac:dyDescent="0.25">
      <c r="AD30939"/>
    </row>
    <row r="30940" spans="30:30" x14ac:dyDescent="0.25">
      <c r="AD30940"/>
    </row>
    <row r="30941" spans="30:30" x14ac:dyDescent="0.25">
      <c r="AD30941"/>
    </row>
    <row r="30942" spans="30:30" x14ac:dyDescent="0.25">
      <c r="AD30942"/>
    </row>
    <row r="30943" spans="30:30" x14ac:dyDescent="0.25">
      <c r="AD30943"/>
    </row>
    <row r="30944" spans="30:30" x14ac:dyDescent="0.25">
      <c r="AD30944"/>
    </row>
    <row r="30945" spans="30:30" x14ac:dyDescent="0.25">
      <c r="AD30945"/>
    </row>
    <row r="30946" spans="30:30" x14ac:dyDescent="0.25">
      <c r="AD30946"/>
    </row>
    <row r="30947" spans="30:30" x14ac:dyDescent="0.25">
      <c r="AD30947"/>
    </row>
    <row r="30948" spans="30:30" x14ac:dyDescent="0.25">
      <c r="AD30948"/>
    </row>
    <row r="30949" spans="30:30" x14ac:dyDescent="0.25">
      <c r="AD30949"/>
    </row>
    <row r="30950" spans="30:30" x14ac:dyDescent="0.25">
      <c r="AD30950"/>
    </row>
    <row r="30951" spans="30:30" x14ac:dyDescent="0.25">
      <c r="AD30951"/>
    </row>
    <row r="30952" spans="30:30" x14ac:dyDescent="0.25">
      <c r="AD30952"/>
    </row>
    <row r="30953" spans="30:30" x14ac:dyDescent="0.25">
      <c r="AD30953"/>
    </row>
    <row r="30954" spans="30:30" x14ac:dyDescent="0.25">
      <c r="AD30954"/>
    </row>
    <row r="30955" spans="30:30" x14ac:dyDescent="0.25">
      <c r="AD30955"/>
    </row>
    <row r="30956" spans="30:30" x14ac:dyDescent="0.25">
      <c r="AD30956"/>
    </row>
    <row r="30957" spans="30:30" x14ac:dyDescent="0.25">
      <c r="AD30957"/>
    </row>
    <row r="30958" spans="30:30" x14ac:dyDescent="0.25">
      <c r="AD30958"/>
    </row>
    <row r="30959" spans="30:30" x14ac:dyDescent="0.25">
      <c r="AD30959"/>
    </row>
    <row r="30960" spans="30:30" x14ac:dyDescent="0.25">
      <c r="AD30960"/>
    </row>
    <row r="30961" spans="30:30" x14ac:dyDescent="0.25">
      <c r="AD30961"/>
    </row>
    <row r="30962" spans="30:30" x14ac:dyDescent="0.25">
      <c r="AD30962"/>
    </row>
    <row r="30963" spans="30:30" x14ac:dyDescent="0.25">
      <c r="AD30963"/>
    </row>
    <row r="30964" spans="30:30" x14ac:dyDescent="0.25">
      <c r="AD30964"/>
    </row>
    <row r="30965" spans="30:30" x14ac:dyDescent="0.25">
      <c r="AD30965"/>
    </row>
    <row r="30966" spans="30:30" x14ac:dyDescent="0.25">
      <c r="AD30966"/>
    </row>
    <row r="30967" spans="30:30" x14ac:dyDescent="0.25">
      <c r="AD30967"/>
    </row>
    <row r="30968" spans="30:30" x14ac:dyDescent="0.25">
      <c r="AD30968"/>
    </row>
    <row r="30969" spans="30:30" x14ac:dyDescent="0.25">
      <c r="AD30969"/>
    </row>
    <row r="30970" spans="30:30" x14ac:dyDescent="0.25">
      <c r="AD30970"/>
    </row>
    <row r="30971" spans="30:30" x14ac:dyDescent="0.25">
      <c r="AD30971"/>
    </row>
    <row r="30972" spans="30:30" x14ac:dyDescent="0.25">
      <c r="AD30972"/>
    </row>
    <row r="30973" spans="30:30" x14ac:dyDescent="0.25">
      <c r="AD30973"/>
    </row>
    <row r="30974" spans="30:30" x14ac:dyDescent="0.25">
      <c r="AD30974"/>
    </row>
    <row r="30975" spans="30:30" x14ac:dyDescent="0.25">
      <c r="AD30975"/>
    </row>
    <row r="30976" spans="30:30" x14ac:dyDescent="0.25">
      <c r="AD30976"/>
    </row>
    <row r="30977" spans="30:30" x14ac:dyDescent="0.25">
      <c r="AD30977"/>
    </row>
    <row r="30978" spans="30:30" x14ac:dyDescent="0.25">
      <c r="AD30978"/>
    </row>
    <row r="30979" spans="30:30" x14ac:dyDescent="0.25">
      <c r="AD30979"/>
    </row>
    <row r="30980" spans="30:30" x14ac:dyDescent="0.25">
      <c r="AD30980"/>
    </row>
    <row r="30981" spans="30:30" x14ac:dyDescent="0.25">
      <c r="AD30981"/>
    </row>
    <row r="30982" spans="30:30" x14ac:dyDescent="0.25">
      <c r="AD30982"/>
    </row>
    <row r="30983" spans="30:30" x14ac:dyDescent="0.25">
      <c r="AD30983"/>
    </row>
    <row r="30984" spans="30:30" x14ac:dyDescent="0.25">
      <c r="AD30984"/>
    </row>
    <row r="30985" spans="30:30" x14ac:dyDescent="0.25">
      <c r="AD30985"/>
    </row>
    <row r="30986" spans="30:30" x14ac:dyDescent="0.25">
      <c r="AD30986"/>
    </row>
    <row r="30987" spans="30:30" x14ac:dyDescent="0.25">
      <c r="AD30987"/>
    </row>
    <row r="30988" spans="30:30" x14ac:dyDescent="0.25">
      <c r="AD30988"/>
    </row>
    <row r="30989" spans="30:30" x14ac:dyDescent="0.25">
      <c r="AD30989"/>
    </row>
    <row r="30990" spans="30:30" x14ac:dyDescent="0.25">
      <c r="AD30990"/>
    </row>
    <row r="30991" spans="30:30" x14ac:dyDescent="0.25">
      <c r="AD30991"/>
    </row>
    <row r="30992" spans="30:30" x14ac:dyDescent="0.25">
      <c r="AD30992"/>
    </row>
    <row r="30993" spans="30:30" x14ac:dyDescent="0.25">
      <c r="AD30993"/>
    </row>
    <row r="30994" spans="30:30" x14ac:dyDescent="0.25">
      <c r="AD30994"/>
    </row>
    <row r="30995" spans="30:30" x14ac:dyDescent="0.25">
      <c r="AD30995"/>
    </row>
    <row r="30996" spans="30:30" x14ac:dyDescent="0.25">
      <c r="AD30996"/>
    </row>
    <row r="30997" spans="30:30" x14ac:dyDescent="0.25">
      <c r="AD30997"/>
    </row>
    <row r="30998" spans="30:30" x14ac:dyDescent="0.25">
      <c r="AD30998"/>
    </row>
    <row r="30999" spans="30:30" x14ac:dyDescent="0.25">
      <c r="AD30999"/>
    </row>
    <row r="31000" spans="30:30" x14ac:dyDescent="0.25">
      <c r="AD31000"/>
    </row>
    <row r="31001" spans="30:30" x14ac:dyDescent="0.25">
      <c r="AD31001"/>
    </row>
    <row r="31002" spans="30:30" x14ac:dyDescent="0.25">
      <c r="AD31002"/>
    </row>
    <row r="31003" spans="30:30" x14ac:dyDescent="0.25">
      <c r="AD31003"/>
    </row>
    <row r="31004" spans="30:30" x14ac:dyDescent="0.25">
      <c r="AD31004"/>
    </row>
    <row r="31005" spans="30:30" x14ac:dyDescent="0.25">
      <c r="AD31005"/>
    </row>
    <row r="31006" spans="30:30" x14ac:dyDescent="0.25">
      <c r="AD31006"/>
    </row>
    <row r="31007" spans="30:30" x14ac:dyDescent="0.25">
      <c r="AD31007"/>
    </row>
    <row r="31008" spans="30:30" x14ac:dyDescent="0.25">
      <c r="AD31008"/>
    </row>
    <row r="31009" spans="30:30" x14ac:dyDescent="0.25">
      <c r="AD31009"/>
    </row>
    <row r="31010" spans="30:30" x14ac:dyDescent="0.25">
      <c r="AD31010"/>
    </row>
    <row r="31011" spans="30:30" x14ac:dyDescent="0.25">
      <c r="AD31011"/>
    </row>
    <row r="31012" spans="30:30" x14ac:dyDescent="0.25">
      <c r="AD31012"/>
    </row>
    <row r="31013" spans="30:30" x14ac:dyDescent="0.25">
      <c r="AD31013"/>
    </row>
    <row r="31014" spans="30:30" x14ac:dyDescent="0.25">
      <c r="AD31014"/>
    </row>
    <row r="31015" spans="30:30" x14ac:dyDescent="0.25">
      <c r="AD31015"/>
    </row>
    <row r="31016" spans="30:30" x14ac:dyDescent="0.25">
      <c r="AD31016"/>
    </row>
    <row r="31017" spans="30:30" x14ac:dyDescent="0.25">
      <c r="AD31017"/>
    </row>
    <row r="31018" spans="30:30" x14ac:dyDescent="0.25">
      <c r="AD31018"/>
    </row>
    <row r="31019" spans="30:30" x14ac:dyDescent="0.25">
      <c r="AD31019"/>
    </row>
    <row r="31020" spans="30:30" x14ac:dyDescent="0.25">
      <c r="AD31020"/>
    </row>
    <row r="31021" spans="30:30" x14ac:dyDescent="0.25">
      <c r="AD31021"/>
    </row>
    <row r="31022" spans="30:30" x14ac:dyDescent="0.25">
      <c r="AD31022"/>
    </row>
    <row r="31023" spans="30:30" x14ac:dyDescent="0.25">
      <c r="AD31023"/>
    </row>
    <row r="31024" spans="30:30" x14ac:dyDescent="0.25">
      <c r="AD31024"/>
    </row>
    <row r="31025" spans="30:30" x14ac:dyDescent="0.25">
      <c r="AD31025"/>
    </row>
    <row r="31026" spans="30:30" x14ac:dyDescent="0.25">
      <c r="AD31026"/>
    </row>
    <row r="31027" spans="30:30" x14ac:dyDescent="0.25">
      <c r="AD31027"/>
    </row>
    <row r="31028" spans="30:30" x14ac:dyDescent="0.25">
      <c r="AD31028"/>
    </row>
    <row r="31029" spans="30:30" x14ac:dyDescent="0.25">
      <c r="AD31029"/>
    </row>
    <row r="31030" spans="30:30" x14ac:dyDescent="0.25">
      <c r="AD31030"/>
    </row>
    <row r="31031" spans="30:30" x14ac:dyDescent="0.25">
      <c r="AD31031"/>
    </row>
    <row r="31032" spans="30:30" x14ac:dyDescent="0.25">
      <c r="AD31032"/>
    </row>
    <row r="31033" spans="30:30" x14ac:dyDescent="0.25">
      <c r="AD31033"/>
    </row>
    <row r="31034" spans="30:30" x14ac:dyDescent="0.25">
      <c r="AD31034"/>
    </row>
    <row r="31035" spans="30:30" x14ac:dyDescent="0.25">
      <c r="AD31035"/>
    </row>
    <row r="31036" spans="30:30" x14ac:dyDescent="0.25">
      <c r="AD31036"/>
    </row>
    <row r="31037" spans="30:30" x14ac:dyDescent="0.25">
      <c r="AD31037"/>
    </row>
    <row r="31038" spans="30:30" x14ac:dyDescent="0.25">
      <c r="AD31038"/>
    </row>
    <row r="31039" spans="30:30" x14ac:dyDescent="0.25">
      <c r="AD31039"/>
    </row>
    <row r="31040" spans="30:30" x14ac:dyDescent="0.25">
      <c r="AD31040"/>
    </row>
    <row r="31041" spans="30:30" x14ac:dyDescent="0.25">
      <c r="AD31041"/>
    </row>
    <row r="31042" spans="30:30" x14ac:dyDescent="0.25">
      <c r="AD31042"/>
    </row>
    <row r="31043" spans="30:30" x14ac:dyDescent="0.25">
      <c r="AD31043"/>
    </row>
    <row r="31044" spans="30:30" x14ac:dyDescent="0.25">
      <c r="AD31044"/>
    </row>
    <row r="31045" spans="30:30" x14ac:dyDescent="0.25">
      <c r="AD31045"/>
    </row>
    <row r="31046" spans="30:30" x14ac:dyDescent="0.25">
      <c r="AD31046"/>
    </row>
    <row r="31047" spans="30:30" x14ac:dyDescent="0.25">
      <c r="AD31047"/>
    </row>
    <row r="31048" spans="30:30" x14ac:dyDescent="0.25">
      <c r="AD31048"/>
    </row>
    <row r="31049" spans="30:30" x14ac:dyDescent="0.25">
      <c r="AD31049"/>
    </row>
    <row r="31050" spans="30:30" x14ac:dyDescent="0.25">
      <c r="AD31050"/>
    </row>
    <row r="31051" spans="30:30" x14ac:dyDescent="0.25">
      <c r="AD31051"/>
    </row>
    <row r="31052" spans="30:30" x14ac:dyDescent="0.25">
      <c r="AD31052"/>
    </row>
    <row r="31053" spans="30:30" x14ac:dyDescent="0.25">
      <c r="AD31053"/>
    </row>
    <row r="31054" spans="30:30" x14ac:dyDescent="0.25">
      <c r="AD31054"/>
    </row>
    <row r="31055" spans="30:30" x14ac:dyDescent="0.25">
      <c r="AD31055"/>
    </row>
    <row r="31056" spans="30:30" x14ac:dyDescent="0.25">
      <c r="AD31056"/>
    </row>
    <row r="31057" spans="30:30" x14ac:dyDescent="0.25">
      <c r="AD31057"/>
    </row>
    <row r="31058" spans="30:30" x14ac:dyDescent="0.25">
      <c r="AD31058"/>
    </row>
    <row r="31059" spans="30:30" x14ac:dyDescent="0.25">
      <c r="AD31059"/>
    </row>
    <row r="31060" spans="30:30" x14ac:dyDescent="0.25">
      <c r="AD31060"/>
    </row>
    <row r="31061" spans="30:30" x14ac:dyDescent="0.25">
      <c r="AD31061"/>
    </row>
    <row r="31062" spans="30:30" x14ac:dyDescent="0.25">
      <c r="AD31062"/>
    </row>
    <row r="31063" spans="30:30" x14ac:dyDescent="0.25">
      <c r="AD31063"/>
    </row>
    <row r="31064" spans="30:30" x14ac:dyDescent="0.25">
      <c r="AD31064"/>
    </row>
    <row r="31065" spans="30:30" x14ac:dyDescent="0.25">
      <c r="AD31065"/>
    </row>
    <row r="31066" spans="30:30" x14ac:dyDescent="0.25">
      <c r="AD31066"/>
    </row>
    <row r="31067" spans="30:30" x14ac:dyDescent="0.25">
      <c r="AD31067"/>
    </row>
    <row r="31068" spans="30:30" x14ac:dyDescent="0.25">
      <c r="AD31068"/>
    </row>
    <row r="31069" spans="30:30" x14ac:dyDescent="0.25">
      <c r="AD31069"/>
    </row>
    <row r="31070" spans="30:30" x14ac:dyDescent="0.25">
      <c r="AD31070"/>
    </row>
    <row r="31071" spans="30:30" x14ac:dyDescent="0.25">
      <c r="AD31071"/>
    </row>
    <row r="31072" spans="30:30" x14ac:dyDescent="0.25">
      <c r="AD31072"/>
    </row>
    <row r="31073" spans="30:30" x14ac:dyDescent="0.25">
      <c r="AD31073"/>
    </row>
    <row r="31074" spans="30:30" x14ac:dyDescent="0.25">
      <c r="AD31074"/>
    </row>
    <row r="31075" spans="30:30" x14ac:dyDescent="0.25">
      <c r="AD31075"/>
    </row>
    <row r="31076" spans="30:30" x14ac:dyDescent="0.25">
      <c r="AD31076"/>
    </row>
    <row r="31077" spans="30:30" x14ac:dyDescent="0.25">
      <c r="AD31077"/>
    </row>
    <row r="31078" spans="30:30" x14ac:dyDescent="0.25">
      <c r="AD31078"/>
    </row>
    <row r="31079" spans="30:30" x14ac:dyDescent="0.25">
      <c r="AD31079"/>
    </row>
    <row r="31080" spans="30:30" x14ac:dyDescent="0.25">
      <c r="AD31080"/>
    </row>
    <row r="31081" spans="30:30" x14ac:dyDescent="0.25">
      <c r="AD31081"/>
    </row>
    <row r="31082" spans="30:30" x14ac:dyDescent="0.25">
      <c r="AD31082"/>
    </row>
    <row r="31083" spans="30:30" x14ac:dyDescent="0.25">
      <c r="AD31083"/>
    </row>
    <row r="31084" spans="30:30" x14ac:dyDescent="0.25">
      <c r="AD31084"/>
    </row>
    <row r="31085" spans="30:30" x14ac:dyDescent="0.25">
      <c r="AD31085"/>
    </row>
    <row r="31086" spans="30:30" x14ac:dyDescent="0.25">
      <c r="AD31086"/>
    </row>
    <row r="31087" spans="30:30" x14ac:dyDescent="0.25">
      <c r="AD31087"/>
    </row>
    <row r="31088" spans="30:30" x14ac:dyDescent="0.25">
      <c r="AD31088"/>
    </row>
    <row r="31089" spans="30:30" x14ac:dyDescent="0.25">
      <c r="AD31089"/>
    </row>
    <row r="31090" spans="30:30" x14ac:dyDescent="0.25">
      <c r="AD31090"/>
    </row>
    <row r="31091" spans="30:30" x14ac:dyDescent="0.25">
      <c r="AD31091"/>
    </row>
    <row r="31092" spans="30:30" x14ac:dyDescent="0.25">
      <c r="AD31092"/>
    </row>
    <row r="31093" spans="30:30" x14ac:dyDescent="0.25">
      <c r="AD31093"/>
    </row>
    <row r="31094" spans="30:30" x14ac:dyDescent="0.25">
      <c r="AD31094"/>
    </row>
    <row r="31095" spans="30:30" x14ac:dyDescent="0.25">
      <c r="AD31095"/>
    </row>
    <row r="31096" spans="30:30" x14ac:dyDescent="0.25">
      <c r="AD31096"/>
    </row>
    <row r="31097" spans="30:30" x14ac:dyDescent="0.25">
      <c r="AD31097"/>
    </row>
    <row r="31098" spans="30:30" x14ac:dyDescent="0.25">
      <c r="AD31098"/>
    </row>
    <row r="31099" spans="30:30" x14ac:dyDescent="0.25">
      <c r="AD31099"/>
    </row>
    <row r="31100" spans="30:30" x14ac:dyDescent="0.25">
      <c r="AD31100"/>
    </row>
    <row r="31101" spans="30:30" x14ac:dyDescent="0.25">
      <c r="AD31101"/>
    </row>
    <row r="31102" spans="30:30" x14ac:dyDescent="0.25">
      <c r="AD31102"/>
    </row>
    <row r="31103" spans="30:30" x14ac:dyDescent="0.25">
      <c r="AD31103"/>
    </row>
    <row r="31104" spans="30:30" x14ac:dyDescent="0.25">
      <c r="AD31104"/>
    </row>
    <row r="31105" spans="30:30" x14ac:dyDescent="0.25">
      <c r="AD31105"/>
    </row>
    <row r="31106" spans="30:30" x14ac:dyDescent="0.25">
      <c r="AD31106"/>
    </row>
    <row r="31107" spans="30:30" x14ac:dyDescent="0.25">
      <c r="AD31107"/>
    </row>
    <row r="31108" spans="30:30" x14ac:dyDescent="0.25">
      <c r="AD31108"/>
    </row>
    <row r="31109" spans="30:30" x14ac:dyDescent="0.25">
      <c r="AD31109"/>
    </row>
    <row r="31110" spans="30:30" x14ac:dyDescent="0.25">
      <c r="AD31110"/>
    </row>
    <row r="31111" spans="30:30" x14ac:dyDescent="0.25">
      <c r="AD31111"/>
    </row>
    <row r="31112" spans="30:30" x14ac:dyDescent="0.25">
      <c r="AD31112"/>
    </row>
    <row r="31113" spans="30:30" x14ac:dyDescent="0.25">
      <c r="AD31113"/>
    </row>
    <row r="31114" spans="30:30" x14ac:dyDescent="0.25">
      <c r="AD31114"/>
    </row>
    <row r="31115" spans="30:30" x14ac:dyDescent="0.25">
      <c r="AD31115"/>
    </row>
    <row r="31116" spans="30:30" x14ac:dyDescent="0.25">
      <c r="AD31116"/>
    </row>
    <row r="31117" spans="30:30" x14ac:dyDescent="0.25">
      <c r="AD31117"/>
    </row>
    <row r="31118" spans="30:30" x14ac:dyDescent="0.25">
      <c r="AD31118"/>
    </row>
    <row r="31119" spans="30:30" x14ac:dyDescent="0.25">
      <c r="AD31119"/>
    </row>
    <row r="31120" spans="30:30" x14ac:dyDescent="0.25">
      <c r="AD31120"/>
    </row>
    <row r="31121" spans="30:30" x14ac:dyDescent="0.25">
      <c r="AD31121"/>
    </row>
    <row r="31122" spans="30:30" x14ac:dyDescent="0.25">
      <c r="AD31122"/>
    </row>
    <row r="31123" spans="30:30" x14ac:dyDescent="0.25">
      <c r="AD31123"/>
    </row>
    <row r="31124" spans="30:30" x14ac:dyDescent="0.25">
      <c r="AD31124"/>
    </row>
    <row r="31125" spans="30:30" x14ac:dyDescent="0.25">
      <c r="AD31125"/>
    </row>
    <row r="31126" spans="30:30" x14ac:dyDescent="0.25">
      <c r="AD31126"/>
    </row>
    <row r="31127" spans="30:30" x14ac:dyDescent="0.25">
      <c r="AD31127"/>
    </row>
    <row r="31128" spans="30:30" x14ac:dyDescent="0.25">
      <c r="AD31128"/>
    </row>
    <row r="31129" spans="30:30" x14ac:dyDescent="0.25">
      <c r="AD31129"/>
    </row>
    <row r="31130" spans="30:30" x14ac:dyDescent="0.25">
      <c r="AD31130"/>
    </row>
    <row r="31131" spans="30:30" x14ac:dyDescent="0.25">
      <c r="AD31131"/>
    </row>
    <row r="31132" spans="30:30" x14ac:dyDescent="0.25">
      <c r="AD31132"/>
    </row>
    <row r="31133" spans="30:30" x14ac:dyDescent="0.25">
      <c r="AD31133"/>
    </row>
    <row r="31134" spans="30:30" x14ac:dyDescent="0.25">
      <c r="AD31134"/>
    </row>
    <row r="31135" spans="30:30" x14ac:dyDescent="0.25">
      <c r="AD31135"/>
    </row>
    <row r="31136" spans="30:30" x14ac:dyDescent="0.25">
      <c r="AD31136"/>
    </row>
    <row r="31137" spans="30:30" x14ac:dyDescent="0.25">
      <c r="AD31137"/>
    </row>
    <row r="31138" spans="30:30" x14ac:dyDescent="0.25">
      <c r="AD31138"/>
    </row>
    <row r="31139" spans="30:30" x14ac:dyDescent="0.25">
      <c r="AD31139"/>
    </row>
    <row r="31140" spans="30:30" x14ac:dyDescent="0.25">
      <c r="AD31140"/>
    </row>
    <row r="31141" spans="30:30" x14ac:dyDescent="0.25">
      <c r="AD31141"/>
    </row>
    <row r="31142" spans="30:30" x14ac:dyDescent="0.25">
      <c r="AD31142"/>
    </row>
    <row r="31143" spans="30:30" x14ac:dyDescent="0.25">
      <c r="AD31143"/>
    </row>
    <row r="31144" spans="30:30" x14ac:dyDescent="0.25">
      <c r="AD31144"/>
    </row>
    <row r="31145" spans="30:30" x14ac:dyDescent="0.25">
      <c r="AD31145"/>
    </row>
    <row r="31146" spans="30:30" x14ac:dyDescent="0.25">
      <c r="AD31146"/>
    </row>
    <row r="31147" spans="30:30" x14ac:dyDescent="0.25">
      <c r="AD31147"/>
    </row>
    <row r="31148" spans="30:30" x14ac:dyDescent="0.25">
      <c r="AD31148"/>
    </row>
    <row r="31149" spans="30:30" x14ac:dyDescent="0.25">
      <c r="AD31149"/>
    </row>
    <row r="31150" spans="30:30" x14ac:dyDescent="0.25">
      <c r="AD31150"/>
    </row>
    <row r="31151" spans="30:30" x14ac:dyDescent="0.25">
      <c r="AD31151"/>
    </row>
    <row r="31152" spans="30:30" x14ac:dyDescent="0.25">
      <c r="AD31152"/>
    </row>
    <row r="31153" spans="30:30" x14ac:dyDescent="0.25">
      <c r="AD31153"/>
    </row>
    <row r="31154" spans="30:30" x14ac:dyDescent="0.25">
      <c r="AD31154"/>
    </row>
    <row r="31155" spans="30:30" x14ac:dyDescent="0.25">
      <c r="AD31155"/>
    </row>
    <row r="31156" spans="30:30" x14ac:dyDescent="0.25">
      <c r="AD31156"/>
    </row>
    <row r="31157" spans="30:30" x14ac:dyDescent="0.25">
      <c r="AD31157"/>
    </row>
    <row r="31158" spans="30:30" x14ac:dyDescent="0.25">
      <c r="AD31158"/>
    </row>
    <row r="31159" spans="30:30" x14ac:dyDescent="0.25">
      <c r="AD31159"/>
    </row>
    <row r="31160" spans="30:30" x14ac:dyDescent="0.25">
      <c r="AD31160"/>
    </row>
    <row r="31161" spans="30:30" x14ac:dyDescent="0.25">
      <c r="AD31161"/>
    </row>
    <row r="31162" spans="30:30" x14ac:dyDescent="0.25">
      <c r="AD31162"/>
    </row>
    <row r="31163" spans="30:30" x14ac:dyDescent="0.25">
      <c r="AD31163"/>
    </row>
    <row r="31164" spans="30:30" x14ac:dyDescent="0.25">
      <c r="AD31164"/>
    </row>
    <row r="31165" spans="30:30" x14ac:dyDescent="0.25">
      <c r="AD31165"/>
    </row>
    <row r="31166" spans="30:30" x14ac:dyDescent="0.25">
      <c r="AD31166"/>
    </row>
    <row r="31167" spans="30:30" x14ac:dyDescent="0.25">
      <c r="AD31167"/>
    </row>
    <row r="31168" spans="30:30" x14ac:dyDescent="0.25">
      <c r="AD31168"/>
    </row>
    <row r="31169" spans="30:30" x14ac:dyDescent="0.25">
      <c r="AD31169"/>
    </row>
    <row r="31170" spans="30:30" x14ac:dyDescent="0.25">
      <c r="AD31170"/>
    </row>
    <row r="31171" spans="30:30" x14ac:dyDescent="0.25">
      <c r="AD31171"/>
    </row>
    <row r="31172" spans="30:30" x14ac:dyDescent="0.25">
      <c r="AD31172"/>
    </row>
    <row r="31173" spans="30:30" x14ac:dyDescent="0.25">
      <c r="AD31173"/>
    </row>
    <row r="31174" spans="30:30" x14ac:dyDescent="0.25">
      <c r="AD31174"/>
    </row>
    <row r="31175" spans="30:30" x14ac:dyDescent="0.25">
      <c r="AD31175"/>
    </row>
    <row r="31176" spans="30:30" x14ac:dyDescent="0.25">
      <c r="AD31176"/>
    </row>
    <row r="31177" spans="30:30" x14ac:dyDescent="0.25">
      <c r="AD31177"/>
    </row>
    <row r="31178" spans="30:30" x14ac:dyDescent="0.25">
      <c r="AD31178"/>
    </row>
    <row r="31179" spans="30:30" x14ac:dyDescent="0.25">
      <c r="AD31179"/>
    </row>
    <row r="31180" spans="30:30" x14ac:dyDescent="0.25">
      <c r="AD31180"/>
    </row>
    <row r="31181" spans="30:30" x14ac:dyDescent="0.25">
      <c r="AD31181"/>
    </row>
    <row r="31182" spans="30:30" x14ac:dyDescent="0.25">
      <c r="AD31182"/>
    </row>
    <row r="31183" spans="30:30" x14ac:dyDescent="0.25">
      <c r="AD31183"/>
    </row>
    <row r="31184" spans="30:30" x14ac:dyDescent="0.25">
      <c r="AD31184"/>
    </row>
    <row r="31185" spans="30:30" x14ac:dyDescent="0.25">
      <c r="AD31185"/>
    </row>
    <row r="31186" spans="30:30" x14ac:dyDescent="0.25">
      <c r="AD31186"/>
    </row>
    <row r="31187" spans="30:30" x14ac:dyDescent="0.25">
      <c r="AD31187"/>
    </row>
    <row r="31188" spans="30:30" x14ac:dyDescent="0.25">
      <c r="AD31188"/>
    </row>
    <row r="31189" spans="30:30" x14ac:dyDescent="0.25">
      <c r="AD31189"/>
    </row>
    <row r="31190" spans="30:30" x14ac:dyDescent="0.25">
      <c r="AD31190"/>
    </row>
    <row r="31191" spans="30:30" x14ac:dyDescent="0.25">
      <c r="AD31191"/>
    </row>
    <row r="31192" spans="30:30" x14ac:dyDescent="0.25">
      <c r="AD31192"/>
    </row>
    <row r="31193" spans="30:30" x14ac:dyDescent="0.25">
      <c r="AD31193"/>
    </row>
    <row r="31194" spans="30:30" x14ac:dyDescent="0.25">
      <c r="AD31194"/>
    </row>
    <row r="31195" spans="30:30" x14ac:dyDescent="0.25">
      <c r="AD31195"/>
    </row>
    <row r="31196" spans="30:30" x14ac:dyDescent="0.25">
      <c r="AD31196"/>
    </row>
    <row r="31197" spans="30:30" x14ac:dyDescent="0.25">
      <c r="AD31197"/>
    </row>
    <row r="31198" spans="30:30" x14ac:dyDescent="0.25">
      <c r="AD31198"/>
    </row>
    <row r="31199" spans="30:30" x14ac:dyDescent="0.25">
      <c r="AD31199"/>
    </row>
    <row r="31200" spans="30:30" x14ac:dyDescent="0.25">
      <c r="AD31200"/>
    </row>
    <row r="31201" spans="30:30" x14ac:dyDescent="0.25">
      <c r="AD31201"/>
    </row>
    <row r="31202" spans="30:30" x14ac:dyDescent="0.25">
      <c r="AD31202"/>
    </row>
    <row r="31203" spans="30:30" x14ac:dyDescent="0.25">
      <c r="AD31203"/>
    </row>
    <row r="31204" spans="30:30" x14ac:dyDescent="0.25">
      <c r="AD31204"/>
    </row>
    <row r="31205" spans="30:30" x14ac:dyDescent="0.25">
      <c r="AD31205"/>
    </row>
    <row r="31206" spans="30:30" x14ac:dyDescent="0.25">
      <c r="AD31206"/>
    </row>
    <row r="31207" spans="30:30" x14ac:dyDescent="0.25">
      <c r="AD31207"/>
    </row>
    <row r="31208" spans="30:30" x14ac:dyDescent="0.25">
      <c r="AD31208"/>
    </row>
    <row r="31209" spans="30:30" x14ac:dyDescent="0.25">
      <c r="AD31209"/>
    </row>
    <row r="31210" spans="30:30" x14ac:dyDescent="0.25">
      <c r="AD31210"/>
    </row>
    <row r="31211" spans="30:30" x14ac:dyDescent="0.25">
      <c r="AD31211"/>
    </row>
    <row r="31212" spans="30:30" x14ac:dyDescent="0.25">
      <c r="AD31212"/>
    </row>
    <row r="31213" spans="30:30" x14ac:dyDescent="0.25">
      <c r="AD31213"/>
    </row>
    <row r="31214" spans="30:30" x14ac:dyDescent="0.25">
      <c r="AD31214"/>
    </row>
    <row r="31215" spans="30:30" x14ac:dyDescent="0.25">
      <c r="AD31215"/>
    </row>
    <row r="31216" spans="30:30" x14ac:dyDescent="0.25">
      <c r="AD31216"/>
    </row>
    <row r="31217" spans="30:30" x14ac:dyDescent="0.25">
      <c r="AD31217"/>
    </row>
    <row r="31218" spans="30:30" x14ac:dyDescent="0.25">
      <c r="AD31218"/>
    </row>
    <row r="31219" spans="30:30" x14ac:dyDescent="0.25">
      <c r="AD31219"/>
    </row>
    <row r="31220" spans="30:30" x14ac:dyDescent="0.25">
      <c r="AD31220"/>
    </row>
    <row r="31221" spans="30:30" x14ac:dyDescent="0.25">
      <c r="AD31221"/>
    </row>
    <row r="31222" spans="30:30" x14ac:dyDescent="0.25">
      <c r="AD31222"/>
    </row>
    <row r="31223" spans="30:30" x14ac:dyDescent="0.25">
      <c r="AD31223"/>
    </row>
    <row r="31224" spans="30:30" x14ac:dyDescent="0.25">
      <c r="AD31224"/>
    </row>
    <row r="31225" spans="30:30" x14ac:dyDescent="0.25">
      <c r="AD31225"/>
    </row>
    <row r="31226" spans="30:30" x14ac:dyDescent="0.25">
      <c r="AD31226"/>
    </row>
    <row r="31227" spans="30:30" x14ac:dyDescent="0.25">
      <c r="AD31227"/>
    </row>
    <row r="31228" spans="30:30" x14ac:dyDescent="0.25">
      <c r="AD31228"/>
    </row>
    <row r="31229" spans="30:30" x14ac:dyDescent="0.25">
      <c r="AD31229"/>
    </row>
    <row r="31230" spans="30:30" x14ac:dyDescent="0.25">
      <c r="AD31230"/>
    </row>
    <row r="31231" spans="30:30" x14ac:dyDescent="0.25">
      <c r="AD31231"/>
    </row>
    <row r="31232" spans="30:30" x14ac:dyDescent="0.25">
      <c r="AD31232"/>
    </row>
    <row r="31233" spans="30:30" x14ac:dyDescent="0.25">
      <c r="AD31233"/>
    </row>
    <row r="31234" spans="30:30" x14ac:dyDescent="0.25">
      <c r="AD31234"/>
    </row>
    <row r="31235" spans="30:30" x14ac:dyDescent="0.25">
      <c r="AD31235"/>
    </row>
    <row r="31236" spans="30:30" x14ac:dyDescent="0.25">
      <c r="AD31236"/>
    </row>
    <row r="31237" spans="30:30" x14ac:dyDescent="0.25">
      <c r="AD31237"/>
    </row>
    <row r="31238" spans="30:30" x14ac:dyDescent="0.25">
      <c r="AD31238"/>
    </row>
    <row r="31239" spans="30:30" x14ac:dyDescent="0.25">
      <c r="AD31239"/>
    </row>
    <row r="31240" spans="30:30" x14ac:dyDescent="0.25">
      <c r="AD31240"/>
    </row>
    <row r="31241" spans="30:30" x14ac:dyDescent="0.25">
      <c r="AD31241"/>
    </row>
    <row r="31242" spans="30:30" x14ac:dyDescent="0.25">
      <c r="AD31242"/>
    </row>
    <row r="31243" spans="30:30" x14ac:dyDescent="0.25">
      <c r="AD31243"/>
    </row>
    <row r="31244" spans="30:30" x14ac:dyDescent="0.25">
      <c r="AD31244"/>
    </row>
    <row r="31245" spans="30:30" x14ac:dyDescent="0.25">
      <c r="AD31245"/>
    </row>
    <row r="31246" spans="30:30" x14ac:dyDescent="0.25">
      <c r="AD31246"/>
    </row>
    <row r="31247" spans="30:30" x14ac:dyDescent="0.25">
      <c r="AD31247"/>
    </row>
    <row r="31248" spans="30:30" x14ac:dyDescent="0.25">
      <c r="AD31248"/>
    </row>
    <row r="31249" spans="30:30" x14ac:dyDescent="0.25">
      <c r="AD31249"/>
    </row>
    <row r="31250" spans="30:30" x14ac:dyDescent="0.25">
      <c r="AD31250"/>
    </row>
    <row r="31251" spans="30:30" x14ac:dyDescent="0.25">
      <c r="AD31251"/>
    </row>
    <row r="31252" spans="30:30" x14ac:dyDescent="0.25">
      <c r="AD31252"/>
    </row>
    <row r="31253" spans="30:30" x14ac:dyDescent="0.25">
      <c r="AD31253"/>
    </row>
    <row r="31254" spans="30:30" x14ac:dyDescent="0.25">
      <c r="AD31254"/>
    </row>
    <row r="31255" spans="30:30" x14ac:dyDescent="0.25">
      <c r="AD31255"/>
    </row>
    <row r="31256" spans="30:30" x14ac:dyDescent="0.25">
      <c r="AD31256"/>
    </row>
    <row r="31257" spans="30:30" x14ac:dyDescent="0.25">
      <c r="AD31257"/>
    </row>
    <row r="31258" spans="30:30" x14ac:dyDescent="0.25">
      <c r="AD31258"/>
    </row>
    <row r="31259" spans="30:30" x14ac:dyDescent="0.25">
      <c r="AD31259"/>
    </row>
    <row r="31260" spans="30:30" x14ac:dyDescent="0.25">
      <c r="AD31260"/>
    </row>
    <row r="31261" spans="30:30" x14ac:dyDescent="0.25">
      <c r="AD31261"/>
    </row>
    <row r="31262" spans="30:30" x14ac:dyDescent="0.25">
      <c r="AD31262"/>
    </row>
    <row r="31263" spans="30:30" x14ac:dyDescent="0.25">
      <c r="AD31263"/>
    </row>
    <row r="31264" spans="30:30" x14ac:dyDescent="0.25">
      <c r="AD31264"/>
    </row>
    <row r="31265" spans="30:30" x14ac:dyDescent="0.25">
      <c r="AD31265"/>
    </row>
    <row r="31266" spans="30:30" x14ac:dyDescent="0.25">
      <c r="AD31266"/>
    </row>
    <row r="31267" spans="30:30" x14ac:dyDescent="0.25">
      <c r="AD31267"/>
    </row>
    <row r="31268" spans="30:30" x14ac:dyDescent="0.25">
      <c r="AD31268"/>
    </row>
    <row r="31269" spans="30:30" x14ac:dyDescent="0.25">
      <c r="AD31269"/>
    </row>
    <row r="31270" spans="30:30" x14ac:dyDescent="0.25">
      <c r="AD31270"/>
    </row>
    <row r="31271" spans="30:30" x14ac:dyDescent="0.25">
      <c r="AD31271"/>
    </row>
    <row r="31272" spans="30:30" x14ac:dyDescent="0.25">
      <c r="AD31272"/>
    </row>
    <row r="31273" spans="30:30" x14ac:dyDescent="0.25">
      <c r="AD31273"/>
    </row>
    <row r="31274" spans="30:30" x14ac:dyDescent="0.25">
      <c r="AD31274"/>
    </row>
    <row r="31275" spans="30:30" x14ac:dyDescent="0.25">
      <c r="AD31275"/>
    </row>
    <row r="31276" spans="30:30" x14ac:dyDescent="0.25">
      <c r="AD31276"/>
    </row>
    <row r="31277" spans="30:30" x14ac:dyDescent="0.25">
      <c r="AD31277"/>
    </row>
    <row r="31278" spans="30:30" x14ac:dyDescent="0.25">
      <c r="AD31278"/>
    </row>
    <row r="31279" spans="30:30" x14ac:dyDescent="0.25">
      <c r="AD31279"/>
    </row>
    <row r="31280" spans="30:30" x14ac:dyDescent="0.25">
      <c r="AD31280"/>
    </row>
    <row r="31281" spans="30:30" x14ac:dyDescent="0.25">
      <c r="AD31281"/>
    </row>
    <row r="31282" spans="30:30" x14ac:dyDescent="0.25">
      <c r="AD31282"/>
    </row>
    <row r="31283" spans="30:30" x14ac:dyDescent="0.25">
      <c r="AD31283"/>
    </row>
    <row r="31284" spans="30:30" x14ac:dyDescent="0.25">
      <c r="AD31284"/>
    </row>
    <row r="31285" spans="30:30" x14ac:dyDescent="0.25">
      <c r="AD31285"/>
    </row>
    <row r="31286" spans="30:30" x14ac:dyDescent="0.25">
      <c r="AD31286"/>
    </row>
    <row r="31287" spans="30:30" x14ac:dyDescent="0.25">
      <c r="AD31287"/>
    </row>
    <row r="31288" spans="30:30" x14ac:dyDescent="0.25">
      <c r="AD31288"/>
    </row>
    <row r="31289" spans="30:30" x14ac:dyDescent="0.25">
      <c r="AD31289"/>
    </row>
    <row r="31290" spans="30:30" x14ac:dyDescent="0.25">
      <c r="AD31290"/>
    </row>
    <row r="31291" spans="30:30" x14ac:dyDescent="0.25">
      <c r="AD31291"/>
    </row>
    <row r="31292" spans="30:30" x14ac:dyDescent="0.25">
      <c r="AD31292"/>
    </row>
    <row r="31293" spans="30:30" x14ac:dyDescent="0.25">
      <c r="AD31293"/>
    </row>
    <row r="31294" spans="30:30" x14ac:dyDescent="0.25">
      <c r="AD31294"/>
    </row>
    <row r="31295" spans="30:30" x14ac:dyDescent="0.25">
      <c r="AD31295"/>
    </row>
    <row r="31296" spans="30:30" x14ac:dyDescent="0.25">
      <c r="AD31296"/>
    </row>
    <row r="31297" spans="30:30" x14ac:dyDescent="0.25">
      <c r="AD31297"/>
    </row>
    <row r="31298" spans="30:30" x14ac:dyDescent="0.25">
      <c r="AD31298"/>
    </row>
    <row r="31299" spans="30:30" x14ac:dyDescent="0.25">
      <c r="AD31299"/>
    </row>
    <row r="31300" spans="30:30" x14ac:dyDescent="0.25">
      <c r="AD31300"/>
    </row>
    <row r="31301" spans="30:30" x14ac:dyDescent="0.25">
      <c r="AD31301"/>
    </row>
    <row r="31302" spans="30:30" x14ac:dyDescent="0.25">
      <c r="AD31302"/>
    </row>
    <row r="31303" spans="30:30" x14ac:dyDescent="0.25">
      <c r="AD31303"/>
    </row>
    <row r="31304" spans="30:30" x14ac:dyDescent="0.25">
      <c r="AD31304"/>
    </row>
    <row r="31305" spans="30:30" x14ac:dyDescent="0.25">
      <c r="AD31305"/>
    </row>
    <row r="31306" spans="30:30" x14ac:dyDescent="0.25">
      <c r="AD31306"/>
    </row>
    <row r="31307" spans="30:30" x14ac:dyDescent="0.25">
      <c r="AD31307"/>
    </row>
    <row r="31308" spans="30:30" x14ac:dyDescent="0.25">
      <c r="AD31308"/>
    </row>
    <row r="31309" spans="30:30" x14ac:dyDescent="0.25">
      <c r="AD31309"/>
    </row>
    <row r="31310" spans="30:30" x14ac:dyDescent="0.25">
      <c r="AD31310"/>
    </row>
    <row r="31311" spans="30:30" x14ac:dyDescent="0.25">
      <c r="AD31311"/>
    </row>
    <row r="31312" spans="30:30" x14ac:dyDescent="0.25">
      <c r="AD31312"/>
    </row>
    <row r="31313" spans="30:30" x14ac:dyDescent="0.25">
      <c r="AD31313"/>
    </row>
    <row r="31314" spans="30:30" x14ac:dyDescent="0.25">
      <c r="AD31314"/>
    </row>
    <row r="31315" spans="30:30" x14ac:dyDescent="0.25">
      <c r="AD31315"/>
    </row>
    <row r="31316" spans="30:30" x14ac:dyDescent="0.25">
      <c r="AD31316"/>
    </row>
    <row r="31317" spans="30:30" x14ac:dyDescent="0.25">
      <c r="AD31317"/>
    </row>
    <row r="31318" spans="30:30" x14ac:dyDescent="0.25">
      <c r="AD31318"/>
    </row>
    <row r="31319" spans="30:30" x14ac:dyDescent="0.25">
      <c r="AD31319"/>
    </row>
    <row r="31320" spans="30:30" x14ac:dyDescent="0.25">
      <c r="AD31320"/>
    </row>
    <row r="31321" spans="30:30" x14ac:dyDescent="0.25">
      <c r="AD31321"/>
    </row>
    <row r="31322" spans="30:30" x14ac:dyDescent="0.25">
      <c r="AD31322"/>
    </row>
    <row r="31323" spans="30:30" x14ac:dyDescent="0.25">
      <c r="AD31323"/>
    </row>
    <row r="31324" spans="30:30" x14ac:dyDescent="0.25">
      <c r="AD31324"/>
    </row>
    <row r="31325" spans="30:30" x14ac:dyDescent="0.25">
      <c r="AD31325"/>
    </row>
    <row r="31326" spans="30:30" x14ac:dyDescent="0.25">
      <c r="AD31326"/>
    </row>
    <row r="31327" spans="30:30" x14ac:dyDescent="0.25">
      <c r="AD31327"/>
    </row>
    <row r="31328" spans="30:30" x14ac:dyDescent="0.25">
      <c r="AD31328"/>
    </row>
    <row r="31329" spans="30:30" x14ac:dyDescent="0.25">
      <c r="AD31329"/>
    </row>
    <row r="31330" spans="30:30" x14ac:dyDescent="0.25">
      <c r="AD31330"/>
    </row>
    <row r="31331" spans="30:30" x14ac:dyDescent="0.25">
      <c r="AD31331"/>
    </row>
    <row r="31332" spans="30:30" x14ac:dyDescent="0.25">
      <c r="AD31332"/>
    </row>
    <row r="31333" spans="30:30" x14ac:dyDescent="0.25">
      <c r="AD31333"/>
    </row>
    <row r="31334" spans="30:30" x14ac:dyDescent="0.25">
      <c r="AD31334"/>
    </row>
    <row r="31335" spans="30:30" x14ac:dyDescent="0.25">
      <c r="AD31335"/>
    </row>
    <row r="31336" spans="30:30" x14ac:dyDescent="0.25">
      <c r="AD31336"/>
    </row>
    <row r="31337" spans="30:30" x14ac:dyDescent="0.25">
      <c r="AD31337"/>
    </row>
    <row r="31338" spans="30:30" x14ac:dyDescent="0.25">
      <c r="AD31338"/>
    </row>
    <row r="31339" spans="30:30" x14ac:dyDescent="0.25">
      <c r="AD31339"/>
    </row>
    <row r="31340" spans="30:30" x14ac:dyDescent="0.25">
      <c r="AD31340"/>
    </row>
    <row r="31341" spans="30:30" x14ac:dyDescent="0.25">
      <c r="AD31341"/>
    </row>
    <row r="31342" spans="30:30" x14ac:dyDescent="0.25">
      <c r="AD31342"/>
    </row>
    <row r="31343" spans="30:30" x14ac:dyDescent="0.25">
      <c r="AD31343"/>
    </row>
    <row r="31344" spans="30:30" x14ac:dyDescent="0.25">
      <c r="AD31344"/>
    </row>
    <row r="31345" spans="30:30" x14ac:dyDescent="0.25">
      <c r="AD31345"/>
    </row>
    <row r="31346" spans="30:30" x14ac:dyDescent="0.25">
      <c r="AD31346"/>
    </row>
    <row r="31347" spans="30:30" x14ac:dyDescent="0.25">
      <c r="AD31347"/>
    </row>
    <row r="31348" spans="30:30" x14ac:dyDescent="0.25">
      <c r="AD31348"/>
    </row>
    <row r="31349" spans="30:30" x14ac:dyDescent="0.25">
      <c r="AD31349"/>
    </row>
    <row r="31350" spans="30:30" x14ac:dyDescent="0.25">
      <c r="AD31350"/>
    </row>
    <row r="31351" spans="30:30" x14ac:dyDescent="0.25">
      <c r="AD31351"/>
    </row>
    <row r="31352" spans="30:30" x14ac:dyDescent="0.25">
      <c r="AD31352"/>
    </row>
    <row r="31353" spans="30:30" x14ac:dyDescent="0.25">
      <c r="AD31353"/>
    </row>
    <row r="31354" spans="30:30" x14ac:dyDescent="0.25">
      <c r="AD31354"/>
    </row>
    <row r="31355" spans="30:30" x14ac:dyDescent="0.25">
      <c r="AD31355"/>
    </row>
    <row r="31356" spans="30:30" x14ac:dyDescent="0.25">
      <c r="AD31356"/>
    </row>
    <row r="31357" spans="30:30" x14ac:dyDescent="0.25">
      <c r="AD31357"/>
    </row>
    <row r="31358" spans="30:30" x14ac:dyDescent="0.25">
      <c r="AD31358"/>
    </row>
    <row r="31359" spans="30:30" x14ac:dyDescent="0.25">
      <c r="AD31359"/>
    </row>
    <row r="31360" spans="30:30" x14ac:dyDescent="0.25">
      <c r="AD31360"/>
    </row>
    <row r="31361" spans="30:30" x14ac:dyDescent="0.25">
      <c r="AD31361"/>
    </row>
    <row r="31362" spans="30:30" x14ac:dyDescent="0.25">
      <c r="AD31362"/>
    </row>
    <row r="31363" spans="30:30" x14ac:dyDescent="0.25">
      <c r="AD31363"/>
    </row>
    <row r="31364" spans="30:30" x14ac:dyDescent="0.25">
      <c r="AD31364"/>
    </row>
    <row r="31365" spans="30:30" x14ac:dyDescent="0.25">
      <c r="AD31365"/>
    </row>
    <row r="31366" spans="30:30" x14ac:dyDescent="0.25">
      <c r="AD31366"/>
    </row>
    <row r="31367" spans="30:30" x14ac:dyDescent="0.25">
      <c r="AD31367"/>
    </row>
    <row r="31368" spans="30:30" x14ac:dyDescent="0.25">
      <c r="AD31368"/>
    </row>
    <row r="31369" spans="30:30" x14ac:dyDescent="0.25">
      <c r="AD31369"/>
    </row>
    <row r="31370" spans="30:30" x14ac:dyDescent="0.25">
      <c r="AD31370"/>
    </row>
    <row r="31371" spans="30:30" x14ac:dyDescent="0.25">
      <c r="AD31371"/>
    </row>
    <row r="31372" spans="30:30" x14ac:dyDescent="0.25">
      <c r="AD31372"/>
    </row>
    <row r="31373" spans="30:30" x14ac:dyDescent="0.25">
      <c r="AD31373"/>
    </row>
    <row r="31374" spans="30:30" x14ac:dyDescent="0.25">
      <c r="AD31374"/>
    </row>
    <row r="31375" spans="30:30" x14ac:dyDescent="0.25">
      <c r="AD31375"/>
    </row>
    <row r="31376" spans="30:30" x14ac:dyDescent="0.25">
      <c r="AD31376"/>
    </row>
    <row r="31377" spans="30:30" x14ac:dyDescent="0.25">
      <c r="AD31377"/>
    </row>
    <row r="31378" spans="30:30" x14ac:dyDescent="0.25">
      <c r="AD31378"/>
    </row>
    <row r="31379" spans="30:30" x14ac:dyDescent="0.25">
      <c r="AD31379"/>
    </row>
    <row r="31380" spans="30:30" x14ac:dyDescent="0.25">
      <c r="AD31380"/>
    </row>
    <row r="31381" spans="30:30" x14ac:dyDescent="0.25">
      <c r="AD31381"/>
    </row>
    <row r="31382" spans="30:30" x14ac:dyDescent="0.25">
      <c r="AD31382"/>
    </row>
    <row r="31383" spans="30:30" x14ac:dyDescent="0.25">
      <c r="AD31383"/>
    </row>
    <row r="31384" spans="30:30" x14ac:dyDescent="0.25">
      <c r="AD31384"/>
    </row>
    <row r="31385" spans="30:30" x14ac:dyDescent="0.25">
      <c r="AD31385"/>
    </row>
    <row r="31386" spans="30:30" x14ac:dyDescent="0.25">
      <c r="AD31386"/>
    </row>
    <row r="31387" spans="30:30" x14ac:dyDescent="0.25">
      <c r="AD31387"/>
    </row>
    <row r="31388" spans="30:30" x14ac:dyDescent="0.25">
      <c r="AD31388"/>
    </row>
    <row r="31389" spans="30:30" x14ac:dyDescent="0.25">
      <c r="AD31389"/>
    </row>
    <row r="31390" spans="30:30" x14ac:dyDescent="0.25">
      <c r="AD31390"/>
    </row>
    <row r="31391" spans="30:30" x14ac:dyDescent="0.25">
      <c r="AD31391"/>
    </row>
    <row r="31392" spans="30:30" x14ac:dyDescent="0.25">
      <c r="AD31392"/>
    </row>
    <row r="31393" spans="30:30" x14ac:dyDescent="0.25">
      <c r="AD31393"/>
    </row>
    <row r="31394" spans="30:30" x14ac:dyDescent="0.25">
      <c r="AD31394"/>
    </row>
    <row r="31395" spans="30:30" x14ac:dyDescent="0.25">
      <c r="AD31395"/>
    </row>
    <row r="31396" spans="30:30" x14ac:dyDescent="0.25">
      <c r="AD31396"/>
    </row>
    <row r="31397" spans="30:30" x14ac:dyDescent="0.25">
      <c r="AD31397"/>
    </row>
    <row r="31398" spans="30:30" x14ac:dyDescent="0.25">
      <c r="AD31398"/>
    </row>
    <row r="31399" spans="30:30" x14ac:dyDescent="0.25">
      <c r="AD31399"/>
    </row>
    <row r="31400" spans="30:30" x14ac:dyDescent="0.25">
      <c r="AD31400"/>
    </row>
    <row r="31401" spans="30:30" x14ac:dyDescent="0.25">
      <c r="AD31401"/>
    </row>
    <row r="31402" spans="30:30" x14ac:dyDescent="0.25">
      <c r="AD31402"/>
    </row>
    <row r="31403" spans="30:30" x14ac:dyDescent="0.25">
      <c r="AD31403"/>
    </row>
    <row r="31404" spans="30:30" x14ac:dyDescent="0.25">
      <c r="AD31404"/>
    </row>
    <row r="31405" spans="30:30" x14ac:dyDescent="0.25">
      <c r="AD31405"/>
    </row>
    <row r="31406" spans="30:30" x14ac:dyDescent="0.25">
      <c r="AD31406"/>
    </row>
    <row r="31407" spans="30:30" x14ac:dyDescent="0.25">
      <c r="AD31407"/>
    </row>
    <row r="31408" spans="30:30" x14ac:dyDescent="0.25">
      <c r="AD31408"/>
    </row>
    <row r="31409" spans="30:30" x14ac:dyDescent="0.25">
      <c r="AD31409"/>
    </row>
    <row r="31410" spans="30:30" x14ac:dyDescent="0.25">
      <c r="AD31410"/>
    </row>
    <row r="31411" spans="30:30" x14ac:dyDescent="0.25">
      <c r="AD31411"/>
    </row>
    <row r="31412" spans="30:30" x14ac:dyDescent="0.25">
      <c r="AD31412"/>
    </row>
    <row r="31413" spans="30:30" x14ac:dyDescent="0.25">
      <c r="AD31413"/>
    </row>
    <row r="31414" spans="30:30" x14ac:dyDescent="0.25">
      <c r="AD31414"/>
    </row>
    <row r="31415" spans="30:30" x14ac:dyDescent="0.25">
      <c r="AD31415"/>
    </row>
    <row r="31416" spans="30:30" x14ac:dyDescent="0.25">
      <c r="AD31416"/>
    </row>
    <row r="31417" spans="30:30" x14ac:dyDescent="0.25">
      <c r="AD31417"/>
    </row>
    <row r="31418" spans="30:30" x14ac:dyDescent="0.25">
      <c r="AD31418"/>
    </row>
    <row r="31419" spans="30:30" x14ac:dyDescent="0.25">
      <c r="AD31419"/>
    </row>
    <row r="31420" spans="30:30" x14ac:dyDescent="0.25">
      <c r="AD31420"/>
    </row>
    <row r="31421" spans="30:30" x14ac:dyDescent="0.25">
      <c r="AD31421"/>
    </row>
    <row r="31422" spans="30:30" x14ac:dyDescent="0.25">
      <c r="AD31422"/>
    </row>
    <row r="31423" spans="30:30" x14ac:dyDescent="0.25">
      <c r="AD31423"/>
    </row>
    <row r="31424" spans="30:30" x14ac:dyDescent="0.25">
      <c r="AD31424"/>
    </row>
    <row r="31425" spans="30:30" x14ac:dyDescent="0.25">
      <c r="AD31425"/>
    </row>
    <row r="31426" spans="30:30" x14ac:dyDescent="0.25">
      <c r="AD31426"/>
    </row>
    <row r="31427" spans="30:30" x14ac:dyDescent="0.25">
      <c r="AD31427"/>
    </row>
    <row r="31428" spans="30:30" x14ac:dyDescent="0.25">
      <c r="AD31428"/>
    </row>
    <row r="31429" spans="30:30" x14ac:dyDescent="0.25">
      <c r="AD31429"/>
    </row>
    <row r="31430" spans="30:30" x14ac:dyDescent="0.25">
      <c r="AD31430"/>
    </row>
    <row r="31431" spans="30:30" x14ac:dyDescent="0.25">
      <c r="AD31431"/>
    </row>
    <row r="31432" spans="30:30" x14ac:dyDescent="0.25">
      <c r="AD31432"/>
    </row>
    <row r="31433" spans="30:30" x14ac:dyDescent="0.25">
      <c r="AD31433"/>
    </row>
    <row r="31434" spans="30:30" x14ac:dyDescent="0.25">
      <c r="AD31434"/>
    </row>
    <row r="31435" spans="30:30" x14ac:dyDescent="0.25">
      <c r="AD31435"/>
    </row>
    <row r="31436" spans="30:30" x14ac:dyDescent="0.25">
      <c r="AD31436"/>
    </row>
    <row r="31437" spans="30:30" x14ac:dyDescent="0.25">
      <c r="AD31437"/>
    </row>
    <row r="31438" spans="30:30" x14ac:dyDescent="0.25">
      <c r="AD31438"/>
    </row>
    <row r="31439" spans="30:30" x14ac:dyDescent="0.25">
      <c r="AD31439"/>
    </row>
    <row r="31440" spans="30:30" x14ac:dyDescent="0.25">
      <c r="AD31440"/>
    </row>
    <row r="31441" spans="30:30" x14ac:dyDescent="0.25">
      <c r="AD31441"/>
    </row>
    <row r="31442" spans="30:30" x14ac:dyDescent="0.25">
      <c r="AD31442"/>
    </row>
    <row r="31443" spans="30:30" x14ac:dyDescent="0.25">
      <c r="AD31443"/>
    </row>
    <row r="31444" spans="30:30" x14ac:dyDescent="0.25">
      <c r="AD31444"/>
    </row>
    <row r="31445" spans="30:30" x14ac:dyDescent="0.25">
      <c r="AD31445"/>
    </row>
    <row r="31446" spans="30:30" x14ac:dyDescent="0.25">
      <c r="AD31446"/>
    </row>
    <row r="31447" spans="30:30" x14ac:dyDescent="0.25">
      <c r="AD31447"/>
    </row>
    <row r="31448" spans="30:30" x14ac:dyDescent="0.25">
      <c r="AD31448"/>
    </row>
    <row r="31449" spans="30:30" x14ac:dyDescent="0.25">
      <c r="AD31449"/>
    </row>
    <row r="31450" spans="30:30" x14ac:dyDescent="0.25">
      <c r="AD31450"/>
    </row>
    <row r="31451" spans="30:30" x14ac:dyDescent="0.25">
      <c r="AD31451"/>
    </row>
    <row r="31452" spans="30:30" x14ac:dyDescent="0.25">
      <c r="AD31452"/>
    </row>
    <row r="31453" spans="30:30" x14ac:dyDescent="0.25">
      <c r="AD31453"/>
    </row>
    <row r="31454" spans="30:30" x14ac:dyDescent="0.25">
      <c r="AD31454"/>
    </row>
    <row r="31455" spans="30:30" x14ac:dyDescent="0.25">
      <c r="AD31455"/>
    </row>
    <row r="31456" spans="30:30" x14ac:dyDescent="0.25">
      <c r="AD31456"/>
    </row>
    <row r="31457" spans="30:30" x14ac:dyDescent="0.25">
      <c r="AD31457"/>
    </row>
    <row r="31458" spans="30:30" x14ac:dyDescent="0.25">
      <c r="AD31458"/>
    </row>
    <row r="31459" spans="30:30" x14ac:dyDescent="0.25">
      <c r="AD31459"/>
    </row>
    <row r="31460" spans="30:30" x14ac:dyDescent="0.25">
      <c r="AD31460"/>
    </row>
    <row r="31461" spans="30:30" x14ac:dyDescent="0.25">
      <c r="AD31461"/>
    </row>
    <row r="31462" spans="30:30" x14ac:dyDescent="0.25">
      <c r="AD31462"/>
    </row>
    <row r="31463" spans="30:30" x14ac:dyDescent="0.25">
      <c r="AD31463"/>
    </row>
    <row r="31464" spans="30:30" x14ac:dyDescent="0.25">
      <c r="AD31464"/>
    </row>
    <row r="31465" spans="30:30" x14ac:dyDescent="0.25">
      <c r="AD31465"/>
    </row>
    <row r="31466" spans="30:30" x14ac:dyDescent="0.25">
      <c r="AD31466"/>
    </row>
    <row r="31467" spans="30:30" x14ac:dyDescent="0.25">
      <c r="AD31467"/>
    </row>
    <row r="31468" spans="30:30" x14ac:dyDescent="0.25">
      <c r="AD31468"/>
    </row>
    <row r="31469" spans="30:30" x14ac:dyDescent="0.25">
      <c r="AD31469"/>
    </row>
    <row r="31470" spans="30:30" x14ac:dyDescent="0.25">
      <c r="AD31470"/>
    </row>
    <row r="31471" spans="30:30" x14ac:dyDescent="0.25">
      <c r="AD31471"/>
    </row>
    <row r="31472" spans="30:30" x14ac:dyDescent="0.25">
      <c r="AD31472"/>
    </row>
    <row r="31473" spans="30:30" x14ac:dyDescent="0.25">
      <c r="AD31473"/>
    </row>
    <row r="31474" spans="30:30" x14ac:dyDescent="0.25">
      <c r="AD31474"/>
    </row>
    <row r="31475" spans="30:30" x14ac:dyDescent="0.25">
      <c r="AD31475"/>
    </row>
    <row r="31476" spans="30:30" x14ac:dyDescent="0.25">
      <c r="AD31476"/>
    </row>
    <row r="31477" spans="30:30" x14ac:dyDescent="0.25">
      <c r="AD31477"/>
    </row>
    <row r="31478" spans="30:30" x14ac:dyDescent="0.25">
      <c r="AD31478"/>
    </row>
    <row r="31479" spans="30:30" x14ac:dyDescent="0.25">
      <c r="AD31479"/>
    </row>
    <row r="31480" spans="30:30" x14ac:dyDescent="0.25">
      <c r="AD31480"/>
    </row>
    <row r="31481" spans="30:30" x14ac:dyDescent="0.25">
      <c r="AD31481"/>
    </row>
    <row r="31482" spans="30:30" x14ac:dyDescent="0.25">
      <c r="AD31482"/>
    </row>
    <row r="31483" spans="30:30" x14ac:dyDescent="0.25">
      <c r="AD31483"/>
    </row>
    <row r="31484" spans="30:30" x14ac:dyDescent="0.25">
      <c r="AD31484"/>
    </row>
    <row r="31485" spans="30:30" x14ac:dyDescent="0.25">
      <c r="AD31485"/>
    </row>
    <row r="31486" spans="30:30" x14ac:dyDescent="0.25">
      <c r="AD31486"/>
    </row>
    <row r="31487" spans="30:30" x14ac:dyDescent="0.25">
      <c r="AD31487"/>
    </row>
    <row r="31488" spans="30:30" x14ac:dyDescent="0.25">
      <c r="AD31488"/>
    </row>
    <row r="31489" spans="30:30" x14ac:dyDescent="0.25">
      <c r="AD31489"/>
    </row>
    <row r="31490" spans="30:30" x14ac:dyDescent="0.25">
      <c r="AD31490"/>
    </row>
    <row r="31491" spans="30:30" x14ac:dyDescent="0.25">
      <c r="AD31491"/>
    </row>
    <row r="31492" spans="30:30" x14ac:dyDescent="0.25">
      <c r="AD31492"/>
    </row>
    <row r="31493" spans="30:30" x14ac:dyDescent="0.25">
      <c r="AD31493"/>
    </row>
    <row r="31494" spans="30:30" x14ac:dyDescent="0.25">
      <c r="AD31494"/>
    </row>
    <row r="31495" spans="30:30" x14ac:dyDescent="0.25">
      <c r="AD31495"/>
    </row>
    <row r="31496" spans="30:30" x14ac:dyDescent="0.25">
      <c r="AD31496"/>
    </row>
    <row r="31497" spans="30:30" x14ac:dyDescent="0.25">
      <c r="AD31497"/>
    </row>
    <row r="31498" spans="30:30" x14ac:dyDescent="0.25">
      <c r="AD31498"/>
    </row>
    <row r="31499" spans="30:30" x14ac:dyDescent="0.25">
      <c r="AD31499"/>
    </row>
    <row r="31500" spans="30:30" x14ac:dyDescent="0.25">
      <c r="AD31500"/>
    </row>
    <row r="31501" spans="30:30" x14ac:dyDescent="0.25">
      <c r="AD31501"/>
    </row>
    <row r="31502" spans="30:30" x14ac:dyDescent="0.25">
      <c r="AD31502"/>
    </row>
    <row r="31503" spans="30:30" x14ac:dyDescent="0.25">
      <c r="AD31503"/>
    </row>
    <row r="31504" spans="30:30" x14ac:dyDescent="0.25">
      <c r="AD31504"/>
    </row>
    <row r="31505" spans="30:30" x14ac:dyDescent="0.25">
      <c r="AD31505"/>
    </row>
    <row r="31506" spans="30:30" x14ac:dyDescent="0.25">
      <c r="AD31506"/>
    </row>
    <row r="31507" spans="30:30" x14ac:dyDescent="0.25">
      <c r="AD31507"/>
    </row>
    <row r="31508" spans="30:30" x14ac:dyDescent="0.25">
      <c r="AD31508"/>
    </row>
    <row r="31509" spans="30:30" x14ac:dyDescent="0.25">
      <c r="AD31509"/>
    </row>
    <row r="31510" spans="30:30" x14ac:dyDescent="0.25">
      <c r="AD31510"/>
    </row>
    <row r="31511" spans="30:30" x14ac:dyDescent="0.25">
      <c r="AD31511"/>
    </row>
    <row r="31512" spans="30:30" x14ac:dyDescent="0.25">
      <c r="AD31512"/>
    </row>
    <row r="31513" spans="30:30" x14ac:dyDescent="0.25">
      <c r="AD31513"/>
    </row>
    <row r="31514" spans="30:30" x14ac:dyDescent="0.25">
      <c r="AD31514"/>
    </row>
    <row r="31515" spans="30:30" x14ac:dyDescent="0.25">
      <c r="AD31515"/>
    </row>
    <row r="31516" spans="30:30" x14ac:dyDescent="0.25">
      <c r="AD31516"/>
    </row>
    <row r="31517" spans="30:30" x14ac:dyDescent="0.25">
      <c r="AD31517"/>
    </row>
    <row r="31518" spans="30:30" x14ac:dyDescent="0.25">
      <c r="AD31518"/>
    </row>
    <row r="31519" spans="30:30" x14ac:dyDescent="0.25">
      <c r="AD31519"/>
    </row>
    <row r="31520" spans="30:30" x14ac:dyDescent="0.25">
      <c r="AD31520"/>
    </row>
    <row r="31521" spans="30:30" x14ac:dyDescent="0.25">
      <c r="AD31521"/>
    </row>
    <row r="31522" spans="30:30" x14ac:dyDescent="0.25">
      <c r="AD31522"/>
    </row>
    <row r="31523" spans="30:30" x14ac:dyDescent="0.25">
      <c r="AD31523"/>
    </row>
    <row r="31524" spans="30:30" x14ac:dyDescent="0.25">
      <c r="AD31524"/>
    </row>
    <row r="31525" spans="30:30" x14ac:dyDescent="0.25">
      <c r="AD31525"/>
    </row>
    <row r="31526" spans="30:30" x14ac:dyDescent="0.25">
      <c r="AD31526"/>
    </row>
    <row r="31527" spans="30:30" x14ac:dyDescent="0.25">
      <c r="AD31527"/>
    </row>
    <row r="31528" spans="30:30" x14ac:dyDescent="0.25">
      <c r="AD31528"/>
    </row>
    <row r="31529" spans="30:30" x14ac:dyDescent="0.25">
      <c r="AD31529"/>
    </row>
    <row r="31530" spans="30:30" x14ac:dyDescent="0.25">
      <c r="AD31530"/>
    </row>
    <row r="31531" spans="30:30" x14ac:dyDescent="0.25">
      <c r="AD31531"/>
    </row>
    <row r="31532" spans="30:30" x14ac:dyDescent="0.25">
      <c r="AD31532"/>
    </row>
    <row r="31533" spans="30:30" x14ac:dyDescent="0.25">
      <c r="AD31533"/>
    </row>
    <row r="31534" spans="30:30" x14ac:dyDescent="0.25">
      <c r="AD31534"/>
    </row>
    <row r="31535" spans="30:30" x14ac:dyDescent="0.25">
      <c r="AD31535"/>
    </row>
    <row r="31536" spans="30:30" x14ac:dyDescent="0.25">
      <c r="AD31536"/>
    </row>
    <row r="31537" spans="30:30" x14ac:dyDescent="0.25">
      <c r="AD31537"/>
    </row>
    <row r="31538" spans="30:30" x14ac:dyDescent="0.25">
      <c r="AD31538"/>
    </row>
    <row r="31539" spans="30:30" x14ac:dyDescent="0.25">
      <c r="AD31539"/>
    </row>
    <row r="31540" spans="30:30" x14ac:dyDescent="0.25">
      <c r="AD31540"/>
    </row>
    <row r="31541" spans="30:30" x14ac:dyDescent="0.25">
      <c r="AD31541"/>
    </row>
    <row r="31542" spans="30:30" x14ac:dyDescent="0.25">
      <c r="AD31542"/>
    </row>
    <row r="31543" spans="30:30" x14ac:dyDescent="0.25">
      <c r="AD31543"/>
    </row>
    <row r="31544" spans="30:30" x14ac:dyDescent="0.25">
      <c r="AD31544"/>
    </row>
    <row r="31545" spans="30:30" x14ac:dyDescent="0.25">
      <c r="AD31545"/>
    </row>
    <row r="31546" spans="30:30" x14ac:dyDescent="0.25">
      <c r="AD31546"/>
    </row>
    <row r="31547" spans="30:30" x14ac:dyDescent="0.25">
      <c r="AD31547"/>
    </row>
    <row r="31548" spans="30:30" x14ac:dyDescent="0.25">
      <c r="AD31548"/>
    </row>
    <row r="31549" spans="30:30" x14ac:dyDescent="0.25">
      <c r="AD31549"/>
    </row>
    <row r="31550" spans="30:30" x14ac:dyDescent="0.25">
      <c r="AD31550"/>
    </row>
    <row r="31551" spans="30:30" x14ac:dyDescent="0.25">
      <c r="AD31551"/>
    </row>
    <row r="31552" spans="30:30" x14ac:dyDescent="0.25">
      <c r="AD31552"/>
    </row>
    <row r="31553" spans="30:30" x14ac:dyDescent="0.25">
      <c r="AD31553"/>
    </row>
    <row r="31554" spans="30:30" x14ac:dyDescent="0.25">
      <c r="AD31554"/>
    </row>
    <row r="31555" spans="30:30" x14ac:dyDescent="0.25">
      <c r="AD31555"/>
    </row>
    <row r="31556" spans="30:30" x14ac:dyDescent="0.25">
      <c r="AD31556"/>
    </row>
    <row r="31557" spans="30:30" x14ac:dyDescent="0.25">
      <c r="AD31557"/>
    </row>
    <row r="31558" spans="30:30" x14ac:dyDescent="0.25">
      <c r="AD31558"/>
    </row>
    <row r="31559" spans="30:30" x14ac:dyDescent="0.25">
      <c r="AD31559"/>
    </row>
    <row r="31560" spans="30:30" x14ac:dyDescent="0.25">
      <c r="AD31560"/>
    </row>
    <row r="31561" spans="30:30" x14ac:dyDescent="0.25">
      <c r="AD31561"/>
    </row>
    <row r="31562" spans="30:30" x14ac:dyDescent="0.25">
      <c r="AD31562"/>
    </row>
    <row r="31563" spans="30:30" x14ac:dyDescent="0.25">
      <c r="AD31563"/>
    </row>
    <row r="31564" spans="30:30" x14ac:dyDescent="0.25">
      <c r="AD31564"/>
    </row>
    <row r="31565" spans="30:30" x14ac:dyDescent="0.25">
      <c r="AD31565"/>
    </row>
    <row r="31566" spans="30:30" x14ac:dyDescent="0.25">
      <c r="AD31566"/>
    </row>
    <row r="31567" spans="30:30" x14ac:dyDescent="0.25">
      <c r="AD31567"/>
    </row>
    <row r="31568" spans="30:30" x14ac:dyDescent="0.25">
      <c r="AD31568"/>
    </row>
    <row r="31569" spans="30:30" x14ac:dyDescent="0.25">
      <c r="AD31569"/>
    </row>
    <row r="31570" spans="30:30" x14ac:dyDescent="0.25">
      <c r="AD31570"/>
    </row>
    <row r="31571" spans="30:30" x14ac:dyDescent="0.25">
      <c r="AD31571"/>
    </row>
    <row r="31572" spans="30:30" x14ac:dyDescent="0.25">
      <c r="AD31572"/>
    </row>
    <row r="31573" spans="30:30" x14ac:dyDescent="0.25">
      <c r="AD31573"/>
    </row>
    <row r="31574" spans="30:30" x14ac:dyDescent="0.25">
      <c r="AD31574"/>
    </row>
    <row r="31575" spans="30:30" x14ac:dyDescent="0.25">
      <c r="AD31575"/>
    </row>
    <row r="31576" spans="30:30" x14ac:dyDescent="0.25">
      <c r="AD31576"/>
    </row>
    <row r="31577" spans="30:30" x14ac:dyDescent="0.25">
      <c r="AD31577"/>
    </row>
    <row r="31578" spans="30:30" x14ac:dyDescent="0.25">
      <c r="AD31578"/>
    </row>
    <row r="31579" spans="30:30" x14ac:dyDescent="0.25">
      <c r="AD31579"/>
    </row>
    <row r="31580" spans="30:30" x14ac:dyDescent="0.25">
      <c r="AD31580"/>
    </row>
    <row r="31581" spans="30:30" x14ac:dyDescent="0.25">
      <c r="AD31581"/>
    </row>
    <row r="31582" spans="30:30" x14ac:dyDescent="0.25">
      <c r="AD31582"/>
    </row>
    <row r="31583" spans="30:30" x14ac:dyDescent="0.25">
      <c r="AD31583"/>
    </row>
    <row r="31584" spans="30:30" x14ac:dyDescent="0.25">
      <c r="AD31584"/>
    </row>
    <row r="31585" spans="30:30" x14ac:dyDescent="0.25">
      <c r="AD31585"/>
    </row>
    <row r="31586" spans="30:30" x14ac:dyDescent="0.25">
      <c r="AD31586"/>
    </row>
    <row r="31587" spans="30:30" x14ac:dyDescent="0.25">
      <c r="AD31587"/>
    </row>
    <row r="31588" spans="30:30" x14ac:dyDescent="0.25">
      <c r="AD31588"/>
    </row>
    <row r="31589" spans="30:30" x14ac:dyDescent="0.25">
      <c r="AD31589"/>
    </row>
    <row r="31590" spans="30:30" x14ac:dyDescent="0.25">
      <c r="AD31590"/>
    </row>
    <row r="31591" spans="30:30" x14ac:dyDescent="0.25">
      <c r="AD31591"/>
    </row>
    <row r="31592" spans="30:30" x14ac:dyDescent="0.25">
      <c r="AD31592"/>
    </row>
    <row r="31593" spans="30:30" x14ac:dyDescent="0.25">
      <c r="AD31593"/>
    </row>
    <row r="31594" spans="30:30" x14ac:dyDescent="0.25">
      <c r="AD31594"/>
    </row>
    <row r="31595" spans="30:30" x14ac:dyDescent="0.25">
      <c r="AD31595"/>
    </row>
    <row r="31596" spans="30:30" x14ac:dyDescent="0.25">
      <c r="AD31596"/>
    </row>
    <row r="31597" spans="30:30" x14ac:dyDescent="0.25">
      <c r="AD31597"/>
    </row>
    <row r="31598" spans="30:30" x14ac:dyDescent="0.25">
      <c r="AD31598"/>
    </row>
    <row r="31599" spans="30:30" x14ac:dyDescent="0.25">
      <c r="AD31599"/>
    </row>
    <row r="31600" spans="30:30" x14ac:dyDescent="0.25">
      <c r="AD31600"/>
    </row>
    <row r="31601" spans="30:30" x14ac:dyDescent="0.25">
      <c r="AD31601"/>
    </row>
    <row r="31602" spans="30:30" x14ac:dyDescent="0.25">
      <c r="AD31602"/>
    </row>
    <row r="31603" spans="30:30" x14ac:dyDescent="0.25">
      <c r="AD31603"/>
    </row>
    <row r="31604" spans="30:30" x14ac:dyDescent="0.25">
      <c r="AD31604"/>
    </row>
    <row r="31605" spans="30:30" x14ac:dyDescent="0.25">
      <c r="AD31605"/>
    </row>
    <row r="31606" spans="30:30" x14ac:dyDescent="0.25">
      <c r="AD31606"/>
    </row>
    <row r="31607" spans="30:30" x14ac:dyDescent="0.25">
      <c r="AD31607"/>
    </row>
    <row r="31608" spans="30:30" x14ac:dyDescent="0.25">
      <c r="AD31608"/>
    </row>
    <row r="31609" spans="30:30" x14ac:dyDescent="0.25">
      <c r="AD31609"/>
    </row>
    <row r="31610" spans="30:30" x14ac:dyDescent="0.25">
      <c r="AD31610"/>
    </row>
    <row r="31611" spans="30:30" x14ac:dyDescent="0.25">
      <c r="AD31611"/>
    </row>
    <row r="31612" spans="30:30" x14ac:dyDescent="0.25">
      <c r="AD31612"/>
    </row>
    <row r="31613" spans="30:30" x14ac:dyDescent="0.25">
      <c r="AD31613"/>
    </row>
    <row r="31614" spans="30:30" x14ac:dyDescent="0.25">
      <c r="AD31614"/>
    </row>
    <row r="31615" spans="30:30" x14ac:dyDescent="0.25">
      <c r="AD31615"/>
    </row>
    <row r="31616" spans="30:30" x14ac:dyDescent="0.25">
      <c r="AD31616"/>
    </row>
    <row r="31617" spans="30:30" x14ac:dyDescent="0.25">
      <c r="AD31617"/>
    </row>
    <row r="31618" spans="30:30" x14ac:dyDescent="0.25">
      <c r="AD31618"/>
    </row>
    <row r="31619" spans="30:30" x14ac:dyDescent="0.25">
      <c r="AD31619"/>
    </row>
    <row r="31620" spans="30:30" x14ac:dyDescent="0.25">
      <c r="AD31620"/>
    </row>
    <row r="31621" spans="30:30" x14ac:dyDescent="0.25">
      <c r="AD31621"/>
    </row>
    <row r="31622" spans="30:30" x14ac:dyDescent="0.25">
      <c r="AD31622"/>
    </row>
    <row r="31623" spans="30:30" x14ac:dyDescent="0.25">
      <c r="AD31623"/>
    </row>
    <row r="31624" spans="30:30" x14ac:dyDescent="0.25">
      <c r="AD31624"/>
    </row>
    <row r="31625" spans="30:30" x14ac:dyDescent="0.25">
      <c r="AD31625"/>
    </row>
    <row r="31626" spans="30:30" x14ac:dyDescent="0.25">
      <c r="AD31626"/>
    </row>
    <row r="31627" spans="30:30" x14ac:dyDescent="0.25">
      <c r="AD31627"/>
    </row>
    <row r="31628" spans="30:30" x14ac:dyDescent="0.25">
      <c r="AD31628"/>
    </row>
    <row r="31629" spans="30:30" x14ac:dyDescent="0.25">
      <c r="AD31629"/>
    </row>
    <row r="31630" spans="30:30" x14ac:dyDescent="0.25">
      <c r="AD31630"/>
    </row>
    <row r="31631" spans="30:30" x14ac:dyDescent="0.25">
      <c r="AD31631"/>
    </row>
    <row r="31632" spans="30:30" x14ac:dyDescent="0.25">
      <c r="AD31632"/>
    </row>
    <row r="31633" spans="30:30" x14ac:dyDescent="0.25">
      <c r="AD31633"/>
    </row>
    <row r="31634" spans="30:30" x14ac:dyDescent="0.25">
      <c r="AD31634"/>
    </row>
    <row r="31635" spans="30:30" x14ac:dyDescent="0.25">
      <c r="AD31635"/>
    </row>
    <row r="31636" spans="30:30" x14ac:dyDescent="0.25">
      <c r="AD31636"/>
    </row>
    <row r="31637" spans="30:30" x14ac:dyDescent="0.25">
      <c r="AD31637"/>
    </row>
    <row r="31638" spans="30:30" x14ac:dyDescent="0.25">
      <c r="AD31638"/>
    </row>
    <row r="31639" spans="30:30" x14ac:dyDescent="0.25">
      <c r="AD31639"/>
    </row>
    <row r="31640" spans="30:30" x14ac:dyDescent="0.25">
      <c r="AD31640"/>
    </row>
    <row r="31641" spans="30:30" x14ac:dyDescent="0.25">
      <c r="AD31641"/>
    </row>
    <row r="31642" spans="30:30" x14ac:dyDescent="0.25">
      <c r="AD31642"/>
    </row>
    <row r="31643" spans="30:30" x14ac:dyDescent="0.25">
      <c r="AD31643"/>
    </row>
    <row r="31644" spans="30:30" x14ac:dyDescent="0.25">
      <c r="AD31644"/>
    </row>
    <row r="31645" spans="30:30" x14ac:dyDescent="0.25">
      <c r="AD31645"/>
    </row>
    <row r="31646" spans="30:30" x14ac:dyDescent="0.25">
      <c r="AD31646"/>
    </row>
    <row r="31647" spans="30:30" x14ac:dyDescent="0.25">
      <c r="AD31647"/>
    </row>
    <row r="31648" spans="30:30" x14ac:dyDescent="0.25">
      <c r="AD31648"/>
    </row>
    <row r="31649" spans="30:30" x14ac:dyDescent="0.25">
      <c r="AD31649"/>
    </row>
    <row r="31650" spans="30:30" x14ac:dyDescent="0.25">
      <c r="AD31650"/>
    </row>
    <row r="31651" spans="30:30" x14ac:dyDescent="0.25">
      <c r="AD31651"/>
    </row>
    <row r="31652" spans="30:30" x14ac:dyDescent="0.25">
      <c r="AD31652"/>
    </row>
    <row r="31653" spans="30:30" x14ac:dyDescent="0.25">
      <c r="AD31653"/>
    </row>
    <row r="31654" spans="30:30" x14ac:dyDescent="0.25">
      <c r="AD31654"/>
    </row>
    <row r="31655" spans="30:30" x14ac:dyDescent="0.25">
      <c r="AD31655"/>
    </row>
    <row r="31656" spans="30:30" x14ac:dyDescent="0.25">
      <c r="AD31656"/>
    </row>
    <row r="31657" spans="30:30" x14ac:dyDescent="0.25">
      <c r="AD31657"/>
    </row>
    <row r="31658" spans="30:30" x14ac:dyDescent="0.25">
      <c r="AD31658"/>
    </row>
    <row r="31659" spans="30:30" x14ac:dyDescent="0.25">
      <c r="AD31659"/>
    </row>
    <row r="31660" spans="30:30" x14ac:dyDescent="0.25">
      <c r="AD31660"/>
    </row>
    <row r="31661" spans="30:30" x14ac:dyDescent="0.25">
      <c r="AD31661"/>
    </row>
    <row r="31662" spans="30:30" x14ac:dyDescent="0.25">
      <c r="AD31662"/>
    </row>
    <row r="31663" spans="30:30" x14ac:dyDescent="0.25">
      <c r="AD31663"/>
    </row>
    <row r="31664" spans="30:30" x14ac:dyDescent="0.25">
      <c r="AD31664"/>
    </row>
    <row r="31665" spans="30:30" x14ac:dyDescent="0.25">
      <c r="AD31665"/>
    </row>
    <row r="31666" spans="30:30" x14ac:dyDescent="0.25">
      <c r="AD31666"/>
    </row>
    <row r="31667" spans="30:30" x14ac:dyDescent="0.25">
      <c r="AD31667"/>
    </row>
    <row r="31668" spans="30:30" x14ac:dyDescent="0.25">
      <c r="AD31668"/>
    </row>
    <row r="31669" spans="30:30" x14ac:dyDescent="0.25">
      <c r="AD31669"/>
    </row>
    <row r="31670" spans="30:30" x14ac:dyDescent="0.25">
      <c r="AD31670"/>
    </row>
    <row r="31671" spans="30:30" x14ac:dyDescent="0.25">
      <c r="AD31671"/>
    </row>
    <row r="31672" spans="30:30" x14ac:dyDescent="0.25">
      <c r="AD31672"/>
    </row>
    <row r="31673" spans="30:30" x14ac:dyDescent="0.25">
      <c r="AD31673"/>
    </row>
    <row r="31674" spans="30:30" x14ac:dyDescent="0.25">
      <c r="AD31674"/>
    </row>
    <row r="31675" spans="30:30" x14ac:dyDescent="0.25">
      <c r="AD31675"/>
    </row>
    <row r="31676" spans="30:30" x14ac:dyDescent="0.25">
      <c r="AD31676"/>
    </row>
    <row r="31677" spans="30:30" x14ac:dyDescent="0.25">
      <c r="AD31677"/>
    </row>
    <row r="31678" spans="30:30" x14ac:dyDescent="0.25">
      <c r="AD31678"/>
    </row>
    <row r="31679" spans="30:30" x14ac:dyDescent="0.25">
      <c r="AD31679"/>
    </row>
    <row r="31680" spans="30:30" x14ac:dyDescent="0.25">
      <c r="AD31680"/>
    </row>
    <row r="31681" spans="30:30" x14ac:dyDescent="0.25">
      <c r="AD31681"/>
    </row>
    <row r="31682" spans="30:30" x14ac:dyDescent="0.25">
      <c r="AD31682"/>
    </row>
    <row r="31683" spans="30:30" x14ac:dyDescent="0.25">
      <c r="AD31683"/>
    </row>
    <row r="31684" spans="30:30" x14ac:dyDescent="0.25">
      <c r="AD31684"/>
    </row>
    <row r="31685" spans="30:30" x14ac:dyDescent="0.25">
      <c r="AD31685"/>
    </row>
    <row r="31686" spans="30:30" x14ac:dyDescent="0.25">
      <c r="AD31686"/>
    </row>
    <row r="31687" spans="30:30" x14ac:dyDescent="0.25">
      <c r="AD31687"/>
    </row>
    <row r="31688" spans="30:30" x14ac:dyDescent="0.25">
      <c r="AD31688"/>
    </row>
    <row r="31689" spans="30:30" x14ac:dyDescent="0.25">
      <c r="AD31689"/>
    </row>
    <row r="31690" spans="30:30" x14ac:dyDescent="0.25">
      <c r="AD31690"/>
    </row>
    <row r="31691" spans="30:30" x14ac:dyDescent="0.25">
      <c r="AD31691"/>
    </row>
    <row r="31692" spans="30:30" x14ac:dyDescent="0.25">
      <c r="AD31692"/>
    </row>
    <row r="31693" spans="30:30" x14ac:dyDescent="0.25">
      <c r="AD31693"/>
    </row>
    <row r="31694" spans="30:30" x14ac:dyDescent="0.25">
      <c r="AD31694"/>
    </row>
    <row r="31695" spans="30:30" x14ac:dyDescent="0.25">
      <c r="AD31695"/>
    </row>
    <row r="31696" spans="30:30" x14ac:dyDescent="0.25">
      <c r="AD31696"/>
    </row>
    <row r="31697" spans="30:30" x14ac:dyDescent="0.25">
      <c r="AD31697"/>
    </row>
    <row r="31698" spans="30:30" x14ac:dyDescent="0.25">
      <c r="AD31698"/>
    </row>
    <row r="31699" spans="30:30" x14ac:dyDescent="0.25">
      <c r="AD31699"/>
    </row>
    <row r="31700" spans="30:30" x14ac:dyDescent="0.25">
      <c r="AD31700"/>
    </row>
    <row r="31701" spans="30:30" x14ac:dyDescent="0.25">
      <c r="AD31701"/>
    </row>
    <row r="31702" spans="30:30" x14ac:dyDescent="0.25">
      <c r="AD31702"/>
    </row>
    <row r="31703" spans="30:30" x14ac:dyDescent="0.25">
      <c r="AD31703"/>
    </row>
    <row r="31704" spans="30:30" x14ac:dyDescent="0.25">
      <c r="AD31704"/>
    </row>
    <row r="31705" spans="30:30" x14ac:dyDescent="0.25">
      <c r="AD31705"/>
    </row>
    <row r="31706" spans="30:30" x14ac:dyDescent="0.25">
      <c r="AD31706"/>
    </row>
    <row r="31707" spans="30:30" x14ac:dyDescent="0.25">
      <c r="AD31707"/>
    </row>
    <row r="31708" spans="30:30" x14ac:dyDescent="0.25">
      <c r="AD31708"/>
    </row>
    <row r="31709" spans="30:30" x14ac:dyDescent="0.25">
      <c r="AD31709"/>
    </row>
    <row r="31710" spans="30:30" x14ac:dyDescent="0.25">
      <c r="AD31710"/>
    </row>
    <row r="31711" spans="30:30" x14ac:dyDescent="0.25">
      <c r="AD31711"/>
    </row>
    <row r="31712" spans="30:30" x14ac:dyDescent="0.25">
      <c r="AD31712"/>
    </row>
    <row r="31713" spans="30:30" x14ac:dyDescent="0.25">
      <c r="AD31713"/>
    </row>
    <row r="31714" spans="30:30" x14ac:dyDescent="0.25">
      <c r="AD31714"/>
    </row>
    <row r="31715" spans="30:30" x14ac:dyDescent="0.25">
      <c r="AD31715"/>
    </row>
    <row r="31716" spans="30:30" x14ac:dyDescent="0.25">
      <c r="AD31716"/>
    </row>
    <row r="31717" spans="30:30" x14ac:dyDescent="0.25">
      <c r="AD31717"/>
    </row>
    <row r="31718" spans="30:30" x14ac:dyDescent="0.25">
      <c r="AD31718"/>
    </row>
    <row r="31719" spans="30:30" x14ac:dyDescent="0.25">
      <c r="AD31719"/>
    </row>
    <row r="31720" spans="30:30" x14ac:dyDescent="0.25">
      <c r="AD31720"/>
    </row>
    <row r="31721" spans="30:30" x14ac:dyDescent="0.25">
      <c r="AD31721"/>
    </row>
    <row r="31722" spans="30:30" x14ac:dyDescent="0.25">
      <c r="AD31722"/>
    </row>
    <row r="31723" spans="30:30" x14ac:dyDescent="0.25">
      <c r="AD31723"/>
    </row>
    <row r="31724" spans="30:30" x14ac:dyDescent="0.25">
      <c r="AD31724"/>
    </row>
    <row r="31725" spans="30:30" x14ac:dyDescent="0.25">
      <c r="AD31725"/>
    </row>
    <row r="31726" spans="30:30" x14ac:dyDescent="0.25">
      <c r="AD31726"/>
    </row>
    <row r="31727" spans="30:30" x14ac:dyDescent="0.25">
      <c r="AD31727"/>
    </row>
    <row r="31728" spans="30:30" x14ac:dyDescent="0.25">
      <c r="AD31728"/>
    </row>
    <row r="31729" spans="30:30" x14ac:dyDescent="0.25">
      <c r="AD31729"/>
    </row>
    <row r="31730" spans="30:30" x14ac:dyDescent="0.25">
      <c r="AD31730"/>
    </row>
    <row r="31731" spans="30:30" x14ac:dyDescent="0.25">
      <c r="AD31731"/>
    </row>
    <row r="31732" spans="30:30" x14ac:dyDescent="0.25">
      <c r="AD31732"/>
    </row>
    <row r="31733" spans="30:30" x14ac:dyDescent="0.25">
      <c r="AD31733"/>
    </row>
    <row r="31734" spans="30:30" x14ac:dyDescent="0.25">
      <c r="AD31734"/>
    </row>
    <row r="31735" spans="30:30" x14ac:dyDescent="0.25">
      <c r="AD31735"/>
    </row>
    <row r="31736" spans="30:30" x14ac:dyDescent="0.25">
      <c r="AD31736"/>
    </row>
    <row r="31737" spans="30:30" x14ac:dyDescent="0.25">
      <c r="AD31737"/>
    </row>
    <row r="31738" spans="30:30" x14ac:dyDescent="0.25">
      <c r="AD31738"/>
    </row>
    <row r="31739" spans="30:30" x14ac:dyDescent="0.25">
      <c r="AD31739"/>
    </row>
    <row r="31740" spans="30:30" x14ac:dyDescent="0.25">
      <c r="AD31740"/>
    </row>
    <row r="31741" spans="30:30" x14ac:dyDescent="0.25">
      <c r="AD31741"/>
    </row>
    <row r="31742" spans="30:30" x14ac:dyDescent="0.25">
      <c r="AD31742"/>
    </row>
    <row r="31743" spans="30:30" x14ac:dyDescent="0.25">
      <c r="AD31743"/>
    </row>
    <row r="31744" spans="30:30" x14ac:dyDescent="0.25">
      <c r="AD31744"/>
    </row>
    <row r="31745" spans="30:30" x14ac:dyDescent="0.25">
      <c r="AD31745"/>
    </row>
    <row r="31746" spans="30:30" x14ac:dyDescent="0.25">
      <c r="AD31746"/>
    </row>
    <row r="31747" spans="30:30" x14ac:dyDescent="0.25">
      <c r="AD31747"/>
    </row>
    <row r="31748" spans="30:30" x14ac:dyDescent="0.25">
      <c r="AD31748"/>
    </row>
    <row r="31749" spans="30:30" x14ac:dyDescent="0.25">
      <c r="AD31749"/>
    </row>
    <row r="31750" spans="30:30" x14ac:dyDescent="0.25">
      <c r="AD31750"/>
    </row>
    <row r="31751" spans="30:30" x14ac:dyDescent="0.25">
      <c r="AD31751"/>
    </row>
    <row r="31752" spans="30:30" x14ac:dyDescent="0.25">
      <c r="AD31752"/>
    </row>
    <row r="31753" spans="30:30" x14ac:dyDescent="0.25">
      <c r="AD31753"/>
    </row>
    <row r="31754" spans="30:30" x14ac:dyDescent="0.25">
      <c r="AD31754"/>
    </row>
    <row r="31755" spans="30:30" x14ac:dyDescent="0.25">
      <c r="AD31755"/>
    </row>
    <row r="31756" spans="30:30" x14ac:dyDescent="0.25">
      <c r="AD31756"/>
    </row>
    <row r="31757" spans="30:30" x14ac:dyDescent="0.25">
      <c r="AD31757"/>
    </row>
    <row r="31758" spans="30:30" x14ac:dyDescent="0.25">
      <c r="AD31758"/>
    </row>
    <row r="31759" spans="30:30" x14ac:dyDescent="0.25">
      <c r="AD31759"/>
    </row>
    <row r="31760" spans="30:30" x14ac:dyDescent="0.25">
      <c r="AD31760"/>
    </row>
    <row r="31761" spans="30:30" x14ac:dyDescent="0.25">
      <c r="AD31761"/>
    </row>
    <row r="31762" spans="30:30" x14ac:dyDescent="0.25">
      <c r="AD31762"/>
    </row>
    <row r="31763" spans="30:30" x14ac:dyDescent="0.25">
      <c r="AD31763"/>
    </row>
    <row r="31764" spans="30:30" x14ac:dyDescent="0.25">
      <c r="AD31764"/>
    </row>
    <row r="31765" spans="30:30" x14ac:dyDescent="0.25">
      <c r="AD31765"/>
    </row>
    <row r="31766" spans="30:30" x14ac:dyDescent="0.25">
      <c r="AD31766"/>
    </row>
    <row r="31767" spans="30:30" x14ac:dyDescent="0.25">
      <c r="AD31767"/>
    </row>
    <row r="31768" spans="30:30" x14ac:dyDescent="0.25">
      <c r="AD31768"/>
    </row>
    <row r="31769" spans="30:30" x14ac:dyDescent="0.25">
      <c r="AD31769"/>
    </row>
    <row r="31770" spans="30:30" x14ac:dyDescent="0.25">
      <c r="AD31770"/>
    </row>
    <row r="31771" spans="30:30" x14ac:dyDescent="0.25">
      <c r="AD31771"/>
    </row>
    <row r="31772" spans="30:30" x14ac:dyDescent="0.25">
      <c r="AD31772"/>
    </row>
    <row r="31773" spans="30:30" x14ac:dyDescent="0.25">
      <c r="AD31773"/>
    </row>
    <row r="31774" spans="30:30" x14ac:dyDescent="0.25">
      <c r="AD31774"/>
    </row>
    <row r="31775" spans="30:30" x14ac:dyDescent="0.25">
      <c r="AD31775"/>
    </row>
    <row r="31776" spans="30:30" x14ac:dyDescent="0.25">
      <c r="AD31776"/>
    </row>
    <row r="31777" spans="30:30" x14ac:dyDescent="0.25">
      <c r="AD31777"/>
    </row>
    <row r="31778" spans="30:30" x14ac:dyDescent="0.25">
      <c r="AD31778"/>
    </row>
    <row r="31779" spans="30:30" x14ac:dyDescent="0.25">
      <c r="AD31779"/>
    </row>
    <row r="31780" spans="30:30" x14ac:dyDescent="0.25">
      <c r="AD31780"/>
    </row>
    <row r="31781" spans="30:30" x14ac:dyDescent="0.25">
      <c r="AD31781"/>
    </row>
    <row r="31782" spans="30:30" x14ac:dyDescent="0.25">
      <c r="AD31782"/>
    </row>
    <row r="31783" spans="30:30" x14ac:dyDescent="0.25">
      <c r="AD31783"/>
    </row>
    <row r="31784" spans="30:30" x14ac:dyDescent="0.25">
      <c r="AD31784"/>
    </row>
    <row r="31785" spans="30:30" x14ac:dyDescent="0.25">
      <c r="AD31785"/>
    </row>
    <row r="31786" spans="30:30" x14ac:dyDescent="0.25">
      <c r="AD31786"/>
    </row>
    <row r="31787" spans="30:30" x14ac:dyDescent="0.25">
      <c r="AD31787"/>
    </row>
    <row r="31788" spans="30:30" x14ac:dyDescent="0.25">
      <c r="AD31788"/>
    </row>
    <row r="31789" spans="30:30" x14ac:dyDescent="0.25">
      <c r="AD31789"/>
    </row>
    <row r="31790" spans="30:30" x14ac:dyDescent="0.25">
      <c r="AD31790"/>
    </row>
    <row r="31791" spans="30:30" x14ac:dyDescent="0.25">
      <c r="AD31791"/>
    </row>
    <row r="31792" spans="30:30" x14ac:dyDescent="0.25">
      <c r="AD31792"/>
    </row>
    <row r="31793" spans="30:30" x14ac:dyDescent="0.25">
      <c r="AD31793"/>
    </row>
    <row r="31794" spans="30:30" x14ac:dyDescent="0.25">
      <c r="AD31794"/>
    </row>
    <row r="31795" spans="30:30" x14ac:dyDescent="0.25">
      <c r="AD31795"/>
    </row>
    <row r="31796" spans="30:30" x14ac:dyDescent="0.25">
      <c r="AD31796"/>
    </row>
    <row r="31797" spans="30:30" x14ac:dyDescent="0.25">
      <c r="AD31797"/>
    </row>
    <row r="31798" spans="30:30" x14ac:dyDescent="0.25">
      <c r="AD31798"/>
    </row>
    <row r="31799" spans="30:30" x14ac:dyDescent="0.25">
      <c r="AD31799"/>
    </row>
    <row r="31800" spans="30:30" x14ac:dyDescent="0.25">
      <c r="AD31800"/>
    </row>
    <row r="31801" spans="30:30" x14ac:dyDescent="0.25">
      <c r="AD31801"/>
    </row>
    <row r="31802" spans="30:30" x14ac:dyDescent="0.25">
      <c r="AD31802"/>
    </row>
    <row r="31803" spans="30:30" x14ac:dyDescent="0.25">
      <c r="AD31803"/>
    </row>
    <row r="31804" spans="30:30" x14ac:dyDescent="0.25">
      <c r="AD31804"/>
    </row>
    <row r="31805" spans="30:30" x14ac:dyDescent="0.25">
      <c r="AD31805"/>
    </row>
    <row r="31806" spans="30:30" x14ac:dyDescent="0.25">
      <c r="AD31806"/>
    </row>
    <row r="31807" spans="30:30" x14ac:dyDescent="0.25">
      <c r="AD31807"/>
    </row>
    <row r="31808" spans="30:30" x14ac:dyDescent="0.25">
      <c r="AD31808"/>
    </row>
    <row r="31809" spans="30:30" x14ac:dyDescent="0.25">
      <c r="AD31809"/>
    </row>
    <row r="31810" spans="30:30" x14ac:dyDescent="0.25">
      <c r="AD31810"/>
    </row>
    <row r="31811" spans="30:30" x14ac:dyDescent="0.25">
      <c r="AD31811"/>
    </row>
    <row r="31812" spans="30:30" x14ac:dyDescent="0.25">
      <c r="AD31812"/>
    </row>
    <row r="31813" spans="30:30" x14ac:dyDescent="0.25">
      <c r="AD31813"/>
    </row>
    <row r="31814" spans="30:30" x14ac:dyDescent="0.25">
      <c r="AD31814"/>
    </row>
    <row r="31815" spans="30:30" x14ac:dyDescent="0.25">
      <c r="AD31815"/>
    </row>
    <row r="31816" spans="30:30" x14ac:dyDescent="0.25">
      <c r="AD31816"/>
    </row>
    <row r="31817" spans="30:30" x14ac:dyDescent="0.25">
      <c r="AD31817"/>
    </row>
    <row r="31818" spans="30:30" x14ac:dyDescent="0.25">
      <c r="AD31818"/>
    </row>
    <row r="31819" spans="30:30" x14ac:dyDescent="0.25">
      <c r="AD31819"/>
    </row>
    <row r="31820" spans="30:30" x14ac:dyDescent="0.25">
      <c r="AD31820"/>
    </row>
    <row r="31821" spans="30:30" x14ac:dyDescent="0.25">
      <c r="AD31821"/>
    </row>
    <row r="31822" spans="30:30" x14ac:dyDescent="0.25">
      <c r="AD31822"/>
    </row>
    <row r="31823" spans="30:30" x14ac:dyDescent="0.25">
      <c r="AD31823"/>
    </row>
    <row r="31824" spans="30:30" x14ac:dyDescent="0.25">
      <c r="AD31824"/>
    </row>
    <row r="31825" spans="30:30" x14ac:dyDescent="0.25">
      <c r="AD31825"/>
    </row>
    <row r="31826" spans="30:30" x14ac:dyDescent="0.25">
      <c r="AD31826"/>
    </row>
    <row r="31827" spans="30:30" x14ac:dyDescent="0.25">
      <c r="AD31827"/>
    </row>
    <row r="31828" spans="30:30" x14ac:dyDescent="0.25">
      <c r="AD31828"/>
    </row>
    <row r="31829" spans="30:30" x14ac:dyDescent="0.25">
      <c r="AD31829"/>
    </row>
    <row r="31830" spans="30:30" x14ac:dyDescent="0.25">
      <c r="AD31830"/>
    </row>
    <row r="31831" spans="30:30" x14ac:dyDescent="0.25">
      <c r="AD31831"/>
    </row>
    <row r="31832" spans="30:30" x14ac:dyDescent="0.25">
      <c r="AD31832"/>
    </row>
    <row r="31833" spans="30:30" x14ac:dyDescent="0.25">
      <c r="AD31833"/>
    </row>
    <row r="31834" spans="30:30" x14ac:dyDescent="0.25">
      <c r="AD31834"/>
    </row>
    <row r="31835" spans="30:30" x14ac:dyDescent="0.25">
      <c r="AD31835"/>
    </row>
    <row r="31836" spans="30:30" x14ac:dyDescent="0.25">
      <c r="AD31836"/>
    </row>
    <row r="31837" spans="30:30" x14ac:dyDescent="0.25">
      <c r="AD31837"/>
    </row>
    <row r="31838" spans="30:30" x14ac:dyDescent="0.25">
      <c r="AD31838"/>
    </row>
    <row r="31839" spans="30:30" x14ac:dyDescent="0.25">
      <c r="AD31839"/>
    </row>
    <row r="31840" spans="30:30" x14ac:dyDescent="0.25">
      <c r="AD31840"/>
    </row>
    <row r="31841" spans="30:30" x14ac:dyDescent="0.25">
      <c r="AD31841"/>
    </row>
    <row r="31842" spans="30:30" x14ac:dyDescent="0.25">
      <c r="AD31842"/>
    </row>
    <row r="31843" spans="30:30" x14ac:dyDescent="0.25">
      <c r="AD31843"/>
    </row>
    <row r="31844" spans="30:30" x14ac:dyDescent="0.25">
      <c r="AD31844"/>
    </row>
    <row r="31845" spans="30:30" x14ac:dyDescent="0.25">
      <c r="AD31845"/>
    </row>
    <row r="31846" spans="30:30" x14ac:dyDescent="0.25">
      <c r="AD31846"/>
    </row>
    <row r="31847" spans="30:30" x14ac:dyDescent="0.25">
      <c r="AD31847"/>
    </row>
    <row r="31848" spans="30:30" x14ac:dyDescent="0.25">
      <c r="AD31848"/>
    </row>
    <row r="31849" spans="30:30" x14ac:dyDescent="0.25">
      <c r="AD31849"/>
    </row>
    <row r="31850" spans="30:30" x14ac:dyDescent="0.25">
      <c r="AD31850"/>
    </row>
    <row r="31851" spans="30:30" x14ac:dyDescent="0.25">
      <c r="AD31851"/>
    </row>
    <row r="31852" spans="30:30" x14ac:dyDescent="0.25">
      <c r="AD31852"/>
    </row>
    <row r="31853" spans="30:30" x14ac:dyDescent="0.25">
      <c r="AD31853"/>
    </row>
    <row r="31854" spans="30:30" x14ac:dyDescent="0.25">
      <c r="AD31854"/>
    </row>
    <row r="31855" spans="30:30" x14ac:dyDescent="0.25">
      <c r="AD31855"/>
    </row>
    <row r="31856" spans="30:30" x14ac:dyDescent="0.25">
      <c r="AD31856"/>
    </row>
    <row r="31857" spans="30:30" x14ac:dyDescent="0.25">
      <c r="AD31857"/>
    </row>
    <row r="31858" spans="30:30" x14ac:dyDescent="0.25">
      <c r="AD31858"/>
    </row>
    <row r="31859" spans="30:30" x14ac:dyDescent="0.25">
      <c r="AD31859"/>
    </row>
    <row r="31860" spans="30:30" x14ac:dyDescent="0.25">
      <c r="AD31860"/>
    </row>
    <row r="31861" spans="30:30" x14ac:dyDescent="0.25">
      <c r="AD31861"/>
    </row>
    <row r="31862" spans="30:30" x14ac:dyDescent="0.25">
      <c r="AD31862"/>
    </row>
    <row r="31863" spans="30:30" x14ac:dyDescent="0.25">
      <c r="AD31863"/>
    </row>
    <row r="31864" spans="30:30" x14ac:dyDescent="0.25">
      <c r="AD31864"/>
    </row>
    <row r="31865" spans="30:30" x14ac:dyDescent="0.25">
      <c r="AD31865"/>
    </row>
    <row r="31866" spans="30:30" x14ac:dyDescent="0.25">
      <c r="AD31866"/>
    </row>
    <row r="31867" spans="30:30" x14ac:dyDescent="0.25">
      <c r="AD31867"/>
    </row>
    <row r="31868" spans="30:30" x14ac:dyDescent="0.25">
      <c r="AD31868"/>
    </row>
    <row r="31869" spans="30:30" x14ac:dyDescent="0.25">
      <c r="AD31869"/>
    </row>
    <row r="31870" spans="30:30" x14ac:dyDescent="0.25">
      <c r="AD31870"/>
    </row>
    <row r="31871" spans="30:30" x14ac:dyDescent="0.25">
      <c r="AD31871"/>
    </row>
    <row r="31872" spans="30:30" x14ac:dyDescent="0.25">
      <c r="AD31872"/>
    </row>
    <row r="31873" spans="30:30" x14ac:dyDescent="0.25">
      <c r="AD31873"/>
    </row>
    <row r="31874" spans="30:30" x14ac:dyDescent="0.25">
      <c r="AD31874"/>
    </row>
    <row r="31875" spans="30:30" x14ac:dyDescent="0.25">
      <c r="AD31875"/>
    </row>
    <row r="31876" spans="30:30" x14ac:dyDescent="0.25">
      <c r="AD31876"/>
    </row>
    <row r="31877" spans="30:30" x14ac:dyDescent="0.25">
      <c r="AD31877"/>
    </row>
    <row r="31878" spans="30:30" x14ac:dyDescent="0.25">
      <c r="AD31878"/>
    </row>
    <row r="31879" spans="30:30" x14ac:dyDescent="0.25">
      <c r="AD31879"/>
    </row>
    <row r="31880" spans="30:30" x14ac:dyDescent="0.25">
      <c r="AD31880"/>
    </row>
    <row r="31881" spans="30:30" x14ac:dyDescent="0.25">
      <c r="AD31881"/>
    </row>
    <row r="31882" spans="30:30" x14ac:dyDescent="0.25">
      <c r="AD31882"/>
    </row>
    <row r="31883" spans="30:30" x14ac:dyDescent="0.25">
      <c r="AD31883"/>
    </row>
    <row r="31884" spans="30:30" x14ac:dyDescent="0.25">
      <c r="AD31884"/>
    </row>
    <row r="31885" spans="30:30" x14ac:dyDescent="0.25">
      <c r="AD31885"/>
    </row>
    <row r="31886" spans="30:30" x14ac:dyDescent="0.25">
      <c r="AD31886"/>
    </row>
    <row r="31887" spans="30:30" x14ac:dyDescent="0.25">
      <c r="AD31887"/>
    </row>
    <row r="31888" spans="30:30" x14ac:dyDescent="0.25">
      <c r="AD31888"/>
    </row>
    <row r="31889" spans="30:30" x14ac:dyDescent="0.25">
      <c r="AD31889"/>
    </row>
    <row r="31890" spans="30:30" x14ac:dyDescent="0.25">
      <c r="AD31890"/>
    </row>
    <row r="31891" spans="30:30" x14ac:dyDescent="0.25">
      <c r="AD31891"/>
    </row>
    <row r="31892" spans="30:30" x14ac:dyDescent="0.25">
      <c r="AD31892"/>
    </row>
    <row r="31893" spans="30:30" x14ac:dyDescent="0.25">
      <c r="AD31893"/>
    </row>
    <row r="31894" spans="30:30" x14ac:dyDescent="0.25">
      <c r="AD31894"/>
    </row>
    <row r="31895" spans="30:30" x14ac:dyDescent="0.25">
      <c r="AD31895"/>
    </row>
    <row r="31896" spans="30:30" x14ac:dyDescent="0.25">
      <c r="AD31896"/>
    </row>
    <row r="31897" spans="30:30" x14ac:dyDescent="0.25">
      <c r="AD31897"/>
    </row>
    <row r="31898" spans="30:30" x14ac:dyDescent="0.25">
      <c r="AD31898"/>
    </row>
    <row r="31899" spans="30:30" x14ac:dyDescent="0.25">
      <c r="AD31899"/>
    </row>
    <row r="31900" spans="30:30" x14ac:dyDescent="0.25">
      <c r="AD31900"/>
    </row>
    <row r="31901" spans="30:30" x14ac:dyDescent="0.25">
      <c r="AD31901"/>
    </row>
    <row r="31902" spans="30:30" x14ac:dyDescent="0.25">
      <c r="AD31902"/>
    </row>
    <row r="31903" spans="30:30" x14ac:dyDescent="0.25">
      <c r="AD31903"/>
    </row>
    <row r="31904" spans="30:30" x14ac:dyDescent="0.25">
      <c r="AD31904"/>
    </row>
    <row r="31905" spans="30:30" x14ac:dyDescent="0.25">
      <c r="AD31905"/>
    </row>
    <row r="31906" spans="30:30" x14ac:dyDescent="0.25">
      <c r="AD31906"/>
    </row>
    <row r="31907" spans="30:30" x14ac:dyDescent="0.25">
      <c r="AD31907"/>
    </row>
    <row r="31908" spans="30:30" x14ac:dyDescent="0.25">
      <c r="AD31908"/>
    </row>
    <row r="31909" spans="30:30" x14ac:dyDescent="0.25">
      <c r="AD31909"/>
    </row>
    <row r="31910" spans="30:30" x14ac:dyDescent="0.25">
      <c r="AD31910"/>
    </row>
    <row r="31911" spans="30:30" x14ac:dyDescent="0.25">
      <c r="AD31911"/>
    </row>
    <row r="31912" spans="30:30" x14ac:dyDescent="0.25">
      <c r="AD31912"/>
    </row>
    <row r="31913" spans="30:30" x14ac:dyDescent="0.25">
      <c r="AD31913"/>
    </row>
    <row r="31914" spans="30:30" x14ac:dyDescent="0.25">
      <c r="AD31914"/>
    </row>
    <row r="31915" spans="30:30" x14ac:dyDescent="0.25">
      <c r="AD31915"/>
    </row>
    <row r="31916" spans="30:30" x14ac:dyDescent="0.25">
      <c r="AD31916"/>
    </row>
    <row r="31917" spans="30:30" x14ac:dyDescent="0.25">
      <c r="AD31917"/>
    </row>
    <row r="31918" spans="30:30" x14ac:dyDescent="0.25">
      <c r="AD31918"/>
    </row>
    <row r="31919" spans="30:30" x14ac:dyDescent="0.25">
      <c r="AD31919"/>
    </row>
    <row r="31920" spans="30:30" x14ac:dyDescent="0.25">
      <c r="AD31920"/>
    </row>
    <row r="31921" spans="30:30" x14ac:dyDescent="0.25">
      <c r="AD31921"/>
    </row>
    <row r="31922" spans="30:30" x14ac:dyDescent="0.25">
      <c r="AD31922"/>
    </row>
    <row r="31923" spans="30:30" x14ac:dyDescent="0.25">
      <c r="AD31923"/>
    </row>
    <row r="31924" spans="30:30" x14ac:dyDescent="0.25">
      <c r="AD31924"/>
    </row>
    <row r="31925" spans="30:30" x14ac:dyDescent="0.25">
      <c r="AD31925"/>
    </row>
    <row r="31926" spans="30:30" x14ac:dyDescent="0.25">
      <c r="AD31926"/>
    </row>
    <row r="31927" spans="30:30" x14ac:dyDescent="0.25">
      <c r="AD31927"/>
    </row>
    <row r="31928" spans="30:30" x14ac:dyDescent="0.25">
      <c r="AD31928"/>
    </row>
    <row r="31929" spans="30:30" x14ac:dyDescent="0.25">
      <c r="AD31929"/>
    </row>
    <row r="31930" spans="30:30" x14ac:dyDescent="0.25">
      <c r="AD31930"/>
    </row>
    <row r="31931" spans="30:30" x14ac:dyDescent="0.25">
      <c r="AD31931"/>
    </row>
    <row r="31932" spans="30:30" x14ac:dyDescent="0.25">
      <c r="AD31932"/>
    </row>
    <row r="31933" spans="30:30" x14ac:dyDescent="0.25">
      <c r="AD31933"/>
    </row>
    <row r="31934" spans="30:30" x14ac:dyDescent="0.25">
      <c r="AD31934"/>
    </row>
    <row r="31935" spans="30:30" x14ac:dyDescent="0.25">
      <c r="AD31935"/>
    </row>
    <row r="31936" spans="30:30" x14ac:dyDescent="0.25">
      <c r="AD31936"/>
    </row>
    <row r="31937" spans="30:30" x14ac:dyDescent="0.25">
      <c r="AD31937"/>
    </row>
    <row r="31938" spans="30:30" x14ac:dyDescent="0.25">
      <c r="AD31938"/>
    </row>
    <row r="31939" spans="30:30" x14ac:dyDescent="0.25">
      <c r="AD31939"/>
    </row>
    <row r="31940" spans="30:30" x14ac:dyDescent="0.25">
      <c r="AD31940"/>
    </row>
    <row r="31941" spans="30:30" x14ac:dyDescent="0.25">
      <c r="AD31941"/>
    </row>
    <row r="31942" spans="30:30" x14ac:dyDescent="0.25">
      <c r="AD31942"/>
    </row>
    <row r="31943" spans="30:30" x14ac:dyDescent="0.25">
      <c r="AD31943"/>
    </row>
    <row r="31944" spans="30:30" x14ac:dyDescent="0.25">
      <c r="AD31944"/>
    </row>
    <row r="31945" spans="30:30" x14ac:dyDescent="0.25">
      <c r="AD31945"/>
    </row>
    <row r="31946" spans="30:30" x14ac:dyDescent="0.25">
      <c r="AD31946"/>
    </row>
    <row r="31947" spans="30:30" x14ac:dyDescent="0.25">
      <c r="AD31947"/>
    </row>
    <row r="31948" spans="30:30" x14ac:dyDescent="0.25">
      <c r="AD31948"/>
    </row>
    <row r="31949" spans="30:30" x14ac:dyDescent="0.25">
      <c r="AD31949"/>
    </row>
    <row r="31950" spans="30:30" x14ac:dyDescent="0.25">
      <c r="AD31950"/>
    </row>
    <row r="31951" spans="30:30" x14ac:dyDescent="0.25">
      <c r="AD31951"/>
    </row>
    <row r="31952" spans="30:30" x14ac:dyDescent="0.25">
      <c r="AD31952"/>
    </row>
    <row r="31953" spans="30:30" x14ac:dyDescent="0.25">
      <c r="AD31953"/>
    </row>
    <row r="31954" spans="30:30" x14ac:dyDescent="0.25">
      <c r="AD31954"/>
    </row>
    <row r="31955" spans="30:30" x14ac:dyDescent="0.25">
      <c r="AD31955"/>
    </row>
    <row r="31956" spans="30:30" x14ac:dyDescent="0.25">
      <c r="AD31956"/>
    </row>
    <row r="31957" spans="30:30" x14ac:dyDescent="0.25">
      <c r="AD31957"/>
    </row>
    <row r="31958" spans="30:30" x14ac:dyDescent="0.25">
      <c r="AD31958"/>
    </row>
    <row r="31959" spans="30:30" x14ac:dyDescent="0.25">
      <c r="AD31959"/>
    </row>
    <row r="31960" spans="30:30" x14ac:dyDescent="0.25">
      <c r="AD31960"/>
    </row>
    <row r="31961" spans="30:30" x14ac:dyDescent="0.25">
      <c r="AD31961"/>
    </row>
    <row r="31962" spans="30:30" x14ac:dyDescent="0.25">
      <c r="AD31962"/>
    </row>
    <row r="31963" spans="30:30" x14ac:dyDescent="0.25">
      <c r="AD31963"/>
    </row>
    <row r="31964" spans="30:30" x14ac:dyDescent="0.25">
      <c r="AD31964"/>
    </row>
    <row r="31965" spans="30:30" x14ac:dyDescent="0.25">
      <c r="AD31965"/>
    </row>
    <row r="31966" spans="30:30" x14ac:dyDescent="0.25">
      <c r="AD31966"/>
    </row>
    <row r="31967" spans="30:30" x14ac:dyDescent="0.25">
      <c r="AD31967"/>
    </row>
    <row r="31968" spans="30:30" x14ac:dyDescent="0.25">
      <c r="AD31968"/>
    </row>
    <row r="31969" spans="30:30" x14ac:dyDescent="0.25">
      <c r="AD31969"/>
    </row>
    <row r="31970" spans="30:30" x14ac:dyDescent="0.25">
      <c r="AD31970"/>
    </row>
    <row r="31971" spans="30:30" x14ac:dyDescent="0.25">
      <c r="AD31971"/>
    </row>
    <row r="31972" spans="30:30" x14ac:dyDescent="0.25">
      <c r="AD31972"/>
    </row>
    <row r="31973" spans="30:30" x14ac:dyDescent="0.25">
      <c r="AD31973"/>
    </row>
    <row r="31974" spans="30:30" x14ac:dyDescent="0.25">
      <c r="AD31974"/>
    </row>
    <row r="31975" spans="30:30" x14ac:dyDescent="0.25">
      <c r="AD31975"/>
    </row>
    <row r="31976" spans="30:30" x14ac:dyDescent="0.25">
      <c r="AD31976"/>
    </row>
    <row r="31977" spans="30:30" x14ac:dyDescent="0.25">
      <c r="AD31977"/>
    </row>
    <row r="31978" spans="30:30" x14ac:dyDescent="0.25">
      <c r="AD31978"/>
    </row>
    <row r="31979" spans="30:30" x14ac:dyDescent="0.25">
      <c r="AD31979"/>
    </row>
    <row r="31980" spans="30:30" x14ac:dyDescent="0.25">
      <c r="AD31980"/>
    </row>
    <row r="31981" spans="30:30" x14ac:dyDescent="0.25">
      <c r="AD31981"/>
    </row>
    <row r="31982" spans="30:30" x14ac:dyDescent="0.25">
      <c r="AD31982"/>
    </row>
    <row r="31983" spans="30:30" x14ac:dyDescent="0.25">
      <c r="AD31983"/>
    </row>
    <row r="31984" spans="30:30" x14ac:dyDescent="0.25">
      <c r="AD31984"/>
    </row>
    <row r="31985" spans="30:30" x14ac:dyDescent="0.25">
      <c r="AD31985"/>
    </row>
    <row r="31986" spans="30:30" x14ac:dyDescent="0.25">
      <c r="AD31986"/>
    </row>
    <row r="31987" spans="30:30" x14ac:dyDescent="0.25">
      <c r="AD31987"/>
    </row>
    <row r="31988" spans="30:30" x14ac:dyDescent="0.25">
      <c r="AD31988"/>
    </row>
    <row r="31989" spans="30:30" x14ac:dyDescent="0.25">
      <c r="AD31989"/>
    </row>
    <row r="31990" spans="30:30" x14ac:dyDescent="0.25">
      <c r="AD31990"/>
    </row>
    <row r="31991" spans="30:30" x14ac:dyDescent="0.25">
      <c r="AD31991"/>
    </row>
    <row r="31992" spans="30:30" x14ac:dyDescent="0.25">
      <c r="AD31992"/>
    </row>
    <row r="31993" spans="30:30" x14ac:dyDescent="0.25">
      <c r="AD31993"/>
    </row>
    <row r="31994" spans="30:30" x14ac:dyDescent="0.25">
      <c r="AD31994"/>
    </row>
    <row r="31995" spans="30:30" x14ac:dyDescent="0.25">
      <c r="AD31995"/>
    </row>
    <row r="31996" spans="30:30" x14ac:dyDescent="0.25">
      <c r="AD31996"/>
    </row>
    <row r="31997" spans="30:30" x14ac:dyDescent="0.25">
      <c r="AD31997"/>
    </row>
    <row r="31998" spans="30:30" x14ac:dyDescent="0.25">
      <c r="AD31998"/>
    </row>
    <row r="31999" spans="30:30" x14ac:dyDescent="0.25">
      <c r="AD31999"/>
    </row>
    <row r="32000" spans="30:30" x14ac:dyDescent="0.25">
      <c r="AD32000"/>
    </row>
    <row r="32001" spans="30:30" x14ac:dyDescent="0.25">
      <c r="AD32001"/>
    </row>
    <row r="32002" spans="30:30" x14ac:dyDescent="0.25">
      <c r="AD32002"/>
    </row>
    <row r="32003" spans="30:30" x14ac:dyDescent="0.25">
      <c r="AD32003"/>
    </row>
    <row r="32004" spans="30:30" x14ac:dyDescent="0.25">
      <c r="AD32004"/>
    </row>
    <row r="32005" spans="30:30" x14ac:dyDescent="0.25">
      <c r="AD32005"/>
    </row>
    <row r="32006" spans="30:30" x14ac:dyDescent="0.25">
      <c r="AD32006"/>
    </row>
    <row r="32007" spans="30:30" x14ac:dyDescent="0.25">
      <c r="AD32007"/>
    </row>
    <row r="32008" spans="30:30" x14ac:dyDescent="0.25">
      <c r="AD32008"/>
    </row>
    <row r="32009" spans="30:30" x14ac:dyDescent="0.25">
      <c r="AD32009"/>
    </row>
    <row r="32010" spans="30:30" x14ac:dyDescent="0.25">
      <c r="AD32010"/>
    </row>
    <row r="32011" spans="30:30" x14ac:dyDescent="0.25">
      <c r="AD32011"/>
    </row>
    <row r="32012" spans="30:30" x14ac:dyDescent="0.25">
      <c r="AD32012"/>
    </row>
    <row r="32013" spans="30:30" x14ac:dyDescent="0.25">
      <c r="AD32013"/>
    </row>
    <row r="32014" spans="30:30" x14ac:dyDescent="0.25">
      <c r="AD32014"/>
    </row>
    <row r="32015" spans="30:30" x14ac:dyDescent="0.25">
      <c r="AD32015"/>
    </row>
    <row r="32016" spans="30:30" x14ac:dyDescent="0.25">
      <c r="AD32016"/>
    </row>
    <row r="32017" spans="30:30" x14ac:dyDescent="0.25">
      <c r="AD32017"/>
    </row>
    <row r="32018" spans="30:30" x14ac:dyDescent="0.25">
      <c r="AD32018"/>
    </row>
    <row r="32019" spans="30:30" x14ac:dyDescent="0.25">
      <c r="AD32019"/>
    </row>
    <row r="32020" spans="30:30" x14ac:dyDescent="0.25">
      <c r="AD32020"/>
    </row>
    <row r="32021" spans="30:30" x14ac:dyDescent="0.25">
      <c r="AD32021"/>
    </row>
    <row r="32022" spans="30:30" x14ac:dyDescent="0.25">
      <c r="AD32022"/>
    </row>
    <row r="32023" spans="30:30" x14ac:dyDescent="0.25">
      <c r="AD32023"/>
    </row>
    <row r="32024" spans="30:30" x14ac:dyDescent="0.25">
      <c r="AD32024"/>
    </row>
    <row r="32025" spans="30:30" x14ac:dyDescent="0.25">
      <c r="AD32025"/>
    </row>
    <row r="32026" spans="30:30" x14ac:dyDescent="0.25">
      <c r="AD32026"/>
    </row>
    <row r="32027" spans="30:30" x14ac:dyDescent="0.25">
      <c r="AD32027"/>
    </row>
    <row r="32028" spans="30:30" x14ac:dyDescent="0.25">
      <c r="AD32028"/>
    </row>
    <row r="32029" spans="30:30" x14ac:dyDescent="0.25">
      <c r="AD32029"/>
    </row>
    <row r="32030" spans="30:30" x14ac:dyDescent="0.25">
      <c r="AD32030"/>
    </row>
    <row r="32031" spans="30:30" x14ac:dyDescent="0.25">
      <c r="AD32031"/>
    </row>
    <row r="32032" spans="30:30" x14ac:dyDescent="0.25">
      <c r="AD32032"/>
    </row>
    <row r="32033" spans="30:30" x14ac:dyDescent="0.25">
      <c r="AD32033"/>
    </row>
    <row r="32034" spans="30:30" x14ac:dyDescent="0.25">
      <c r="AD32034"/>
    </row>
    <row r="32035" spans="30:30" x14ac:dyDescent="0.25">
      <c r="AD32035"/>
    </row>
    <row r="32036" spans="30:30" x14ac:dyDescent="0.25">
      <c r="AD32036"/>
    </row>
    <row r="32037" spans="30:30" x14ac:dyDescent="0.25">
      <c r="AD32037"/>
    </row>
    <row r="32038" spans="30:30" x14ac:dyDescent="0.25">
      <c r="AD32038"/>
    </row>
    <row r="32039" spans="30:30" x14ac:dyDescent="0.25">
      <c r="AD32039"/>
    </row>
    <row r="32040" spans="30:30" x14ac:dyDescent="0.25">
      <c r="AD32040"/>
    </row>
    <row r="32041" spans="30:30" x14ac:dyDescent="0.25">
      <c r="AD32041"/>
    </row>
    <row r="32042" spans="30:30" x14ac:dyDescent="0.25">
      <c r="AD32042"/>
    </row>
    <row r="32043" spans="30:30" x14ac:dyDescent="0.25">
      <c r="AD32043"/>
    </row>
    <row r="32044" spans="30:30" x14ac:dyDescent="0.25">
      <c r="AD32044"/>
    </row>
    <row r="32045" spans="30:30" x14ac:dyDescent="0.25">
      <c r="AD32045"/>
    </row>
    <row r="32046" spans="30:30" x14ac:dyDescent="0.25">
      <c r="AD32046"/>
    </row>
    <row r="32047" spans="30:30" x14ac:dyDescent="0.25">
      <c r="AD32047"/>
    </row>
    <row r="32048" spans="30:30" x14ac:dyDescent="0.25">
      <c r="AD32048"/>
    </row>
    <row r="32049" spans="30:30" x14ac:dyDescent="0.25">
      <c r="AD32049"/>
    </row>
    <row r="32050" spans="30:30" x14ac:dyDescent="0.25">
      <c r="AD32050"/>
    </row>
    <row r="32051" spans="30:30" x14ac:dyDescent="0.25">
      <c r="AD32051"/>
    </row>
    <row r="32052" spans="30:30" x14ac:dyDescent="0.25">
      <c r="AD32052"/>
    </row>
    <row r="32053" spans="30:30" x14ac:dyDescent="0.25">
      <c r="AD32053"/>
    </row>
    <row r="32054" spans="30:30" x14ac:dyDescent="0.25">
      <c r="AD32054"/>
    </row>
    <row r="32055" spans="30:30" x14ac:dyDescent="0.25">
      <c r="AD32055"/>
    </row>
    <row r="32056" spans="30:30" x14ac:dyDescent="0.25">
      <c r="AD32056"/>
    </row>
    <row r="32057" spans="30:30" x14ac:dyDescent="0.25">
      <c r="AD32057"/>
    </row>
    <row r="32058" spans="30:30" x14ac:dyDescent="0.25">
      <c r="AD32058"/>
    </row>
    <row r="32059" spans="30:30" x14ac:dyDescent="0.25">
      <c r="AD32059"/>
    </row>
    <row r="32060" spans="30:30" x14ac:dyDescent="0.25">
      <c r="AD32060"/>
    </row>
    <row r="32061" spans="30:30" x14ac:dyDescent="0.25">
      <c r="AD32061"/>
    </row>
    <row r="32062" spans="30:30" x14ac:dyDescent="0.25">
      <c r="AD32062"/>
    </row>
    <row r="32063" spans="30:30" x14ac:dyDescent="0.25">
      <c r="AD32063"/>
    </row>
    <row r="32064" spans="30:30" x14ac:dyDescent="0.25">
      <c r="AD32064"/>
    </row>
    <row r="32065" spans="30:30" x14ac:dyDescent="0.25">
      <c r="AD32065"/>
    </row>
    <row r="32066" spans="30:30" x14ac:dyDescent="0.25">
      <c r="AD32066"/>
    </row>
    <row r="32067" spans="30:30" x14ac:dyDescent="0.25">
      <c r="AD32067"/>
    </row>
    <row r="32068" spans="30:30" x14ac:dyDescent="0.25">
      <c r="AD32068"/>
    </row>
    <row r="32069" spans="30:30" x14ac:dyDescent="0.25">
      <c r="AD32069"/>
    </row>
    <row r="32070" spans="30:30" x14ac:dyDescent="0.25">
      <c r="AD32070"/>
    </row>
    <row r="32071" spans="30:30" x14ac:dyDescent="0.25">
      <c r="AD32071"/>
    </row>
    <row r="32072" spans="30:30" x14ac:dyDescent="0.25">
      <c r="AD32072"/>
    </row>
    <row r="32073" spans="30:30" x14ac:dyDescent="0.25">
      <c r="AD32073"/>
    </row>
    <row r="32074" spans="30:30" x14ac:dyDescent="0.25">
      <c r="AD32074"/>
    </row>
    <row r="32075" spans="30:30" x14ac:dyDescent="0.25">
      <c r="AD32075"/>
    </row>
    <row r="32076" spans="30:30" x14ac:dyDescent="0.25">
      <c r="AD32076"/>
    </row>
    <row r="32077" spans="30:30" x14ac:dyDescent="0.25">
      <c r="AD32077"/>
    </row>
    <row r="32078" spans="30:30" x14ac:dyDescent="0.25">
      <c r="AD32078"/>
    </row>
    <row r="32079" spans="30:30" x14ac:dyDescent="0.25">
      <c r="AD32079"/>
    </row>
    <row r="32080" spans="30:30" x14ac:dyDescent="0.25">
      <c r="AD32080"/>
    </row>
    <row r="32081" spans="30:30" x14ac:dyDescent="0.25">
      <c r="AD32081"/>
    </row>
    <row r="32082" spans="30:30" x14ac:dyDescent="0.25">
      <c r="AD32082"/>
    </row>
    <row r="32083" spans="30:30" x14ac:dyDescent="0.25">
      <c r="AD32083"/>
    </row>
    <row r="32084" spans="30:30" x14ac:dyDescent="0.25">
      <c r="AD32084"/>
    </row>
    <row r="32085" spans="30:30" x14ac:dyDescent="0.25">
      <c r="AD32085"/>
    </row>
    <row r="32086" spans="30:30" x14ac:dyDescent="0.25">
      <c r="AD32086"/>
    </row>
    <row r="32087" spans="30:30" x14ac:dyDescent="0.25">
      <c r="AD32087"/>
    </row>
    <row r="32088" spans="30:30" x14ac:dyDescent="0.25">
      <c r="AD32088"/>
    </row>
    <row r="32089" spans="30:30" x14ac:dyDescent="0.25">
      <c r="AD32089"/>
    </row>
    <row r="32090" spans="30:30" x14ac:dyDescent="0.25">
      <c r="AD32090"/>
    </row>
    <row r="32091" spans="30:30" x14ac:dyDescent="0.25">
      <c r="AD32091"/>
    </row>
    <row r="32092" spans="30:30" x14ac:dyDescent="0.25">
      <c r="AD32092"/>
    </row>
    <row r="32093" spans="30:30" x14ac:dyDescent="0.25">
      <c r="AD32093"/>
    </row>
    <row r="32094" spans="30:30" x14ac:dyDescent="0.25">
      <c r="AD32094"/>
    </row>
    <row r="32095" spans="30:30" x14ac:dyDescent="0.25">
      <c r="AD32095"/>
    </row>
    <row r="32096" spans="30:30" x14ac:dyDescent="0.25">
      <c r="AD32096"/>
    </row>
    <row r="32097" spans="30:30" x14ac:dyDescent="0.25">
      <c r="AD32097"/>
    </row>
    <row r="32098" spans="30:30" x14ac:dyDescent="0.25">
      <c r="AD32098"/>
    </row>
    <row r="32099" spans="30:30" x14ac:dyDescent="0.25">
      <c r="AD32099"/>
    </row>
    <row r="32100" spans="30:30" x14ac:dyDescent="0.25">
      <c r="AD32100"/>
    </row>
    <row r="32101" spans="30:30" x14ac:dyDescent="0.25">
      <c r="AD32101"/>
    </row>
    <row r="32102" spans="30:30" x14ac:dyDescent="0.25">
      <c r="AD32102"/>
    </row>
    <row r="32103" spans="30:30" x14ac:dyDescent="0.25">
      <c r="AD32103"/>
    </row>
    <row r="32104" spans="30:30" x14ac:dyDescent="0.25">
      <c r="AD32104"/>
    </row>
    <row r="32105" spans="30:30" x14ac:dyDescent="0.25">
      <c r="AD32105"/>
    </row>
    <row r="32106" spans="30:30" x14ac:dyDescent="0.25">
      <c r="AD32106"/>
    </row>
    <row r="32107" spans="30:30" x14ac:dyDescent="0.25">
      <c r="AD32107"/>
    </row>
    <row r="32108" spans="30:30" x14ac:dyDescent="0.25">
      <c r="AD32108"/>
    </row>
    <row r="32109" spans="30:30" x14ac:dyDescent="0.25">
      <c r="AD32109"/>
    </row>
    <row r="32110" spans="30:30" x14ac:dyDescent="0.25">
      <c r="AD32110"/>
    </row>
    <row r="32111" spans="30:30" x14ac:dyDescent="0.25">
      <c r="AD32111"/>
    </row>
    <row r="32112" spans="30:30" x14ac:dyDescent="0.25">
      <c r="AD32112"/>
    </row>
    <row r="32113" spans="30:30" x14ac:dyDescent="0.25">
      <c r="AD32113"/>
    </row>
    <row r="32114" spans="30:30" x14ac:dyDescent="0.25">
      <c r="AD32114"/>
    </row>
    <row r="32115" spans="30:30" x14ac:dyDescent="0.25">
      <c r="AD32115"/>
    </row>
    <row r="32116" spans="30:30" x14ac:dyDescent="0.25">
      <c r="AD32116"/>
    </row>
    <row r="32117" spans="30:30" x14ac:dyDescent="0.25">
      <c r="AD32117"/>
    </row>
    <row r="32118" spans="30:30" x14ac:dyDescent="0.25">
      <c r="AD32118"/>
    </row>
    <row r="32119" spans="30:30" x14ac:dyDescent="0.25">
      <c r="AD32119"/>
    </row>
    <row r="32120" spans="30:30" x14ac:dyDescent="0.25">
      <c r="AD32120"/>
    </row>
    <row r="32121" spans="30:30" x14ac:dyDescent="0.25">
      <c r="AD32121"/>
    </row>
    <row r="32122" spans="30:30" x14ac:dyDescent="0.25">
      <c r="AD32122"/>
    </row>
    <row r="32123" spans="30:30" x14ac:dyDescent="0.25">
      <c r="AD32123"/>
    </row>
    <row r="32124" spans="30:30" x14ac:dyDescent="0.25">
      <c r="AD32124"/>
    </row>
    <row r="32125" spans="30:30" x14ac:dyDescent="0.25">
      <c r="AD32125"/>
    </row>
    <row r="32126" spans="30:30" x14ac:dyDescent="0.25">
      <c r="AD32126"/>
    </row>
    <row r="32127" spans="30:30" x14ac:dyDescent="0.25">
      <c r="AD32127"/>
    </row>
    <row r="32128" spans="30:30" x14ac:dyDescent="0.25">
      <c r="AD32128"/>
    </row>
    <row r="32129" spans="30:30" x14ac:dyDescent="0.25">
      <c r="AD32129"/>
    </row>
    <row r="32130" spans="30:30" x14ac:dyDescent="0.25">
      <c r="AD32130"/>
    </row>
    <row r="32131" spans="30:30" x14ac:dyDescent="0.25">
      <c r="AD32131"/>
    </row>
    <row r="32132" spans="30:30" x14ac:dyDescent="0.25">
      <c r="AD32132"/>
    </row>
    <row r="32133" spans="30:30" x14ac:dyDescent="0.25">
      <c r="AD32133"/>
    </row>
    <row r="32134" spans="30:30" x14ac:dyDescent="0.25">
      <c r="AD32134"/>
    </row>
    <row r="32135" spans="30:30" x14ac:dyDescent="0.25">
      <c r="AD32135"/>
    </row>
    <row r="32136" spans="30:30" x14ac:dyDescent="0.25">
      <c r="AD32136"/>
    </row>
    <row r="32137" spans="30:30" x14ac:dyDescent="0.25">
      <c r="AD32137"/>
    </row>
    <row r="32138" spans="30:30" x14ac:dyDescent="0.25">
      <c r="AD32138"/>
    </row>
    <row r="32139" spans="30:30" x14ac:dyDescent="0.25">
      <c r="AD32139"/>
    </row>
    <row r="32140" spans="30:30" x14ac:dyDescent="0.25">
      <c r="AD32140"/>
    </row>
    <row r="32141" spans="30:30" x14ac:dyDescent="0.25">
      <c r="AD32141"/>
    </row>
    <row r="32142" spans="30:30" x14ac:dyDescent="0.25">
      <c r="AD32142"/>
    </row>
    <row r="32143" spans="30:30" x14ac:dyDescent="0.25">
      <c r="AD32143"/>
    </row>
    <row r="32144" spans="30:30" x14ac:dyDescent="0.25">
      <c r="AD32144"/>
    </row>
    <row r="32145" spans="30:30" x14ac:dyDescent="0.25">
      <c r="AD32145"/>
    </row>
    <row r="32146" spans="30:30" x14ac:dyDescent="0.25">
      <c r="AD32146"/>
    </row>
    <row r="32147" spans="30:30" x14ac:dyDescent="0.25">
      <c r="AD32147"/>
    </row>
    <row r="32148" spans="30:30" x14ac:dyDescent="0.25">
      <c r="AD32148"/>
    </row>
    <row r="32149" spans="30:30" x14ac:dyDescent="0.25">
      <c r="AD32149"/>
    </row>
    <row r="32150" spans="30:30" x14ac:dyDescent="0.25">
      <c r="AD32150"/>
    </row>
    <row r="32151" spans="30:30" x14ac:dyDescent="0.25">
      <c r="AD32151"/>
    </row>
    <row r="32152" spans="30:30" x14ac:dyDescent="0.25">
      <c r="AD32152"/>
    </row>
    <row r="32153" spans="30:30" x14ac:dyDescent="0.25">
      <c r="AD32153"/>
    </row>
    <row r="32154" spans="30:30" x14ac:dyDescent="0.25">
      <c r="AD32154"/>
    </row>
    <row r="32155" spans="30:30" x14ac:dyDescent="0.25">
      <c r="AD32155"/>
    </row>
    <row r="32156" spans="30:30" x14ac:dyDescent="0.25">
      <c r="AD32156"/>
    </row>
    <row r="32157" spans="30:30" x14ac:dyDescent="0.25">
      <c r="AD32157"/>
    </row>
    <row r="32158" spans="30:30" x14ac:dyDescent="0.25">
      <c r="AD32158"/>
    </row>
    <row r="32159" spans="30:30" x14ac:dyDescent="0.25">
      <c r="AD32159"/>
    </row>
    <row r="32160" spans="30:30" x14ac:dyDescent="0.25">
      <c r="AD32160"/>
    </row>
    <row r="32161" spans="30:30" x14ac:dyDescent="0.25">
      <c r="AD32161"/>
    </row>
    <row r="32162" spans="30:30" x14ac:dyDescent="0.25">
      <c r="AD32162"/>
    </row>
    <row r="32163" spans="30:30" x14ac:dyDescent="0.25">
      <c r="AD32163"/>
    </row>
    <row r="32164" spans="30:30" x14ac:dyDescent="0.25">
      <c r="AD32164"/>
    </row>
    <row r="32165" spans="30:30" x14ac:dyDescent="0.25">
      <c r="AD32165"/>
    </row>
    <row r="32166" spans="30:30" x14ac:dyDescent="0.25">
      <c r="AD32166"/>
    </row>
    <row r="32167" spans="30:30" x14ac:dyDescent="0.25">
      <c r="AD32167"/>
    </row>
    <row r="32168" spans="30:30" x14ac:dyDescent="0.25">
      <c r="AD32168"/>
    </row>
    <row r="32169" spans="30:30" x14ac:dyDescent="0.25">
      <c r="AD32169"/>
    </row>
    <row r="32170" spans="30:30" x14ac:dyDescent="0.25">
      <c r="AD32170"/>
    </row>
    <row r="32171" spans="30:30" x14ac:dyDescent="0.25">
      <c r="AD32171"/>
    </row>
    <row r="32172" spans="30:30" x14ac:dyDescent="0.25">
      <c r="AD32172"/>
    </row>
    <row r="32173" spans="30:30" x14ac:dyDescent="0.25">
      <c r="AD32173"/>
    </row>
    <row r="32174" spans="30:30" x14ac:dyDescent="0.25">
      <c r="AD32174"/>
    </row>
    <row r="32175" spans="30:30" x14ac:dyDescent="0.25">
      <c r="AD32175"/>
    </row>
    <row r="32176" spans="30:30" x14ac:dyDescent="0.25">
      <c r="AD32176"/>
    </row>
    <row r="32177" spans="30:30" x14ac:dyDescent="0.25">
      <c r="AD32177"/>
    </row>
    <row r="32178" spans="30:30" x14ac:dyDescent="0.25">
      <c r="AD32178"/>
    </row>
    <row r="32179" spans="30:30" x14ac:dyDescent="0.25">
      <c r="AD32179"/>
    </row>
    <row r="32180" spans="30:30" x14ac:dyDescent="0.25">
      <c r="AD32180"/>
    </row>
    <row r="32181" spans="30:30" x14ac:dyDescent="0.25">
      <c r="AD32181"/>
    </row>
    <row r="32182" spans="30:30" x14ac:dyDescent="0.25">
      <c r="AD32182"/>
    </row>
    <row r="32183" spans="30:30" x14ac:dyDescent="0.25">
      <c r="AD32183"/>
    </row>
    <row r="32184" spans="30:30" x14ac:dyDescent="0.25">
      <c r="AD32184"/>
    </row>
    <row r="32185" spans="30:30" x14ac:dyDescent="0.25">
      <c r="AD32185"/>
    </row>
    <row r="32186" spans="30:30" x14ac:dyDescent="0.25">
      <c r="AD32186"/>
    </row>
    <row r="32187" spans="30:30" x14ac:dyDescent="0.25">
      <c r="AD32187"/>
    </row>
    <row r="32188" spans="30:30" x14ac:dyDescent="0.25">
      <c r="AD32188"/>
    </row>
    <row r="32189" spans="30:30" x14ac:dyDescent="0.25">
      <c r="AD32189"/>
    </row>
    <row r="32190" spans="30:30" x14ac:dyDescent="0.25">
      <c r="AD32190"/>
    </row>
    <row r="32191" spans="30:30" x14ac:dyDescent="0.25">
      <c r="AD32191"/>
    </row>
    <row r="32192" spans="30:30" x14ac:dyDescent="0.25">
      <c r="AD32192"/>
    </row>
    <row r="32193" spans="30:30" x14ac:dyDescent="0.25">
      <c r="AD32193"/>
    </row>
    <row r="32194" spans="30:30" x14ac:dyDescent="0.25">
      <c r="AD32194"/>
    </row>
    <row r="32195" spans="30:30" x14ac:dyDescent="0.25">
      <c r="AD32195"/>
    </row>
    <row r="32196" spans="30:30" x14ac:dyDescent="0.25">
      <c r="AD32196"/>
    </row>
    <row r="32197" spans="30:30" x14ac:dyDescent="0.25">
      <c r="AD32197"/>
    </row>
    <row r="32198" spans="30:30" x14ac:dyDescent="0.25">
      <c r="AD32198"/>
    </row>
    <row r="32199" spans="30:30" x14ac:dyDescent="0.25">
      <c r="AD32199"/>
    </row>
    <row r="32200" spans="30:30" x14ac:dyDescent="0.25">
      <c r="AD32200"/>
    </row>
    <row r="32201" spans="30:30" x14ac:dyDescent="0.25">
      <c r="AD32201"/>
    </row>
    <row r="32202" spans="30:30" x14ac:dyDescent="0.25">
      <c r="AD32202"/>
    </row>
    <row r="32203" spans="30:30" x14ac:dyDescent="0.25">
      <c r="AD32203"/>
    </row>
    <row r="32204" spans="30:30" x14ac:dyDescent="0.25">
      <c r="AD32204"/>
    </row>
    <row r="32205" spans="30:30" x14ac:dyDescent="0.25">
      <c r="AD32205"/>
    </row>
    <row r="32206" spans="30:30" x14ac:dyDescent="0.25">
      <c r="AD32206"/>
    </row>
    <row r="32207" spans="30:30" x14ac:dyDescent="0.25">
      <c r="AD32207"/>
    </row>
    <row r="32208" spans="30:30" x14ac:dyDescent="0.25">
      <c r="AD32208"/>
    </row>
    <row r="32209" spans="30:30" x14ac:dyDescent="0.25">
      <c r="AD32209"/>
    </row>
    <row r="32210" spans="30:30" x14ac:dyDescent="0.25">
      <c r="AD32210"/>
    </row>
    <row r="32211" spans="30:30" x14ac:dyDescent="0.25">
      <c r="AD32211"/>
    </row>
    <row r="32212" spans="30:30" x14ac:dyDescent="0.25">
      <c r="AD32212"/>
    </row>
    <row r="32213" spans="30:30" x14ac:dyDescent="0.25">
      <c r="AD32213"/>
    </row>
    <row r="32214" spans="30:30" x14ac:dyDescent="0.25">
      <c r="AD32214"/>
    </row>
    <row r="32215" spans="30:30" x14ac:dyDescent="0.25">
      <c r="AD32215"/>
    </row>
    <row r="32216" spans="30:30" x14ac:dyDescent="0.25">
      <c r="AD32216"/>
    </row>
    <row r="32217" spans="30:30" x14ac:dyDescent="0.25">
      <c r="AD32217"/>
    </row>
    <row r="32218" spans="30:30" x14ac:dyDescent="0.25">
      <c r="AD32218"/>
    </row>
    <row r="32219" spans="30:30" x14ac:dyDescent="0.25">
      <c r="AD32219"/>
    </row>
    <row r="32220" spans="30:30" x14ac:dyDescent="0.25">
      <c r="AD32220"/>
    </row>
    <row r="32221" spans="30:30" x14ac:dyDescent="0.25">
      <c r="AD32221"/>
    </row>
    <row r="32222" spans="30:30" x14ac:dyDescent="0.25">
      <c r="AD32222"/>
    </row>
    <row r="32223" spans="30:30" x14ac:dyDescent="0.25">
      <c r="AD32223"/>
    </row>
    <row r="32224" spans="30:30" x14ac:dyDescent="0.25">
      <c r="AD32224"/>
    </row>
    <row r="32225" spans="30:30" x14ac:dyDescent="0.25">
      <c r="AD32225"/>
    </row>
    <row r="32226" spans="30:30" x14ac:dyDescent="0.25">
      <c r="AD32226"/>
    </row>
    <row r="32227" spans="30:30" x14ac:dyDescent="0.25">
      <c r="AD32227"/>
    </row>
    <row r="32228" spans="30:30" x14ac:dyDescent="0.25">
      <c r="AD32228"/>
    </row>
    <row r="32229" spans="30:30" x14ac:dyDescent="0.25">
      <c r="AD32229"/>
    </row>
    <row r="32230" spans="30:30" x14ac:dyDescent="0.25">
      <c r="AD32230"/>
    </row>
    <row r="32231" spans="30:30" x14ac:dyDescent="0.25">
      <c r="AD32231"/>
    </row>
    <row r="32232" spans="30:30" x14ac:dyDescent="0.25">
      <c r="AD32232"/>
    </row>
    <row r="32233" spans="30:30" x14ac:dyDescent="0.25">
      <c r="AD32233"/>
    </row>
    <row r="32234" spans="30:30" x14ac:dyDescent="0.25">
      <c r="AD32234"/>
    </row>
    <row r="32235" spans="30:30" x14ac:dyDescent="0.25">
      <c r="AD32235"/>
    </row>
    <row r="32236" spans="30:30" x14ac:dyDescent="0.25">
      <c r="AD32236"/>
    </row>
    <row r="32237" spans="30:30" x14ac:dyDescent="0.25">
      <c r="AD32237"/>
    </row>
    <row r="32238" spans="30:30" x14ac:dyDescent="0.25">
      <c r="AD32238"/>
    </row>
    <row r="32239" spans="30:30" x14ac:dyDescent="0.25">
      <c r="AD32239"/>
    </row>
    <row r="32240" spans="30:30" x14ac:dyDescent="0.25">
      <c r="AD32240"/>
    </row>
    <row r="32241" spans="30:30" x14ac:dyDescent="0.25">
      <c r="AD32241"/>
    </row>
    <row r="32242" spans="30:30" x14ac:dyDescent="0.25">
      <c r="AD32242"/>
    </row>
    <row r="32243" spans="30:30" x14ac:dyDescent="0.25">
      <c r="AD32243"/>
    </row>
    <row r="32244" spans="30:30" x14ac:dyDescent="0.25">
      <c r="AD32244"/>
    </row>
    <row r="32245" spans="30:30" x14ac:dyDescent="0.25">
      <c r="AD32245"/>
    </row>
    <row r="32246" spans="30:30" x14ac:dyDescent="0.25">
      <c r="AD32246"/>
    </row>
    <row r="32247" spans="30:30" x14ac:dyDescent="0.25">
      <c r="AD32247"/>
    </row>
    <row r="32248" spans="30:30" x14ac:dyDescent="0.25">
      <c r="AD32248"/>
    </row>
    <row r="32249" spans="30:30" x14ac:dyDescent="0.25">
      <c r="AD32249"/>
    </row>
    <row r="32250" spans="30:30" x14ac:dyDescent="0.25">
      <c r="AD32250"/>
    </row>
    <row r="32251" spans="30:30" x14ac:dyDescent="0.25">
      <c r="AD32251"/>
    </row>
    <row r="32252" spans="30:30" x14ac:dyDescent="0.25">
      <c r="AD32252"/>
    </row>
    <row r="32253" spans="30:30" x14ac:dyDescent="0.25">
      <c r="AD32253"/>
    </row>
    <row r="32254" spans="30:30" x14ac:dyDescent="0.25">
      <c r="AD32254"/>
    </row>
    <row r="32255" spans="30:30" x14ac:dyDescent="0.25">
      <c r="AD32255"/>
    </row>
    <row r="32256" spans="30:30" x14ac:dyDescent="0.25">
      <c r="AD32256"/>
    </row>
    <row r="32257" spans="30:30" x14ac:dyDescent="0.25">
      <c r="AD32257"/>
    </row>
    <row r="32258" spans="30:30" x14ac:dyDescent="0.25">
      <c r="AD32258"/>
    </row>
    <row r="32259" spans="30:30" x14ac:dyDescent="0.25">
      <c r="AD32259"/>
    </row>
    <row r="32260" spans="30:30" x14ac:dyDescent="0.25">
      <c r="AD32260"/>
    </row>
    <row r="32261" spans="30:30" x14ac:dyDescent="0.25">
      <c r="AD32261"/>
    </row>
    <row r="32262" spans="30:30" x14ac:dyDescent="0.25">
      <c r="AD32262"/>
    </row>
    <row r="32263" spans="30:30" x14ac:dyDescent="0.25">
      <c r="AD32263"/>
    </row>
    <row r="32264" spans="30:30" x14ac:dyDescent="0.25">
      <c r="AD32264"/>
    </row>
    <row r="32265" spans="30:30" x14ac:dyDescent="0.25">
      <c r="AD32265"/>
    </row>
    <row r="32266" spans="30:30" x14ac:dyDescent="0.25">
      <c r="AD32266"/>
    </row>
    <row r="32267" spans="30:30" x14ac:dyDescent="0.25">
      <c r="AD32267"/>
    </row>
    <row r="32268" spans="30:30" x14ac:dyDescent="0.25">
      <c r="AD32268"/>
    </row>
    <row r="32269" spans="30:30" x14ac:dyDescent="0.25">
      <c r="AD32269"/>
    </row>
    <row r="32270" spans="30:30" x14ac:dyDescent="0.25">
      <c r="AD32270"/>
    </row>
    <row r="32271" spans="30:30" x14ac:dyDescent="0.25">
      <c r="AD32271"/>
    </row>
    <row r="32272" spans="30:30" x14ac:dyDescent="0.25">
      <c r="AD32272"/>
    </row>
    <row r="32273" spans="30:30" x14ac:dyDescent="0.25">
      <c r="AD32273"/>
    </row>
    <row r="32274" spans="30:30" x14ac:dyDescent="0.25">
      <c r="AD32274"/>
    </row>
    <row r="32275" spans="30:30" x14ac:dyDescent="0.25">
      <c r="AD32275"/>
    </row>
    <row r="32276" spans="30:30" x14ac:dyDescent="0.25">
      <c r="AD32276"/>
    </row>
    <row r="32277" spans="30:30" x14ac:dyDescent="0.25">
      <c r="AD32277"/>
    </row>
    <row r="32278" spans="30:30" x14ac:dyDescent="0.25">
      <c r="AD32278"/>
    </row>
    <row r="32279" spans="30:30" x14ac:dyDescent="0.25">
      <c r="AD32279"/>
    </row>
    <row r="32280" spans="30:30" x14ac:dyDescent="0.25">
      <c r="AD32280"/>
    </row>
    <row r="32281" spans="30:30" x14ac:dyDescent="0.25">
      <c r="AD32281"/>
    </row>
    <row r="32282" spans="30:30" x14ac:dyDescent="0.25">
      <c r="AD32282"/>
    </row>
    <row r="32283" spans="30:30" x14ac:dyDescent="0.25">
      <c r="AD32283"/>
    </row>
    <row r="32284" spans="30:30" x14ac:dyDescent="0.25">
      <c r="AD32284"/>
    </row>
    <row r="32285" spans="30:30" x14ac:dyDescent="0.25">
      <c r="AD32285"/>
    </row>
    <row r="32286" spans="30:30" x14ac:dyDescent="0.25">
      <c r="AD32286"/>
    </row>
    <row r="32287" spans="30:30" x14ac:dyDescent="0.25">
      <c r="AD32287"/>
    </row>
    <row r="32288" spans="30:30" x14ac:dyDescent="0.25">
      <c r="AD32288"/>
    </row>
    <row r="32289" spans="30:30" x14ac:dyDescent="0.25">
      <c r="AD32289"/>
    </row>
    <row r="32290" spans="30:30" x14ac:dyDescent="0.25">
      <c r="AD32290"/>
    </row>
    <row r="32291" spans="30:30" x14ac:dyDescent="0.25">
      <c r="AD32291"/>
    </row>
    <row r="32292" spans="30:30" x14ac:dyDescent="0.25">
      <c r="AD32292"/>
    </row>
    <row r="32293" spans="30:30" x14ac:dyDescent="0.25">
      <c r="AD32293"/>
    </row>
    <row r="32294" spans="30:30" x14ac:dyDescent="0.25">
      <c r="AD32294"/>
    </row>
    <row r="32295" spans="30:30" x14ac:dyDescent="0.25">
      <c r="AD32295"/>
    </row>
    <row r="32296" spans="30:30" x14ac:dyDescent="0.25">
      <c r="AD32296"/>
    </row>
    <row r="32297" spans="30:30" x14ac:dyDescent="0.25">
      <c r="AD32297"/>
    </row>
    <row r="32298" spans="30:30" x14ac:dyDescent="0.25">
      <c r="AD32298"/>
    </row>
    <row r="32299" spans="30:30" x14ac:dyDescent="0.25">
      <c r="AD32299"/>
    </row>
    <row r="32300" spans="30:30" x14ac:dyDescent="0.25">
      <c r="AD32300"/>
    </row>
    <row r="32301" spans="30:30" x14ac:dyDescent="0.25">
      <c r="AD32301"/>
    </row>
    <row r="32302" spans="30:30" x14ac:dyDescent="0.25">
      <c r="AD32302"/>
    </row>
    <row r="32303" spans="30:30" x14ac:dyDescent="0.25">
      <c r="AD32303"/>
    </row>
    <row r="32304" spans="30:30" x14ac:dyDescent="0.25">
      <c r="AD32304"/>
    </row>
    <row r="32305" spans="30:30" x14ac:dyDescent="0.25">
      <c r="AD32305"/>
    </row>
    <row r="32306" spans="30:30" x14ac:dyDescent="0.25">
      <c r="AD32306"/>
    </row>
    <row r="32307" spans="30:30" x14ac:dyDescent="0.25">
      <c r="AD32307"/>
    </row>
    <row r="32308" spans="30:30" x14ac:dyDescent="0.25">
      <c r="AD32308"/>
    </row>
    <row r="32309" spans="30:30" x14ac:dyDescent="0.25">
      <c r="AD32309"/>
    </row>
    <row r="32310" spans="30:30" x14ac:dyDescent="0.25">
      <c r="AD32310"/>
    </row>
    <row r="32311" spans="30:30" x14ac:dyDescent="0.25">
      <c r="AD32311"/>
    </row>
    <row r="32312" spans="30:30" x14ac:dyDescent="0.25">
      <c r="AD32312"/>
    </row>
    <row r="32313" spans="30:30" x14ac:dyDescent="0.25">
      <c r="AD32313"/>
    </row>
    <row r="32314" spans="30:30" x14ac:dyDescent="0.25">
      <c r="AD32314"/>
    </row>
    <row r="32315" spans="30:30" x14ac:dyDescent="0.25">
      <c r="AD32315"/>
    </row>
    <row r="32316" spans="30:30" x14ac:dyDescent="0.25">
      <c r="AD32316"/>
    </row>
    <row r="32317" spans="30:30" x14ac:dyDescent="0.25">
      <c r="AD32317"/>
    </row>
    <row r="32318" spans="30:30" x14ac:dyDescent="0.25">
      <c r="AD32318"/>
    </row>
    <row r="32319" spans="30:30" x14ac:dyDescent="0.25">
      <c r="AD32319"/>
    </row>
    <row r="32320" spans="30:30" x14ac:dyDescent="0.25">
      <c r="AD32320"/>
    </row>
    <row r="32321" spans="30:30" x14ac:dyDescent="0.25">
      <c r="AD32321"/>
    </row>
    <row r="32322" spans="30:30" x14ac:dyDescent="0.25">
      <c r="AD32322"/>
    </row>
    <row r="32323" spans="30:30" x14ac:dyDescent="0.25">
      <c r="AD32323"/>
    </row>
    <row r="32324" spans="30:30" x14ac:dyDescent="0.25">
      <c r="AD32324"/>
    </row>
    <row r="32325" spans="30:30" x14ac:dyDescent="0.25">
      <c r="AD32325"/>
    </row>
    <row r="32326" spans="30:30" x14ac:dyDescent="0.25">
      <c r="AD32326"/>
    </row>
    <row r="32327" spans="30:30" x14ac:dyDescent="0.25">
      <c r="AD32327"/>
    </row>
    <row r="32328" spans="30:30" x14ac:dyDescent="0.25">
      <c r="AD32328"/>
    </row>
    <row r="32329" spans="30:30" x14ac:dyDescent="0.25">
      <c r="AD32329"/>
    </row>
    <row r="32330" spans="30:30" x14ac:dyDescent="0.25">
      <c r="AD32330"/>
    </row>
    <row r="32331" spans="30:30" x14ac:dyDescent="0.25">
      <c r="AD32331"/>
    </row>
    <row r="32332" spans="30:30" x14ac:dyDescent="0.25">
      <c r="AD32332"/>
    </row>
    <row r="32333" spans="30:30" x14ac:dyDescent="0.25">
      <c r="AD32333"/>
    </row>
    <row r="32334" spans="30:30" x14ac:dyDescent="0.25">
      <c r="AD32334"/>
    </row>
    <row r="32335" spans="30:30" x14ac:dyDescent="0.25">
      <c r="AD32335"/>
    </row>
    <row r="32336" spans="30:30" x14ac:dyDescent="0.25">
      <c r="AD32336"/>
    </row>
    <row r="32337" spans="30:30" x14ac:dyDescent="0.25">
      <c r="AD32337"/>
    </row>
    <row r="32338" spans="30:30" x14ac:dyDescent="0.25">
      <c r="AD32338"/>
    </row>
    <row r="32339" spans="30:30" x14ac:dyDescent="0.25">
      <c r="AD32339"/>
    </row>
    <row r="32340" spans="30:30" x14ac:dyDescent="0.25">
      <c r="AD32340"/>
    </row>
    <row r="32341" spans="30:30" x14ac:dyDescent="0.25">
      <c r="AD32341"/>
    </row>
    <row r="32342" spans="30:30" x14ac:dyDescent="0.25">
      <c r="AD32342"/>
    </row>
    <row r="32343" spans="30:30" x14ac:dyDescent="0.25">
      <c r="AD32343"/>
    </row>
    <row r="32344" spans="30:30" x14ac:dyDescent="0.25">
      <c r="AD32344"/>
    </row>
    <row r="32345" spans="30:30" x14ac:dyDescent="0.25">
      <c r="AD32345"/>
    </row>
    <row r="32346" spans="30:30" x14ac:dyDescent="0.25">
      <c r="AD32346"/>
    </row>
    <row r="32347" spans="30:30" x14ac:dyDescent="0.25">
      <c r="AD32347"/>
    </row>
    <row r="32348" spans="30:30" x14ac:dyDescent="0.25">
      <c r="AD32348"/>
    </row>
    <row r="32349" spans="30:30" x14ac:dyDescent="0.25">
      <c r="AD32349"/>
    </row>
    <row r="32350" spans="30:30" x14ac:dyDescent="0.25">
      <c r="AD32350"/>
    </row>
    <row r="32351" spans="30:30" x14ac:dyDescent="0.25">
      <c r="AD32351"/>
    </row>
    <row r="32352" spans="30:30" x14ac:dyDescent="0.25">
      <c r="AD32352"/>
    </row>
    <row r="32353" spans="30:30" x14ac:dyDescent="0.25">
      <c r="AD32353"/>
    </row>
    <row r="32354" spans="30:30" x14ac:dyDescent="0.25">
      <c r="AD32354"/>
    </row>
    <row r="32355" spans="30:30" x14ac:dyDescent="0.25">
      <c r="AD32355"/>
    </row>
    <row r="32356" spans="30:30" x14ac:dyDescent="0.25">
      <c r="AD32356"/>
    </row>
    <row r="32357" spans="30:30" x14ac:dyDescent="0.25">
      <c r="AD32357"/>
    </row>
    <row r="32358" spans="30:30" x14ac:dyDescent="0.25">
      <c r="AD32358"/>
    </row>
    <row r="32359" spans="30:30" x14ac:dyDescent="0.25">
      <c r="AD32359"/>
    </row>
    <row r="32360" spans="30:30" x14ac:dyDescent="0.25">
      <c r="AD32360"/>
    </row>
    <row r="32361" spans="30:30" x14ac:dyDescent="0.25">
      <c r="AD32361"/>
    </row>
    <row r="32362" spans="30:30" x14ac:dyDescent="0.25">
      <c r="AD32362"/>
    </row>
    <row r="32363" spans="30:30" x14ac:dyDescent="0.25">
      <c r="AD32363"/>
    </row>
    <row r="32364" spans="30:30" x14ac:dyDescent="0.25">
      <c r="AD32364"/>
    </row>
    <row r="32365" spans="30:30" x14ac:dyDescent="0.25">
      <c r="AD32365"/>
    </row>
    <row r="32366" spans="30:30" x14ac:dyDescent="0.25">
      <c r="AD32366"/>
    </row>
    <row r="32367" spans="30:30" x14ac:dyDescent="0.25">
      <c r="AD32367"/>
    </row>
    <row r="32368" spans="30:30" x14ac:dyDescent="0.25">
      <c r="AD32368"/>
    </row>
    <row r="32369" spans="30:30" x14ac:dyDescent="0.25">
      <c r="AD32369"/>
    </row>
    <row r="32370" spans="30:30" x14ac:dyDescent="0.25">
      <c r="AD32370"/>
    </row>
    <row r="32371" spans="30:30" x14ac:dyDescent="0.25">
      <c r="AD32371"/>
    </row>
    <row r="32372" spans="30:30" x14ac:dyDescent="0.25">
      <c r="AD32372"/>
    </row>
    <row r="32373" spans="30:30" x14ac:dyDescent="0.25">
      <c r="AD32373"/>
    </row>
    <row r="32374" spans="30:30" x14ac:dyDescent="0.25">
      <c r="AD32374"/>
    </row>
    <row r="32375" spans="30:30" x14ac:dyDescent="0.25">
      <c r="AD32375"/>
    </row>
    <row r="32376" spans="30:30" x14ac:dyDescent="0.25">
      <c r="AD32376"/>
    </row>
    <row r="32377" spans="30:30" x14ac:dyDescent="0.25">
      <c r="AD32377"/>
    </row>
    <row r="32378" spans="30:30" x14ac:dyDescent="0.25">
      <c r="AD32378"/>
    </row>
    <row r="32379" spans="30:30" x14ac:dyDescent="0.25">
      <c r="AD32379"/>
    </row>
    <row r="32380" spans="30:30" x14ac:dyDescent="0.25">
      <c r="AD32380"/>
    </row>
    <row r="32381" spans="30:30" x14ac:dyDescent="0.25">
      <c r="AD32381"/>
    </row>
    <row r="32382" spans="30:30" x14ac:dyDescent="0.25">
      <c r="AD32382"/>
    </row>
    <row r="32383" spans="30:30" x14ac:dyDescent="0.25">
      <c r="AD32383"/>
    </row>
    <row r="32384" spans="30:30" x14ac:dyDescent="0.25">
      <c r="AD32384"/>
    </row>
    <row r="32385" spans="30:30" x14ac:dyDescent="0.25">
      <c r="AD32385"/>
    </row>
    <row r="32386" spans="30:30" x14ac:dyDescent="0.25">
      <c r="AD32386"/>
    </row>
    <row r="32387" spans="30:30" x14ac:dyDescent="0.25">
      <c r="AD32387"/>
    </row>
    <row r="32388" spans="30:30" x14ac:dyDescent="0.25">
      <c r="AD32388"/>
    </row>
    <row r="32389" spans="30:30" x14ac:dyDescent="0.25">
      <c r="AD32389"/>
    </row>
    <row r="32390" spans="30:30" x14ac:dyDescent="0.25">
      <c r="AD32390"/>
    </row>
    <row r="32391" spans="30:30" x14ac:dyDescent="0.25">
      <c r="AD32391"/>
    </row>
    <row r="32392" spans="30:30" x14ac:dyDescent="0.25">
      <c r="AD32392"/>
    </row>
    <row r="32393" spans="30:30" x14ac:dyDescent="0.25">
      <c r="AD32393"/>
    </row>
    <row r="32394" spans="30:30" x14ac:dyDescent="0.25">
      <c r="AD32394"/>
    </row>
    <row r="32395" spans="30:30" x14ac:dyDescent="0.25">
      <c r="AD32395"/>
    </row>
    <row r="32396" spans="30:30" x14ac:dyDescent="0.25">
      <c r="AD32396"/>
    </row>
    <row r="32397" spans="30:30" x14ac:dyDescent="0.25">
      <c r="AD32397"/>
    </row>
    <row r="32398" spans="30:30" x14ac:dyDescent="0.25">
      <c r="AD32398"/>
    </row>
    <row r="32399" spans="30:30" x14ac:dyDescent="0.25">
      <c r="AD32399"/>
    </row>
    <row r="32400" spans="30:30" x14ac:dyDescent="0.25">
      <c r="AD32400"/>
    </row>
    <row r="32401" spans="30:30" x14ac:dyDescent="0.25">
      <c r="AD32401"/>
    </row>
    <row r="32402" spans="30:30" x14ac:dyDescent="0.25">
      <c r="AD32402"/>
    </row>
    <row r="32403" spans="30:30" x14ac:dyDescent="0.25">
      <c r="AD32403"/>
    </row>
    <row r="32404" spans="30:30" x14ac:dyDescent="0.25">
      <c r="AD32404"/>
    </row>
    <row r="32405" spans="30:30" x14ac:dyDescent="0.25">
      <c r="AD32405"/>
    </row>
    <row r="32406" spans="30:30" x14ac:dyDescent="0.25">
      <c r="AD32406"/>
    </row>
    <row r="32407" spans="30:30" x14ac:dyDescent="0.25">
      <c r="AD32407"/>
    </row>
    <row r="32408" spans="30:30" x14ac:dyDescent="0.25">
      <c r="AD32408"/>
    </row>
    <row r="32409" spans="30:30" x14ac:dyDescent="0.25">
      <c r="AD32409"/>
    </row>
    <row r="32410" spans="30:30" x14ac:dyDescent="0.25">
      <c r="AD32410"/>
    </row>
    <row r="32411" spans="30:30" x14ac:dyDescent="0.25">
      <c r="AD32411"/>
    </row>
    <row r="32412" spans="30:30" x14ac:dyDescent="0.25">
      <c r="AD32412"/>
    </row>
    <row r="32413" spans="30:30" x14ac:dyDescent="0.25">
      <c r="AD32413"/>
    </row>
    <row r="32414" spans="30:30" x14ac:dyDescent="0.25">
      <c r="AD32414"/>
    </row>
    <row r="32415" spans="30:30" x14ac:dyDescent="0.25">
      <c r="AD32415"/>
    </row>
    <row r="32416" spans="30:30" x14ac:dyDescent="0.25">
      <c r="AD32416"/>
    </row>
    <row r="32417" spans="30:30" x14ac:dyDescent="0.25">
      <c r="AD32417"/>
    </row>
    <row r="32418" spans="30:30" x14ac:dyDescent="0.25">
      <c r="AD32418"/>
    </row>
    <row r="32419" spans="30:30" x14ac:dyDescent="0.25">
      <c r="AD32419"/>
    </row>
    <row r="32420" spans="30:30" x14ac:dyDescent="0.25">
      <c r="AD32420"/>
    </row>
    <row r="32421" spans="30:30" x14ac:dyDescent="0.25">
      <c r="AD32421"/>
    </row>
    <row r="32422" spans="30:30" x14ac:dyDescent="0.25">
      <c r="AD32422"/>
    </row>
    <row r="32423" spans="30:30" x14ac:dyDescent="0.25">
      <c r="AD32423"/>
    </row>
    <row r="32424" spans="30:30" x14ac:dyDescent="0.25">
      <c r="AD32424"/>
    </row>
    <row r="32425" spans="30:30" x14ac:dyDescent="0.25">
      <c r="AD32425"/>
    </row>
    <row r="32426" spans="30:30" x14ac:dyDescent="0.25">
      <c r="AD32426"/>
    </row>
    <row r="32427" spans="30:30" x14ac:dyDescent="0.25">
      <c r="AD32427"/>
    </row>
    <row r="32428" spans="30:30" x14ac:dyDescent="0.25">
      <c r="AD32428"/>
    </row>
    <row r="32429" spans="30:30" x14ac:dyDescent="0.25">
      <c r="AD32429"/>
    </row>
    <row r="32430" spans="30:30" x14ac:dyDescent="0.25">
      <c r="AD32430"/>
    </row>
    <row r="32431" spans="30:30" x14ac:dyDescent="0.25">
      <c r="AD32431"/>
    </row>
    <row r="32432" spans="30:30" x14ac:dyDescent="0.25">
      <c r="AD32432"/>
    </row>
    <row r="32433" spans="30:30" x14ac:dyDescent="0.25">
      <c r="AD32433"/>
    </row>
    <row r="32434" spans="30:30" x14ac:dyDescent="0.25">
      <c r="AD32434"/>
    </row>
    <row r="32435" spans="30:30" x14ac:dyDescent="0.25">
      <c r="AD32435"/>
    </row>
    <row r="32436" spans="30:30" x14ac:dyDescent="0.25">
      <c r="AD32436"/>
    </row>
    <row r="32437" spans="30:30" x14ac:dyDescent="0.25">
      <c r="AD32437"/>
    </row>
    <row r="32438" spans="30:30" x14ac:dyDescent="0.25">
      <c r="AD32438"/>
    </row>
    <row r="32439" spans="30:30" x14ac:dyDescent="0.25">
      <c r="AD32439"/>
    </row>
    <row r="32440" spans="30:30" x14ac:dyDescent="0.25">
      <c r="AD32440"/>
    </row>
    <row r="32441" spans="30:30" x14ac:dyDescent="0.25">
      <c r="AD32441"/>
    </row>
    <row r="32442" spans="30:30" x14ac:dyDescent="0.25">
      <c r="AD32442"/>
    </row>
    <row r="32443" spans="30:30" x14ac:dyDescent="0.25">
      <c r="AD32443"/>
    </row>
    <row r="32444" spans="30:30" x14ac:dyDescent="0.25">
      <c r="AD32444"/>
    </row>
    <row r="32445" spans="30:30" x14ac:dyDescent="0.25">
      <c r="AD32445"/>
    </row>
    <row r="32446" spans="30:30" x14ac:dyDescent="0.25">
      <c r="AD32446"/>
    </row>
    <row r="32447" spans="30:30" x14ac:dyDescent="0.25">
      <c r="AD32447"/>
    </row>
    <row r="32448" spans="30:30" x14ac:dyDescent="0.25">
      <c r="AD32448"/>
    </row>
    <row r="32449" spans="30:30" x14ac:dyDescent="0.25">
      <c r="AD32449"/>
    </row>
    <row r="32450" spans="30:30" x14ac:dyDescent="0.25">
      <c r="AD32450"/>
    </row>
    <row r="32451" spans="30:30" x14ac:dyDescent="0.25">
      <c r="AD32451"/>
    </row>
    <row r="32452" spans="30:30" x14ac:dyDescent="0.25">
      <c r="AD32452"/>
    </row>
    <row r="32453" spans="30:30" x14ac:dyDescent="0.25">
      <c r="AD32453"/>
    </row>
    <row r="32454" spans="30:30" x14ac:dyDescent="0.25">
      <c r="AD32454"/>
    </row>
    <row r="32455" spans="30:30" x14ac:dyDescent="0.25">
      <c r="AD32455"/>
    </row>
    <row r="32456" spans="30:30" x14ac:dyDescent="0.25">
      <c r="AD32456"/>
    </row>
    <row r="32457" spans="30:30" x14ac:dyDescent="0.25">
      <c r="AD32457"/>
    </row>
    <row r="32458" spans="30:30" x14ac:dyDescent="0.25">
      <c r="AD32458"/>
    </row>
    <row r="32459" spans="30:30" x14ac:dyDescent="0.25">
      <c r="AD32459"/>
    </row>
    <row r="32460" spans="30:30" x14ac:dyDescent="0.25">
      <c r="AD32460"/>
    </row>
    <row r="32461" spans="30:30" x14ac:dyDescent="0.25">
      <c r="AD32461"/>
    </row>
    <row r="32462" spans="30:30" x14ac:dyDescent="0.25">
      <c r="AD32462"/>
    </row>
    <row r="32463" spans="30:30" x14ac:dyDescent="0.25">
      <c r="AD32463"/>
    </row>
    <row r="32464" spans="30:30" x14ac:dyDescent="0.25">
      <c r="AD32464"/>
    </row>
    <row r="32465" spans="30:30" x14ac:dyDescent="0.25">
      <c r="AD32465"/>
    </row>
    <row r="32466" spans="30:30" x14ac:dyDescent="0.25">
      <c r="AD32466"/>
    </row>
    <row r="32467" spans="30:30" x14ac:dyDescent="0.25">
      <c r="AD32467"/>
    </row>
    <row r="32468" spans="30:30" x14ac:dyDescent="0.25">
      <c r="AD32468"/>
    </row>
    <row r="32469" spans="30:30" x14ac:dyDescent="0.25">
      <c r="AD32469"/>
    </row>
    <row r="32470" spans="30:30" x14ac:dyDescent="0.25">
      <c r="AD32470"/>
    </row>
    <row r="32471" spans="30:30" x14ac:dyDescent="0.25">
      <c r="AD32471"/>
    </row>
    <row r="32472" spans="30:30" x14ac:dyDescent="0.25">
      <c r="AD32472"/>
    </row>
    <row r="32473" spans="30:30" x14ac:dyDescent="0.25">
      <c r="AD32473"/>
    </row>
    <row r="32474" spans="30:30" x14ac:dyDescent="0.25">
      <c r="AD32474"/>
    </row>
    <row r="32475" spans="30:30" x14ac:dyDescent="0.25">
      <c r="AD32475"/>
    </row>
    <row r="32476" spans="30:30" x14ac:dyDescent="0.25">
      <c r="AD32476"/>
    </row>
    <row r="32477" spans="30:30" x14ac:dyDescent="0.25">
      <c r="AD32477"/>
    </row>
    <row r="32478" spans="30:30" x14ac:dyDescent="0.25">
      <c r="AD32478"/>
    </row>
    <row r="32479" spans="30:30" x14ac:dyDescent="0.25">
      <c r="AD32479"/>
    </row>
    <row r="32480" spans="30:30" x14ac:dyDescent="0.25">
      <c r="AD32480"/>
    </row>
    <row r="32481" spans="30:30" x14ac:dyDescent="0.25">
      <c r="AD32481"/>
    </row>
    <row r="32482" spans="30:30" x14ac:dyDescent="0.25">
      <c r="AD32482"/>
    </row>
    <row r="32483" spans="30:30" x14ac:dyDescent="0.25">
      <c r="AD32483"/>
    </row>
    <row r="32484" spans="30:30" x14ac:dyDescent="0.25">
      <c r="AD32484"/>
    </row>
    <row r="32485" spans="30:30" x14ac:dyDescent="0.25">
      <c r="AD32485"/>
    </row>
    <row r="32486" spans="30:30" x14ac:dyDescent="0.25">
      <c r="AD32486"/>
    </row>
    <row r="32487" spans="30:30" x14ac:dyDescent="0.25">
      <c r="AD32487"/>
    </row>
    <row r="32488" spans="30:30" x14ac:dyDescent="0.25">
      <c r="AD32488"/>
    </row>
    <row r="32489" spans="30:30" x14ac:dyDescent="0.25">
      <c r="AD32489"/>
    </row>
    <row r="32490" spans="30:30" x14ac:dyDescent="0.25">
      <c r="AD32490"/>
    </row>
    <row r="32491" spans="30:30" x14ac:dyDescent="0.25">
      <c r="AD32491"/>
    </row>
    <row r="32492" spans="30:30" x14ac:dyDescent="0.25">
      <c r="AD32492"/>
    </row>
    <row r="32493" spans="30:30" x14ac:dyDescent="0.25">
      <c r="AD32493"/>
    </row>
    <row r="32494" spans="30:30" x14ac:dyDescent="0.25">
      <c r="AD32494"/>
    </row>
    <row r="32495" spans="30:30" x14ac:dyDescent="0.25">
      <c r="AD32495"/>
    </row>
    <row r="32496" spans="30:30" x14ac:dyDescent="0.25">
      <c r="AD32496"/>
    </row>
    <row r="32497" spans="30:30" x14ac:dyDescent="0.25">
      <c r="AD32497"/>
    </row>
    <row r="32498" spans="30:30" x14ac:dyDescent="0.25">
      <c r="AD32498"/>
    </row>
    <row r="32499" spans="30:30" x14ac:dyDescent="0.25">
      <c r="AD32499"/>
    </row>
    <row r="32500" spans="30:30" x14ac:dyDescent="0.25">
      <c r="AD32500"/>
    </row>
    <row r="32501" spans="30:30" x14ac:dyDescent="0.25">
      <c r="AD32501"/>
    </row>
    <row r="32502" spans="30:30" x14ac:dyDescent="0.25">
      <c r="AD32502"/>
    </row>
    <row r="32503" spans="30:30" x14ac:dyDescent="0.25">
      <c r="AD32503"/>
    </row>
    <row r="32504" spans="30:30" x14ac:dyDescent="0.25">
      <c r="AD32504"/>
    </row>
    <row r="32505" spans="30:30" x14ac:dyDescent="0.25">
      <c r="AD32505"/>
    </row>
    <row r="32506" spans="30:30" x14ac:dyDescent="0.25">
      <c r="AD32506"/>
    </row>
    <row r="32507" spans="30:30" x14ac:dyDescent="0.25">
      <c r="AD32507"/>
    </row>
    <row r="32508" spans="30:30" x14ac:dyDescent="0.25">
      <c r="AD32508"/>
    </row>
    <row r="32509" spans="30:30" x14ac:dyDescent="0.25">
      <c r="AD32509"/>
    </row>
    <row r="32510" spans="30:30" x14ac:dyDescent="0.25">
      <c r="AD32510"/>
    </row>
    <row r="32511" spans="30:30" x14ac:dyDescent="0.25">
      <c r="AD32511"/>
    </row>
    <row r="32512" spans="30:30" x14ac:dyDescent="0.25">
      <c r="AD32512"/>
    </row>
    <row r="32513" spans="30:30" x14ac:dyDescent="0.25">
      <c r="AD32513"/>
    </row>
    <row r="32514" spans="30:30" x14ac:dyDescent="0.25">
      <c r="AD32514"/>
    </row>
    <row r="32515" spans="30:30" x14ac:dyDescent="0.25">
      <c r="AD32515"/>
    </row>
    <row r="32516" spans="30:30" x14ac:dyDescent="0.25">
      <c r="AD32516"/>
    </row>
    <row r="32517" spans="30:30" x14ac:dyDescent="0.25">
      <c r="AD32517"/>
    </row>
    <row r="32518" spans="30:30" x14ac:dyDescent="0.25">
      <c r="AD32518"/>
    </row>
    <row r="32519" spans="30:30" x14ac:dyDescent="0.25">
      <c r="AD32519"/>
    </row>
    <row r="32520" spans="30:30" x14ac:dyDescent="0.25">
      <c r="AD32520"/>
    </row>
    <row r="32521" spans="30:30" x14ac:dyDescent="0.25">
      <c r="AD32521"/>
    </row>
    <row r="32522" spans="30:30" x14ac:dyDescent="0.25">
      <c r="AD32522"/>
    </row>
    <row r="32523" spans="30:30" x14ac:dyDescent="0.25">
      <c r="AD32523"/>
    </row>
    <row r="32524" spans="30:30" x14ac:dyDescent="0.25">
      <c r="AD32524"/>
    </row>
    <row r="32525" spans="30:30" x14ac:dyDescent="0.25">
      <c r="AD32525"/>
    </row>
    <row r="32526" spans="30:30" x14ac:dyDescent="0.25">
      <c r="AD32526"/>
    </row>
    <row r="32527" spans="30:30" x14ac:dyDescent="0.25">
      <c r="AD32527"/>
    </row>
    <row r="32528" spans="30:30" x14ac:dyDescent="0.25">
      <c r="AD32528"/>
    </row>
    <row r="32529" spans="30:30" x14ac:dyDescent="0.25">
      <c r="AD32529"/>
    </row>
    <row r="32530" spans="30:30" x14ac:dyDescent="0.25">
      <c r="AD32530"/>
    </row>
    <row r="32531" spans="30:30" x14ac:dyDescent="0.25">
      <c r="AD32531"/>
    </row>
    <row r="32532" spans="30:30" x14ac:dyDescent="0.25">
      <c r="AD32532"/>
    </row>
    <row r="32533" spans="30:30" x14ac:dyDescent="0.25">
      <c r="AD32533"/>
    </row>
    <row r="32534" spans="30:30" x14ac:dyDescent="0.25">
      <c r="AD32534"/>
    </row>
    <row r="32535" spans="30:30" x14ac:dyDescent="0.25">
      <c r="AD32535"/>
    </row>
    <row r="32536" spans="30:30" x14ac:dyDescent="0.25">
      <c r="AD32536"/>
    </row>
    <row r="32537" spans="30:30" x14ac:dyDescent="0.25">
      <c r="AD32537"/>
    </row>
    <row r="32538" spans="30:30" x14ac:dyDescent="0.25">
      <c r="AD32538"/>
    </row>
    <row r="32539" spans="30:30" x14ac:dyDescent="0.25">
      <c r="AD32539"/>
    </row>
    <row r="32540" spans="30:30" x14ac:dyDescent="0.25">
      <c r="AD32540"/>
    </row>
    <row r="32541" spans="30:30" x14ac:dyDescent="0.25">
      <c r="AD32541"/>
    </row>
    <row r="32542" spans="30:30" x14ac:dyDescent="0.25">
      <c r="AD32542"/>
    </row>
    <row r="32543" spans="30:30" x14ac:dyDescent="0.25">
      <c r="AD32543"/>
    </row>
    <row r="32544" spans="30:30" x14ac:dyDescent="0.25">
      <c r="AD32544"/>
    </row>
    <row r="32545" spans="30:30" x14ac:dyDescent="0.25">
      <c r="AD32545"/>
    </row>
    <row r="32546" spans="30:30" x14ac:dyDescent="0.25">
      <c r="AD32546"/>
    </row>
    <row r="32547" spans="30:30" x14ac:dyDescent="0.25">
      <c r="AD32547"/>
    </row>
    <row r="32548" spans="30:30" x14ac:dyDescent="0.25">
      <c r="AD32548"/>
    </row>
    <row r="32549" spans="30:30" x14ac:dyDescent="0.25">
      <c r="AD32549"/>
    </row>
    <row r="32550" spans="30:30" x14ac:dyDescent="0.25">
      <c r="AD32550"/>
    </row>
    <row r="32551" spans="30:30" x14ac:dyDescent="0.25">
      <c r="AD32551"/>
    </row>
    <row r="32552" spans="30:30" x14ac:dyDescent="0.25">
      <c r="AD32552"/>
    </row>
    <row r="32553" spans="30:30" x14ac:dyDescent="0.25">
      <c r="AD32553"/>
    </row>
    <row r="32554" spans="30:30" x14ac:dyDescent="0.25">
      <c r="AD32554"/>
    </row>
    <row r="32555" spans="30:30" x14ac:dyDescent="0.25">
      <c r="AD32555"/>
    </row>
    <row r="32556" spans="30:30" x14ac:dyDescent="0.25">
      <c r="AD32556"/>
    </row>
    <row r="32557" spans="30:30" x14ac:dyDescent="0.25">
      <c r="AD32557"/>
    </row>
    <row r="32558" spans="30:30" x14ac:dyDescent="0.25">
      <c r="AD32558"/>
    </row>
    <row r="32559" spans="30:30" x14ac:dyDescent="0.25">
      <c r="AD32559"/>
    </row>
    <row r="32560" spans="30:30" x14ac:dyDescent="0.25">
      <c r="AD32560"/>
    </row>
    <row r="32561" spans="30:30" x14ac:dyDescent="0.25">
      <c r="AD32561"/>
    </row>
    <row r="32562" spans="30:30" x14ac:dyDescent="0.25">
      <c r="AD32562"/>
    </row>
    <row r="32563" spans="30:30" x14ac:dyDescent="0.25">
      <c r="AD32563"/>
    </row>
    <row r="32564" spans="30:30" x14ac:dyDescent="0.25">
      <c r="AD32564"/>
    </row>
    <row r="32565" spans="30:30" x14ac:dyDescent="0.25">
      <c r="AD32565"/>
    </row>
    <row r="32566" spans="30:30" x14ac:dyDescent="0.25">
      <c r="AD32566"/>
    </row>
    <row r="32567" spans="30:30" x14ac:dyDescent="0.25">
      <c r="AD32567"/>
    </row>
    <row r="32568" spans="30:30" x14ac:dyDescent="0.25">
      <c r="AD32568"/>
    </row>
    <row r="32569" spans="30:30" x14ac:dyDescent="0.25">
      <c r="AD32569"/>
    </row>
    <row r="32570" spans="30:30" x14ac:dyDescent="0.25">
      <c r="AD32570"/>
    </row>
    <row r="32571" spans="30:30" x14ac:dyDescent="0.25">
      <c r="AD32571"/>
    </row>
    <row r="32572" spans="30:30" x14ac:dyDescent="0.25">
      <c r="AD32572"/>
    </row>
    <row r="32573" spans="30:30" x14ac:dyDescent="0.25">
      <c r="AD32573"/>
    </row>
    <row r="32574" spans="30:30" x14ac:dyDescent="0.25">
      <c r="AD32574"/>
    </row>
    <row r="32575" spans="30:30" x14ac:dyDescent="0.25">
      <c r="AD32575"/>
    </row>
    <row r="32576" spans="30:30" x14ac:dyDescent="0.25">
      <c r="AD32576"/>
    </row>
    <row r="32577" spans="30:30" x14ac:dyDescent="0.25">
      <c r="AD32577"/>
    </row>
    <row r="32578" spans="30:30" x14ac:dyDescent="0.25">
      <c r="AD32578"/>
    </row>
    <row r="32579" spans="30:30" x14ac:dyDescent="0.25">
      <c r="AD32579"/>
    </row>
    <row r="32580" spans="30:30" x14ac:dyDescent="0.25">
      <c r="AD32580"/>
    </row>
    <row r="32581" spans="30:30" x14ac:dyDescent="0.25">
      <c r="AD32581"/>
    </row>
    <row r="32582" spans="30:30" x14ac:dyDescent="0.25">
      <c r="AD32582"/>
    </row>
    <row r="32583" spans="30:30" x14ac:dyDescent="0.25">
      <c r="AD32583"/>
    </row>
    <row r="32584" spans="30:30" x14ac:dyDescent="0.25">
      <c r="AD32584"/>
    </row>
    <row r="32585" spans="30:30" x14ac:dyDescent="0.25">
      <c r="AD32585"/>
    </row>
    <row r="32586" spans="30:30" x14ac:dyDescent="0.25">
      <c r="AD32586"/>
    </row>
    <row r="32587" spans="30:30" x14ac:dyDescent="0.25">
      <c r="AD32587"/>
    </row>
    <row r="32588" spans="30:30" x14ac:dyDescent="0.25">
      <c r="AD32588"/>
    </row>
    <row r="32589" spans="30:30" x14ac:dyDescent="0.25">
      <c r="AD32589"/>
    </row>
    <row r="32590" spans="30:30" x14ac:dyDescent="0.25">
      <c r="AD32590"/>
    </row>
    <row r="32591" spans="30:30" x14ac:dyDescent="0.25">
      <c r="AD32591"/>
    </row>
    <row r="32592" spans="30:30" x14ac:dyDescent="0.25">
      <c r="AD32592"/>
    </row>
    <row r="32593" spans="30:30" x14ac:dyDescent="0.25">
      <c r="AD32593"/>
    </row>
    <row r="32594" spans="30:30" x14ac:dyDescent="0.25">
      <c r="AD32594"/>
    </row>
    <row r="32595" spans="30:30" x14ac:dyDescent="0.25">
      <c r="AD32595"/>
    </row>
    <row r="32596" spans="30:30" x14ac:dyDescent="0.25">
      <c r="AD32596"/>
    </row>
    <row r="32597" spans="30:30" x14ac:dyDescent="0.25">
      <c r="AD32597"/>
    </row>
    <row r="32598" spans="30:30" x14ac:dyDescent="0.25">
      <c r="AD32598"/>
    </row>
    <row r="32599" spans="30:30" x14ac:dyDescent="0.25">
      <c r="AD32599"/>
    </row>
    <row r="32600" spans="30:30" x14ac:dyDescent="0.25">
      <c r="AD32600"/>
    </row>
    <row r="32601" spans="30:30" x14ac:dyDescent="0.25">
      <c r="AD32601"/>
    </row>
    <row r="32602" spans="30:30" x14ac:dyDescent="0.25">
      <c r="AD32602"/>
    </row>
    <row r="32603" spans="30:30" x14ac:dyDescent="0.25">
      <c r="AD32603"/>
    </row>
    <row r="32604" spans="30:30" x14ac:dyDescent="0.25">
      <c r="AD32604"/>
    </row>
    <row r="32605" spans="30:30" x14ac:dyDescent="0.25">
      <c r="AD32605"/>
    </row>
    <row r="32606" spans="30:30" x14ac:dyDescent="0.25">
      <c r="AD32606"/>
    </row>
    <row r="32607" spans="30:30" x14ac:dyDescent="0.25">
      <c r="AD32607"/>
    </row>
    <row r="32608" spans="30:30" x14ac:dyDescent="0.25">
      <c r="AD32608"/>
    </row>
    <row r="32609" spans="30:30" x14ac:dyDescent="0.25">
      <c r="AD32609"/>
    </row>
    <row r="32610" spans="30:30" x14ac:dyDescent="0.25">
      <c r="AD32610"/>
    </row>
    <row r="32611" spans="30:30" x14ac:dyDescent="0.25">
      <c r="AD32611"/>
    </row>
    <row r="32612" spans="30:30" x14ac:dyDescent="0.25">
      <c r="AD32612"/>
    </row>
    <row r="32613" spans="30:30" x14ac:dyDescent="0.25">
      <c r="AD32613"/>
    </row>
    <row r="32614" spans="30:30" x14ac:dyDescent="0.25">
      <c r="AD32614"/>
    </row>
    <row r="32615" spans="30:30" x14ac:dyDescent="0.25">
      <c r="AD32615"/>
    </row>
    <row r="32616" spans="30:30" x14ac:dyDescent="0.25">
      <c r="AD32616"/>
    </row>
    <row r="32617" spans="30:30" x14ac:dyDescent="0.25">
      <c r="AD32617"/>
    </row>
    <row r="32618" spans="30:30" x14ac:dyDescent="0.25">
      <c r="AD32618"/>
    </row>
    <row r="32619" spans="30:30" x14ac:dyDescent="0.25">
      <c r="AD32619"/>
    </row>
    <row r="32620" spans="30:30" x14ac:dyDescent="0.25">
      <c r="AD32620"/>
    </row>
    <row r="32621" spans="30:30" x14ac:dyDescent="0.25">
      <c r="AD32621"/>
    </row>
    <row r="32622" spans="30:30" x14ac:dyDescent="0.25">
      <c r="AD32622"/>
    </row>
    <row r="32623" spans="30:30" x14ac:dyDescent="0.25">
      <c r="AD32623"/>
    </row>
    <row r="32624" spans="30:30" x14ac:dyDescent="0.25">
      <c r="AD32624"/>
    </row>
    <row r="32625" spans="30:30" x14ac:dyDescent="0.25">
      <c r="AD32625"/>
    </row>
    <row r="32626" spans="30:30" x14ac:dyDescent="0.25">
      <c r="AD32626"/>
    </row>
    <row r="32627" spans="30:30" x14ac:dyDescent="0.25">
      <c r="AD32627"/>
    </row>
    <row r="32628" spans="30:30" x14ac:dyDescent="0.25">
      <c r="AD32628"/>
    </row>
    <row r="32629" spans="30:30" x14ac:dyDescent="0.25">
      <c r="AD32629"/>
    </row>
    <row r="32630" spans="30:30" x14ac:dyDescent="0.25">
      <c r="AD32630"/>
    </row>
    <row r="32631" spans="30:30" x14ac:dyDescent="0.25">
      <c r="AD32631"/>
    </row>
    <row r="32632" spans="30:30" x14ac:dyDescent="0.25">
      <c r="AD32632"/>
    </row>
    <row r="32633" spans="30:30" x14ac:dyDescent="0.25">
      <c r="AD32633"/>
    </row>
    <row r="32634" spans="30:30" x14ac:dyDescent="0.25">
      <c r="AD32634"/>
    </row>
    <row r="32635" spans="30:30" x14ac:dyDescent="0.25">
      <c r="AD32635"/>
    </row>
    <row r="32636" spans="30:30" x14ac:dyDescent="0.25">
      <c r="AD32636"/>
    </row>
    <row r="32637" spans="30:30" x14ac:dyDescent="0.25">
      <c r="AD32637"/>
    </row>
    <row r="32638" spans="30:30" x14ac:dyDescent="0.25">
      <c r="AD32638"/>
    </row>
    <row r="32639" spans="30:30" x14ac:dyDescent="0.25">
      <c r="AD32639"/>
    </row>
    <row r="32640" spans="30:30" x14ac:dyDescent="0.25">
      <c r="AD32640"/>
    </row>
    <row r="32641" spans="30:30" x14ac:dyDescent="0.25">
      <c r="AD32641"/>
    </row>
    <row r="32642" spans="30:30" x14ac:dyDescent="0.25">
      <c r="AD32642"/>
    </row>
    <row r="32643" spans="30:30" x14ac:dyDescent="0.25">
      <c r="AD32643"/>
    </row>
    <row r="32644" spans="30:30" x14ac:dyDescent="0.25">
      <c r="AD32644"/>
    </row>
    <row r="32645" spans="30:30" x14ac:dyDescent="0.25">
      <c r="AD32645"/>
    </row>
    <row r="32646" spans="30:30" x14ac:dyDescent="0.25">
      <c r="AD32646"/>
    </row>
    <row r="32647" spans="30:30" x14ac:dyDescent="0.25">
      <c r="AD32647"/>
    </row>
    <row r="32648" spans="30:30" x14ac:dyDescent="0.25">
      <c r="AD32648"/>
    </row>
    <row r="32649" spans="30:30" x14ac:dyDescent="0.25">
      <c r="AD32649"/>
    </row>
    <row r="32650" spans="30:30" x14ac:dyDescent="0.25">
      <c r="AD32650"/>
    </row>
    <row r="32651" spans="30:30" x14ac:dyDescent="0.25">
      <c r="AD32651"/>
    </row>
    <row r="32652" spans="30:30" x14ac:dyDescent="0.25">
      <c r="AD32652"/>
    </row>
    <row r="32653" spans="30:30" x14ac:dyDescent="0.25">
      <c r="AD32653"/>
    </row>
    <row r="32654" spans="30:30" x14ac:dyDescent="0.25">
      <c r="AD32654"/>
    </row>
    <row r="32655" spans="30:30" x14ac:dyDescent="0.25">
      <c r="AD32655"/>
    </row>
    <row r="32656" spans="30:30" x14ac:dyDescent="0.25">
      <c r="AD32656"/>
    </row>
    <row r="32657" spans="30:30" x14ac:dyDescent="0.25">
      <c r="AD32657"/>
    </row>
    <row r="32658" spans="30:30" x14ac:dyDescent="0.25">
      <c r="AD32658"/>
    </row>
    <row r="32659" spans="30:30" x14ac:dyDescent="0.25">
      <c r="AD32659"/>
    </row>
    <row r="32660" spans="30:30" x14ac:dyDescent="0.25">
      <c r="AD32660"/>
    </row>
    <row r="32661" spans="30:30" x14ac:dyDescent="0.25">
      <c r="AD32661"/>
    </row>
    <row r="32662" spans="30:30" x14ac:dyDescent="0.25">
      <c r="AD32662"/>
    </row>
    <row r="32663" spans="30:30" x14ac:dyDescent="0.25">
      <c r="AD32663"/>
    </row>
    <row r="32664" spans="30:30" x14ac:dyDescent="0.25">
      <c r="AD32664"/>
    </row>
    <row r="32665" spans="30:30" x14ac:dyDescent="0.25">
      <c r="AD32665"/>
    </row>
    <row r="32666" spans="30:30" x14ac:dyDescent="0.25">
      <c r="AD32666"/>
    </row>
    <row r="32667" spans="30:30" x14ac:dyDescent="0.25">
      <c r="AD32667"/>
    </row>
    <row r="32668" spans="30:30" x14ac:dyDescent="0.25">
      <c r="AD32668"/>
    </row>
    <row r="32669" spans="30:30" x14ac:dyDescent="0.25">
      <c r="AD32669"/>
    </row>
    <row r="32670" spans="30:30" x14ac:dyDescent="0.25">
      <c r="AD32670"/>
    </row>
    <row r="32671" spans="30:30" x14ac:dyDescent="0.25">
      <c r="AD32671"/>
    </row>
    <row r="32672" spans="30:30" x14ac:dyDescent="0.25">
      <c r="AD32672"/>
    </row>
    <row r="32673" spans="30:30" x14ac:dyDescent="0.25">
      <c r="AD32673"/>
    </row>
    <row r="32674" spans="30:30" x14ac:dyDescent="0.25">
      <c r="AD32674"/>
    </row>
    <row r="32675" spans="30:30" x14ac:dyDescent="0.25">
      <c r="AD32675"/>
    </row>
    <row r="32676" spans="30:30" x14ac:dyDescent="0.25">
      <c r="AD32676"/>
    </row>
    <row r="32677" spans="30:30" x14ac:dyDescent="0.25">
      <c r="AD32677"/>
    </row>
    <row r="32678" spans="30:30" x14ac:dyDescent="0.25">
      <c r="AD32678"/>
    </row>
    <row r="32679" spans="30:30" x14ac:dyDescent="0.25">
      <c r="AD32679"/>
    </row>
    <row r="32680" spans="30:30" x14ac:dyDescent="0.25">
      <c r="AD32680"/>
    </row>
    <row r="32681" spans="30:30" x14ac:dyDescent="0.25">
      <c r="AD32681"/>
    </row>
    <row r="32682" spans="30:30" x14ac:dyDescent="0.25">
      <c r="AD32682"/>
    </row>
    <row r="32683" spans="30:30" x14ac:dyDescent="0.25">
      <c r="AD32683"/>
    </row>
    <row r="32684" spans="30:30" x14ac:dyDescent="0.25">
      <c r="AD32684"/>
    </row>
    <row r="32685" spans="30:30" x14ac:dyDescent="0.25">
      <c r="AD32685"/>
    </row>
    <row r="32686" spans="30:30" x14ac:dyDescent="0.25">
      <c r="AD32686"/>
    </row>
    <row r="32687" spans="30:30" x14ac:dyDescent="0.25">
      <c r="AD32687"/>
    </row>
    <row r="32688" spans="30:30" x14ac:dyDescent="0.25">
      <c r="AD32688"/>
    </row>
    <row r="32689" spans="30:30" x14ac:dyDescent="0.25">
      <c r="AD32689"/>
    </row>
    <row r="32690" spans="30:30" x14ac:dyDescent="0.25">
      <c r="AD32690"/>
    </row>
    <row r="32691" spans="30:30" x14ac:dyDescent="0.25">
      <c r="AD32691"/>
    </row>
    <row r="32692" spans="30:30" x14ac:dyDescent="0.25">
      <c r="AD32692"/>
    </row>
    <row r="32693" spans="30:30" x14ac:dyDescent="0.25">
      <c r="AD32693"/>
    </row>
    <row r="32694" spans="30:30" x14ac:dyDescent="0.25">
      <c r="AD32694"/>
    </row>
    <row r="32695" spans="30:30" x14ac:dyDescent="0.25">
      <c r="AD32695"/>
    </row>
    <row r="32696" spans="30:30" x14ac:dyDescent="0.25">
      <c r="AD32696"/>
    </row>
    <row r="32697" spans="30:30" x14ac:dyDescent="0.25">
      <c r="AD32697"/>
    </row>
    <row r="32698" spans="30:30" x14ac:dyDescent="0.25">
      <c r="AD32698"/>
    </row>
    <row r="32699" spans="30:30" x14ac:dyDescent="0.25">
      <c r="AD32699"/>
    </row>
    <row r="32700" spans="30:30" x14ac:dyDescent="0.25">
      <c r="AD32700"/>
    </row>
    <row r="32701" spans="30:30" x14ac:dyDescent="0.25">
      <c r="AD32701"/>
    </row>
    <row r="32702" spans="30:30" x14ac:dyDescent="0.25">
      <c r="AD32702"/>
    </row>
    <row r="32703" spans="30:30" x14ac:dyDescent="0.25">
      <c r="AD32703"/>
    </row>
    <row r="32704" spans="30:30" x14ac:dyDescent="0.25">
      <c r="AD32704"/>
    </row>
    <row r="32705" spans="30:30" x14ac:dyDescent="0.25">
      <c r="AD32705"/>
    </row>
    <row r="32706" spans="30:30" x14ac:dyDescent="0.25">
      <c r="AD32706"/>
    </row>
    <row r="32707" spans="30:30" x14ac:dyDescent="0.25">
      <c r="AD32707"/>
    </row>
    <row r="32708" spans="30:30" x14ac:dyDescent="0.25">
      <c r="AD32708"/>
    </row>
    <row r="32709" spans="30:30" x14ac:dyDescent="0.25">
      <c r="AD32709"/>
    </row>
    <row r="32710" spans="30:30" x14ac:dyDescent="0.25">
      <c r="AD32710"/>
    </row>
    <row r="32711" spans="30:30" x14ac:dyDescent="0.25">
      <c r="AD32711"/>
    </row>
    <row r="32712" spans="30:30" x14ac:dyDescent="0.25">
      <c r="AD32712"/>
    </row>
    <row r="32713" spans="30:30" x14ac:dyDescent="0.25">
      <c r="AD32713"/>
    </row>
    <row r="32714" spans="30:30" x14ac:dyDescent="0.25">
      <c r="AD32714"/>
    </row>
    <row r="32715" spans="30:30" x14ac:dyDescent="0.25">
      <c r="AD32715"/>
    </row>
    <row r="32716" spans="30:30" x14ac:dyDescent="0.25">
      <c r="AD32716"/>
    </row>
    <row r="32717" spans="30:30" x14ac:dyDescent="0.25">
      <c r="AD32717"/>
    </row>
    <row r="32718" spans="30:30" x14ac:dyDescent="0.25">
      <c r="AD32718"/>
    </row>
    <row r="32719" spans="30:30" x14ac:dyDescent="0.25">
      <c r="AD32719"/>
    </row>
    <row r="32720" spans="30:30" x14ac:dyDescent="0.25">
      <c r="AD32720"/>
    </row>
    <row r="32721" spans="30:30" x14ac:dyDescent="0.25">
      <c r="AD32721"/>
    </row>
    <row r="32722" spans="30:30" x14ac:dyDescent="0.25">
      <c r="AD32722"/>
    </row>
    <row r="32723" spans="30:30" x14ac:dyDescent="0.25">
      <c r="AD32723"/>
    </row>
    <row r="32724" spans="30:30" x14ac:dyDescent="0.25">
      <c r="AD32724"/>
    </row>
    <row r="32725" spans="30:30" x14ac:dyDescent="0.25">
      <c r="AD32725"/>
    </row>
    <row r="32726" spans="30:30" x14ac:dyDescent="0.25">
      <c r="AD32726"/>
    </row>
    <row r="32727" spans="30:30" x14ac:dyDescent="0.25">
      <c r="AD32727"/>
    </row>
    <row r="32728" spans="30:30" x14ac:dyDescent="0.25">
      <c r="AD32728"/>
    </row>
    <row r="32729" spans="30:30" x14ac:dyDescent="0.25">
      <c r="AD32729"/>
    </row>
    <row r="32730" spans="30:30" x14ac:dyDescent="0.25">
      <c r="AD32730"/>
    </row>
    <row r="32731" spans="30:30" x14ac:dyDescent="0.25">
      <c r="AD32731"/>
    </row>
    <row r="32732" spans="30:30" x14ac:dyDescent="0.25">
      <c r="AD32732"/>
    </row>
    <row r="32733" spans="30:30" x14ac:dyDescent="0.25">
      <c r="AD32733"/>
    </row>
    <row r="32734" spans="30:30" x14ac:dyDescent="0.25">
      <c r="AD32734"/>
    </row>
    <row r="32735" spans="30:30" x14ac:dyDescent="0.25">
      <c r="AD32735"/>
    </row>
    <row r="32736" spans="30:30" x14ac:dyDescent="0.25">
      <c r="AD32736"/>
    </row>
    <row r="32737" spans="30:30" x14ac:dyDescent="0.25">
      <c r="AD32737"/>
    </row>
    <row r="32738" spans="30:30" x14ac:dyDescent="0.25">
      <c r="AD32738"/>
    </row>
    <row r="32739" spans="30:30" x14ac:dyDescent="0.25">
      <c r="AD32739"/>
    </row>
    <row r="32740" spans="30:30" x14ac:dyDescent="0.25">
      <c r="AD32740"/>
    </row>
    <row r="32741" spans="30:30" x14ac:dyDescent="0.25">
      <c r="AD32741"/>
    </row>
    <row r="32742" spans="30:30" x14ac:dyDescent="0.25">
      <c r="AD32742"/>
    </row>
    <row r="32743" spans="30:30" x14ac:dyDescent="0.25">
      <c r="AD32743"/>
    </row>
    <row r="32744" spans="30:30" x14ac:dyDescent="0.25">
      <c r="AD32744"/>
    </row>
    <row r="32745" spans="30:30" x14ac:dyDescent="0.25">
      <c r="AD32745"/>
    </row>
    <row r="32746" spans="30:30" x14ac:dyDescent="0.25">
      <c r="AD32746"/>
    </row>
    <row r="32747" spans="30:30" x14ac:dyDescent="0.25">
      <c r="AD32747"/>
    </row>
    <row r="32748" spans="30:30" x14ac:dyDescent="0.25">
      <c r="AD32748"/>
    </row>
    <row r="32749" spans="30:30" x14ac:dyDescent="0.25">
      <c r="AD32749"/>
    </row>
    <row r="32750" spans="30:30" x14ac:dyDescent="0.25">
      <c r="AD32750"/>
    </row>
    <row r="32751" spans="30:30" x14ac:dyDescent="0.25">
      <c r="AD32751"/>
    </row>
    <row r="32752" spans="30:30" x14ac:dyDescent="0.25">
      <c r="AD32752"/>
    </row>
    <row r="32753" spans="30:30" x14ac:dyDescent="0.25">
      <c r="AD32753"/>
    </row>
    <row r="32754" spans="30:30" x14ac:dyDescent="0.25">
      <c r="AD32754"/>
    </row>
    <row r="32755" spans="30:30" x14ac:dyDescent="0.25">
      <c r="AD32755"/>
    </row>
    <row r="32756" spans="30:30" x14ac:dyDescent="0.25">
      <c r="AD32756"/>
    </row>
    <row r="32757" spans="30:30" x14ac:dyDescent="0.25">
      <c r="AD32757"/>
    </row>
    <row r="32758" spans="30:30" x14ac:dyDescent="0.25">
      <c r="AD32758"/>
    </row>
    <row r="32759" spans="30:30" x14ac:dyDescent="0.25">
      <c r="AD32759"/>
    </row>
    <row r="32760" spans="30:30" x14ac:dyDescent="0.25">
      <c r="AD32760"/>
    </row>
    <row r="32761" spans="30:30" x14ac:dyDescent="0.25">
      <c r="AD32761"/>
    </row>
    <row r="32762" spans="30:30" x14ac:dyDescent="0.25">
      <c r="AD32762"/>
    </row>
    <row r="32763" spans="30:30" x14ac:dyDescent="0.25">
      <c r="AD32763"/>
    </row>
    <row r="32764" spans="30:30" x14ac:dyDescent="0.25">
      <c r="AD32764"/>
    </row>
    <row r="32765" spans="30:30" x14ac:dyDescent="0.25">
      <c r="AD32765"/>
    </row>
    <row r="32766" spans="30:30" x14ac:dyDescent="0.25">
      <c r="AD32766"/>
    </row>
    <row r="32767" spans="30:30" x14ac:dyDescent="0.25">
      <c r="AD32767"/>
    </row>
    <row r="32768" spans="30:30" x14ac:dyDescent="0.25">
      <c r="AD32768"/>
    </row>
    <row r="32769" spans="30:30" x14ac:dyDescent="0.25">
      <c r="AD32769"/>
    </row>
    <row r="32770" spans="30:30" x14ac:dyDescent="0.25">
      <c r="AD32770"/>
    </row>
    <row r="32771" spans="30:30" x14ac:dyDescent="0.25">
      <c r="AD32771"/>
    </row>
    <row r="32772" spans="30:30" x14ac:dyDescent="0.25">
      <c r="AD32772"/>
    </row>
    <row r="32773" spans="30:30" x14ac:dyDescent="0.25">
      <c r="AD32773"/>
    </row>
    <row r="32774" spans="30:30" x14ac:dyDescent="0.25">
      <c r="AD32774"/>
    </row>
    <row r="32775" spans="30:30" x14ac:dyDescent="0.25">
      <c r="AD32775"/>
    </row>
    <row r="32776" spans="30:30" x14ac:dyDescent="0.25">
      <c r="AD32776"/>
    </row>
    <row r="32777" spans="30:30" x14ac:dyDescent="0.25">
      <c r="AD32777"/>
    </row>
    <row r="32778" spans="30:30" x14ac:dyDescent="0.25">
      <c r="AD32778"/>
    </row>
    <row r="32779" spans="30:30" x14ac:dyDescent="0.25">
      <c r="AD32779"/>
    </row>
    <row r="32780" spans="30:30" x14ac:dyDescent="0.25">
      <c r="AD32780"/>
    </row>
    <row r="32781" spans="30:30" x14ac:dyDescent="0.25">
      <c r="AD32781"/>
    </row>
    <row r="32782" spans="30:30" x14ac:dyDescent="0.25">
      <c r="AD32782"/>
    </row>
    <row r="32783" spans="30:30" x14ac:dyDescent="0.25">
      <c r="AD32783"/>
    </row>
    <row r="32784" spans="30:30" x14ac:dyDescent="0.25">
      <c r="AD32784"/>
    </row>
    <row r="32785" spans="30:30" x14ac:dyDescent="0.25">
      <c r="AD32785"/>
    </row>
    <row r="32786" spans="30:30" x14ac:dyDescent="0.25">
      <c r="AD32786"/>
    </row>
    <row r="32787" spans="30:30" x14ac:dyDescent="0.25">
      <c r="AD32787"/>
    </row>
    <row r="32788" spans="30:30" x14ac:dyDescent="0.25">
      <c r="AD32788"/>
    </row>
    <row r="32789" spans="30:30" x14ac:dyDescent="0.25">
      <c r="AD32789"/>
    </row>
    <row r="32790" spans="30:30" x14ac:dyDescent="0.25">
      <c r="AD32790"/>
    </row>
    <row r="32791" spans="30:30" x14ac:dyDescent="0.25">
      <c r="AD32791"/>
    </row>
    <row r="32792" spans="30:30" x14ac:dyDescent="0.25">
      <c r="AD32792"/>
    </row>
    <row r="32793" spans="30:30" x14ac:dyDescent="0.25">
      <c r="AD32793"/>
    </row>
    <row r="32794" spans="30:30" x14ac:dyDescent="0.25">
      <c r="AD32794"/>
    </row>
    <row r="32795" spans="30:30" x14ac:dyDescent="0.25">
      <c r="AD32795"/>
    </row>
    <row r="32796" spans="30:30" x14ac:dyDescent="0.25">
      <c r="AD32796"/>
    </row>
    <row r="32797" spans="30:30" x14ac:dyDescent="0.25">
      <c r="AD32797"/>
    </row>
    <row r="32798" spans="30:30" x14ac:dyDescent="0.25">
      <c r="AD32798"/>
    </row>
    <row r="32799" spans="30:30" x14ac:dyDescent="0.25">
      <c r="AD32799"/>
    </row>
    <row r="32800" spans="30:30" x14ac:dyDescent="0.25">
      <c r="AD32800"/>
    </row>
    <row r="32801" spans="30:30" x14ac:dyDescent="0.25">
      <c r="AD32801"/>
    </row>
    <row r="32802" spans="30:30" x14ac:dyDescent="0.25">
      <c r="AD32802"/>
    </row>
    <row r="32803" spans="30:30" x14ac:dyDescent="0.25">
      <c r="AD32803"/>
    </row>
    <row r="32804" spans="30:30" x14ac:dyDescent="0.25">
      <c r="AD32804"/>
    </row>
    <row r="32805" spans="30:30" x14ac:dyDescent="0.25">
      <c r="AD32805"/>
    </row>
    <row r="32806" spans="30:30" x14ac:dyDescent="0.25">
      <c r="AD32806"/>
    </row>
    <row r="32807" spans="30:30" x14ac:dyDescent="0.25">
      <c r="AD32807"/>
    </row>
    <row r="32808" spans="30:30" x14ac:dyDescent="0.25">
      <c r="AD32808"/>
    </row>
    <row r="32809" spans="30:30" x14ac:dyDescent="0.25">
      <c r="AD32809"/>
    </row>
    <row r="32810" spans="30:30" x14ac:dyDescent="0.25">
      <c r="AD32810"/>
    </row>
    <row r="32811" spans="30:30" x14ac:dyDescent="0.25">
      <c r="AD32811"/>
    </row>
    <row r="32812" spans="30:30" x14ac:dyDescent="0.25">
      <c r="AD32812"/>
    </row>
    <row r="32813" spans="30:30" x14ac:dyDescent="0.25">
      <c r="AD32813"/>
    </row>
    <row r="32814" spans="30:30" x14ac:dyDescent="0.25">
      <c r="AD32814"/>
    </row>
    <row r="32815" spans="30:30" x14ac:dyDescent="0.25">
      <c r="AD32815"/>
    </row>
    <row r="32816" spans="30:30" x14ac:dyDescent="0.25">
      <c r="AD32816"/>
    </row>
    <row r="32817" spans="30:30" x14ac:dyDescent="0.25">
      <c r="AD32817"/>
    </row>
    <row r="32818" spans="30:30" x14ac:dyDescent="0.25">
      <c r="AD32818"/>
    </row>
    <row r="32819" spans="30:30" x14ac:dyDescent="0.25">
      <c r="AD32819"/>
    </row>
    <row r="32820" spans="30:30" x14ac:dyDescent="0.25">
      <c r="AD32820"/>
    </row>
    <row r="32821" spans="30:30" x14ac:dyDescent="0.25">
      <c r="AD32821"/>
    </row>
    <row r="32822" spans="30:30" x14ac:dyDescent="0.25">
      <c r="AD32822"/>
    </row>
    <row r="32823" spans="30:30" x14ac:dyDescent="0.25">
      <c r="AD32823"/>
    </row>
    <row r="32824" spans="30:30" x14ac:dyDescent="0.25">
      <c r="AD32824"/>
    </row>
    <row r="32825" spans="30:30" x14ac:dyDescent="0.25">
      <c r="AD32825"/>
    </row>
    <row r="32826" spans="30:30" x14ac:dyDescent="0.25">
      <c r="AD32826"/>
    </row>
    <row r="32827" spans="30:30" x14ac:dyDescent="0.25">
      <c r="AD32827"/>
    </row>
    <row r="32828" spans="30:30" x14ac:dyDescent="0.25">
      <c r="AD32828"/>
    </row>
    <row r="32829" spans="30:30" x14ac:dyDescent="0.25">
      <c r="AD32829"/>
    </row>
    <row r="32830" spans="30:30" x14ac:dyDescent="0.25">
      <c r="AD32830"/>
    </row>
    <row r="32831" spans="30:30" x14ac:dyDescent="0.25">
      <c r="AD32831"/>
    </row>
    <row r="32832" spans="30:30" x14ac:dyDescent="0.25">
      <c r="AD32832"/>
    </row>
    <row r="32833" spans="30:30" x14ac:dyDescent="0.25">
      <c r="AD32833"/>
    </row>
    <row r="32834" spans="30:30" x14ac:dyDescent="0.25">
      <c r="AD32834"/>
    </row>
    <row r="32835" spans="30:30" x14ac:dyDescent="0.25">
      <c r="AD32835"/>
    </row>
    <row r="32836" spans="30:30" x14ac:dyDescent="0.25">
      <c r="AD32836"/>
    </row>
    <row r="32837" spans="30:30" x14ac:dyDescent="0.25">
      <c r="AD32837"/>
    </row>
    <row r="32838" spans="30:30" x14ac:dyDescent="0.25">
      <c r="AD32838"/>
    </row>
    <row r="32839" spans="30:30" x14ac:dyDescent="0.25">
      <c r="AD32839"/>
    </row>
    <row r="32840" spans="30:30" x14ac:dyDescent="0.25">
      <c r="AD32840"/>
    </row>
    <row r="32841" spans="30:30" x14ac:dyDescent="0.25">
      <c r="AD32841"/>
    </row>
    <row r="32842" spans="30:30" x14ac:dyDescent="0.25">
      <c r="AD32842"/>
    </row>
    <row r="32843" spans="30:30" x14ac:dyDescent="0.25">
      <c r="AD32843"/>
    </row>
    <row r="32844" spans="30:30" x14ac:dyDescent="0.25">
      <c r="AD32844"/>
    </row>
    <row r="32845" spans="30:30" x14ac:dyDescent="0.25">
      <c r="AD32845"/>
    </row>
    <row r="32846" spans="30:30" x14ac:dyDescent="0.25">
      <c r="AD32846"/>
    </row>
    <row r="32847" spans="30:30" x14ac:dyDescent="0.25">
      <c r="AD32847"/>
    </row>
    <row r="32848" spans="30:30" x14ac:dyDescent="0.25">
      <c r="AD32848"/>
    </row>
    <row r="32849" spans="30:30" x14ac:dyDescent="0.25">
      <c r="AD32849"/>
    </row>
    <row r="32850" spans="30:30" x14ac:dyDescent="0.25">
      <c r="AD32850"/>
    </row>
    <row r="32851" spans="30:30" x14ac:dyDescent="0.25">
      <c r="AD32851"/>
    </row>
    <row r="32852" spans="30:30" x14ac:dyDescent="0.25">
      <c r="AD32852"/>
    </row>
    <row r="32853" spans="30:30" x14ac:dyDescent="0.25">
      <c r="AD32853"/>
    </row>
    <row r="32854" spans="30:30" x14ac:dyDescent="0.25">
      <c r="AD32854"/>
    </row>
    <row r="32855" spans="30:30" x14ac:dyDescent="0.25">
      <c r="AD32855"/>
    </row>
    <row r="32856" spans="30:30" x14ac:dyDescent="0.25">
      <c r="AD32856"/>
    </row>
    <row r="32857" spans="30:30" x14ac:dyDescent="0.25">
      <c r="AD32857"/>
    </row>
    <row r="32858" spans="30:30" x14ac:dyDescent="0.25">
      <c r="AD32858"/>
    </row>
    <row r="32859" spans="30:30" x14ac:dyDescent="0.25">
      <c r="AD32859"/>
    </row>
    <row r="32860" spans="30:30" x14ac:dyDescent="0.25">
      <c r="AD32860"/>
    </row>
    <row r="32861" spans="30:30" x14ac:dyDescent="0.25">
      <c r="AD32861"/>
    </row>
    <row r="32862" spans="30:30" x14ac:dyDescent="0.25">
      <c r="AD32862"/>
    </row>
    <row r="32863" spans="30:30" x14ac:dyDescent="0.25">
      <c r="AD32863"/>
    </row>
    <row r="32864" spans="30:30" x14ac:dyDescent="0.25">
      <c r="AD32864"/>
    </row>
    <row r="32865" spans="30:30" x14ac:dyDescent="0.25">
      <c r="AD32865"/>
    </row>
    <row r="32866" spans="30:30" x14ac:dyDescent="0.25">
      <c r="AD32866"/>
    </row>
    <row r="32867" spans="30:30" x14ac:dyDescent="0.25">
      <c r="AD32867"/>
    </row>
    <row r="32868" spans="30:30" x14ac:dyDescent="0.25">
      <c r="AD32868"/>
    </row>
    <row r="32869" spans="30:30" x14ac:dyDescent="0.25">
      <c r="AD32869"/>
    </row>
    <row r="32870" spans="30:30" x14ac:dyDescent="0.25">
      <c r="AD32870"/>
    </row>
    <row r="32871" spans="30:30" x14ac:dyDescent="0.25">
      <c r="AD32871"/>
    </row>
    <row r="32872" spans="30:30" x14ac:dyDescent="0.25">
      <c r="AD32872"/>
    </row>
    <row r="32873" spans="30:30" x14ac:dyDescent="0.25">
      <c r="AD32873"/>
    </row>
    <row r="32874" spans="30:30" x14ac:dyDescent="0.25">
      <c r="AD32874"/>
    </row>
    <row r="32875" spans="30:30" x14ac:dyDescent="0.25">
      <c r="AD32875"/>
    </row>
    <row r="32876" spans="30:30" x14ac:dyDescent="0.25">
      <c r="AD32876"/>
    </row>
    <row r="32877" spans="30:30" x14ac:dyDescent="0.25">
      <c r="AD32877"/>
    </row>
    <row r="32878" spans="30:30" x14ac:dyDescent="0.25">
      <c r="AD32878"/>
    </row>
    <row r="32879" spans="30:30" x14ac:dyDescent="0.25">
      <c r="AD32879"/>
    </row>
    <row r="32880" spans="30:30" x14ac:dyDescent="0.25">
      <c r="AD32880"/>
    </row>
    <row r="32881" spans="30:30" x14ac:dyDescent="0.25">
      <c r="AD32881"/>
    </row>
    <row r="32882" spans="30:30" x14ac:dyDescent="0.25">
      <c r="AD32882"/>
    </row>
    <row r="32883" spans="30:30" x14ac:dyDescent="0.25">
      <c r="AD32883"/>
    </row>
    <row r="32884" spans="30:30" x14ac:dyDescent="0.25">
      <c r="AD32884"/>
    </row>
    <row r="32885" spans="30:30" x14ac:dyDescent="0.25">
      <c r="AD32885"/>
    </row>
    <row r="32886" spans="30:30" x14ac:dyDescent="0.25">
      <c r="AD32886"/>
    </row>
    <row r="32887" spans="30:30" x14ac:dyDescent="0.25">
      <c r="AD32887"/>
    </row>
    <row r="32888" spans="30:30" x14ac:dyDescent="0.25">
      <c r="AD32888"/>
    </row>
    <row r="32889" spans="30:30" x14ac:dyDescent="0.25">
      <c r="AD32889"/>
    </row>
    <row r="32890" spans="30:30" x14ac:dyDescent="0.25">
      <c r="AD32890"/>
    </row>
    <row r="32891" spans="30:30" x14ac:dyDescent="0.25">
      <c r="AD32891"/>
    </row>
    <row r="32892" spans="30:30" x14ac:dyDescent="0.25">
      <c r="AD32892"/>
    </row>
    <row r="32893" spans="30:30" x14ac:dyDescent="0.25">
      <c r="AD32893"/>
    </row>
    <row r="32894" spans="30:30" x14ac:dyDescent="0.25">
      <c r="AD32894"/>
    </row>
    <row r="32895" spans="30:30" x14ac:dyDescent="0.25">
      <c r="AD32895"/>
    </row>
    <row r="32896" spans="30:30" x14ac:dyDescent="0.25">
      <c r="AD32896"/>
    </row>
    <row r="32897" spans="30:30" x14ac:dyDescent="0.25">
      <c r="AD32897"/>
    </row>
    <row r="32898" spans="30:30" x14ac:dyDescent="0.25">
      <c r="AD32898"/>
    </row>
    <row r="32899" spans="30:30" x14ac:dyDescent="0.25">
      <c r="AD32899"/>
    </row>
    <row r="32900" spans="30:30" x14ac:dyDescent="0.25">
      <c r="AD32900"/>
    </row>
    <row r="32901" spans="30:30" x14ac:dyDescent="0.25">
      <c r="AD32901"/>
    </row>
    <row r="32902" spans="30:30" x14ac:dyDescent="0.25">
      <c r="AD32902"/>
    </row>
    <row r="32903" spans="30:30" x14ac:dyDescent="0.25">
      <c r="AD32903"/>
    </row>
    <row r="32904" spans="30:30" x14ac:dyDescent="0.25">
      <c r="AD32904"/>
    </row>
    <row r="32905" spans="30:30" x14ac:dyDescent="0.25">
      <c r="AD32905"/>
    </row>
    <row r="32906" spans="30:30" x14ac:dyDescent="0.25">
      <c r="AD32906"/>
    </row>
    <row r="32907" spans="30:30" x14ac:dyDescent="0.25">
      <c r="AD32907"/>
    </row>
    <row r="32908" spans="30:30" x14ac:dyDescent="0.25">
      <c r="AD32908"/>
    </row>
    <row r="32909" spans="30:30" x14ac:dyDescent="0.25">
      <c r="AD32909"/>
    </row>
    <row r="32910" spans="30:30" x14ac:dyDescent="0.25">
      <c r="AD32910"/>
    </row>
    <row r="32911" spans="30:30" x14ac:dyDescent="0.25">
      <c r="AD32911"/>
    </row>
    <row r="32912" spans="30:30" x14ac:dyDescent="0.25">
      <c r="AD32912"/>
    </row>
    <row r="32913" spans="30:30" x14ac:dyDescent="0.25">
      <c r="AD32913"/>
    </row>
    <row r="32914" spans="30:30" x14ac:dyDescent="0.25">
      <c r="AD32914"/>
    </row>
    <row r="32915" spans="30:30" x14ac:dyDescent="0.25">
      <c r="AD32915"/>
    </row>
    <row r="32916" spans="30:30" x14ac:dyDescent="0.25">
      <c r="AD32916"/>
    </row>
    <row r="32917" spans="30:30" x14ac:dyDescent="0.25">
      <c r="AD32917"/>
    </row>
    <row r="32918" spans="30:30" x14ac:dyDescent="0.25">
      <c r="AD32918"/>
    </row>
    <row r="32919" spans="30:30" x14ac:dyDescent="0.25">
      <c r="AD32919"/>
    </row>
    <row r="32920" spans="30:30" x14ac:dyDescent="0.25">
      <c r="AD32920"/>
    </row>
    <row r="32921" spans="30:30" x14ac:dyDescent="0.25">
      <c r="AD32921"/>
    </row>
    <row r="32922" spans="30:30" x14ac:dyDescent="0.25">
      <c r="AD32922"/>
    </row>
    <row r="32923" spans="30:30" x14ac:dyDescent="0.25">
      <c r="AD32923"/>
    </row>
    <row r="32924" spans="30:30" x14ac:dyDescent="0.25">
      <c r="AD32924"/>
    </row>
    <row r="32925" spans="30:30" x14ac:dyDescent="0.25">
      <c r="AD32925"/>
    </row>
    <row r="32926" spans="30:30" x14ac:dyDescent="0.25">
      <c r="AD32926"/>
    </row>
    <row r="32927" spans="30:30" x14ac:dyDescent="0.25">
      <c r="AD32927"/>
    </row>
    <row r="32928" spans="30:30" x14ac:dyDescent="0.25">
      <c r="AD32928"/>
    </row>
    <row r="32929" spans="30:30" x14ac:dyDescent="0.25">
      <c r="AD32929"/>
    </row>
    <row r="32930" spans="30:30" x14ac:dyDescent="0.25">
      <c r="AD32930"/>
    </row>
    <row r="32931" spans="30:30" x14ac:dyDescent="0.25">
      <c r="AD32931"/>
    </row>
    <row r="32932" spans="30:30" x14ac:dyDescent="0.25">
      <c r="AD32932"/>
    </row>
    <row r="32933" spans="30:30" x14ac:dyDescent="0.25">
      <c r="AD32933"/>
    </row>
    <row r="32934" spans="30:30" x14ac:dyDescent="0.25">
      <c r="AD32934"/>
    </row>
    <row r="32935" spans="30:30" x14ac:dyDescent="0.25">
      <c r="AD32935"/>
    </row>
    <row r="32936" spans="30:30" x14ac:dyDescent="0.25">
      <c r="AD32936"/>
    </row>
    <row r="32937" spans="30:30" x14ac:dyDescent="0.25">
      <c r="AD32937"/>
    </row>
    <row r="32938" spans="30:30" x14ac:dyDescent="0.25">
      <c r="AD32938"/>
    </row>
    <row r="32939" spans="30:30" x14ac:dyDescent="0.25">
      <c r="AD32939"/>
    </row>
    <row r="32940" spans="30:30" x14ac:dyDescent="0.25">
      <c r="AD32940"/>
    </row>
    <row r="32941" spans="30:30" x14ac:dyDescent="0.25">
      <c r="AD32941"/>
    </row>
    <row r="32942" spans="30:30" x14ac:dyDescent="0.25">
      <c r="AD32942"/>
    </row>
    <row r="32943" spans="30:30" x14ac:dyDescent="0.25">
      <c r="AD32943"/>
    </row>
    <row r="32944" spans="30:30" x14ac:dyDescent="0.25">
      <c r="AD32944"/>
    </row>
    <row r="32945" spans="30:30" x14ac:dyDescent="0.25">
      <c r="AD32945"/>
    </row>
    <row r="32946" spans="30:30" x14ac:dyDescent="0.25">
      <c r="AD32946"/>
    </row>
    <row r="32947" spans="30:30" x14ac:dyDescent="0.25">
      <c r="AD32947"/>
    </row>
    <row r="32948" spans="30:30" x14ac:dyDescent="0.25">
      <c r="AD32948"/>
    </row>
    <row r="32949" spans="30:30" x14ac:dyDescent="0.25">
      <c r="AD32949"/>
    </row>
    <row r="32950" spans="30:30" x14ac:dyDescent="0.25">
      <c r="AD32950"/>
    </row>
    <row r="32951" spans="30:30" x14ac:dyDescent="0.25">
      <c r="AD32951"/>
    </row>
    <row r="32952" spans="30:30" x14ac:dyDescent="0.25">
      <c r="AD32952"/>
    </row>
    <row r="32953" spans="30:30" x14ac:dyDescent="0.25">
      <c r="AD32953"/>
    </row>
    <row r="32954" spans="30:30" x14ac:dyDescent="0.25">
      <c r="AD32954"/>
    </row>
    <row r="32955" spans="30:30" x14ac:dyDescent="0.25">
      <c r="AD32955"/>
    </row>
    <row r="32956" spans="30:30" x14ac:dyDescent="0.25">
      <c r="AD32956"/>
    </row>
    <row r="32957" spans="30:30" x14ac:dyDescent="0.25">
      <c r="AD32957"/>
    </row>
    <row r="32958" spans="30:30" x14ac:dyDescent="0.25">
      <c r="AD32958"/>
    </row>
    <row r="32959" spans="30:30" x14ac:dyDescent="0.25">
      <c r="AD32959"/>
    </row>
    <row r="32960" spans="30:30" x14ac:dyDescent="0.25">
      <c r="AD32960"/>
    </row>
    <row r="32961" spans="30:30" x14ac:dyDescent="0.25">
      <c r="AD32961"/>
    </row>
    <row r="32962" spans="30:30" x14ac:dyDescent="0.25">
      <c r="AD32962"/>
    </row>
    <row r="32963" spans="30:30" x14ac:dyDescent="0.25">
      <c r="AD32963"/>
    </row>
    <row r="32964" spans="30:30" x14ac:dyDescent="0.25">
      <c r="AD32964"/>
    </row>
    <row r="32965" spans="30:30" x14ac:dyDescent="0.25">
      <c r="AD32965"/>
    </row>
    <row r="32966" spans="30:30" x14ac:dyDescent="0.25">
      <c r="AD32966"/>
    </row>
    <row r="32967" spans="30:30" x14ac:dyDescent="0.25">
      <c r="AD32967"/>
    </row>
    <row r="32968" spans="30:30" x14ac:dyDescent="0.25">
      <c r="AD32968"/>
    </row>
    <row r="32969" spans="30:30" x14ac:dyDescent="0.25">
      <c r="AD32969"/>
    </row>
    <row r="32970" spans="30:30" x14ac:dyDescent="0.25">
      <c r="AD32970"/>
    </row>
    <row r="32971" spans="30:30" x14ac:dyDescent="0.25">
      <c r="AD32971"/>
    </row>
    <row r="32972" spans="30:30" x14ac:dyDescent="0.25">
      <c r="AD32972"/>
    </row>
    <row r="32973" spans="30:30" x14ac:dyDescent="0.25">
      <c r="AD32973"/>
    </row>
    <row r="32974" spans="30:30" x14ac:dyDescent="0.25">
      <c r="AD32974"/>
    </row>
    <row r="32975" spans="30:30" x14ac:dyDescent="0.25">
      <c r="AD32975"/>
    </row>
    <row r="32976" spans="30:30" x14ac:dyDescent="0.25">
      <c r="AD32976"/>
    </row>
    <row r="32977" spans="30:30" x14ac:dyDescent="0.25">
      <c r="AD32977"/>
    </row>
    <row r="32978" spans="30:30" x14ac:dyDescent="0.25">
      <c r="AD32978"/>
    </row>
    <row r="32979" spans="30:30" x14ac:dyDescent="0.25">
      <c r="AD32979"/>
    </row>
    <row r="32980" spans="30:30" x14ac:dyDescent="0.25">
      <c r="AD32980"/>
    </row>
    <row r="32981" spans="30:30" x14ac:dyDescent="0.25">
      <c r="AD32981"/>
    </row>
    <row r="32982" spans="30:30" x14ac:dyDescent="0.25">
      <c r="AD32982"/>
    </row>
    <row r="32983" spans="30:30" x14ac:dyDescent="0.25">
      <c r="AD32983"/>
    </row>
    <row r="32984" spans="30:30" x14ac:dyDescent="0.25">
      <c r="AD32984"/>
    </row>
    <row r="32985" spans="30:30" x14ac:dyDescent="0.25">
      <c r="AD32985"/>
    </row>
    <row r="32986" spans="30:30" x14ac:dyDescent="0.25">
      <c r="AD32986"/>
    </row>
    <row r="32987" spans="30:30" x14ac:dyDescent="0.25">
      <c r="AD32987"/>
    </row>
    <row r="32988" spans="30:30" x14ac:dyDescent="0.25">
      <c r="AD32988"/>
    </row>
    <row r="32989" spans="30:30" x14ac:dyDescent="0.25">
      <c r="AD32989"/>
    </row>
    <row r="32990" spans="30:30" x14ac:dyDescent="0.25">
      <c r="AD32990"/>
    </row>
    <row r="32991" spans="30:30" x14ac:dyDescent="0.25">
      <c r="AD32991"/>
    </row>
    <row r="32992" spans="30:30" x14ac:dyDescent="0.25">
      <c r="AD32992"/>
    </row>
    <row r="32993" spans="30:30" x14ac:dyDescent="0.25">
      <c r="AD32993"/>
    </row>
    <row r="32994" spans="30:30" x14ac:dyDescent="0.25">
      <c r="AD32994"/>
    </row>
    <row r="32995" spans="30:30" x14ac:dyDescent="0.25">
      <c r="AD32995"/>
    </row>
    <row r="32996" spans="30:30" x14ac:dyDescent="0.25">
      <c r="AD32996"/>
    </row>
    <row r="32997" spans="30:30" x14ac:dyDescent="0.25">
      <c r="AD32997"/>
    </row>
    <row r="32998" spans="30:30" x14ac:dyDescent="0.25">
      <c r="AD32998"/>
    </row>
    <row r="32999" spans="30:30" x14ac:dyDescent="0.25">
      <c r="AD32999"/>
    </row>
    <row r="33000" spans="30:30" x14ac:dyDescent="0.25">
      <c r="AD33000"/>
    </row>
    <row r="33001" spans="30:30" x14ac:dyDescent="0.25">
      <c r="AD33001"/>
    </row>
    <row r="33002" spans="30:30" x14ac:dyDescent="0.25">
      <c r="AD33002"/>
    </row>
    <row r="33003" spans="30:30" x14ac:dyDescent="0.25">
      <c r="AD33003"/>
    </row>
    <row r="33004" spans="30:30" x14ac:dyDescent="0.25">
      <c r="AD33004"/>
    </row>
    <row r="33005" spans="30:30" x14ac:dyDescent="0.25">
      <c r="AD33005"/>
    </row>
    <row r="33006" spans="30:30" x14ac:dyDescent="0.25">
      <c r="AD33006"/>
    </row>
    <row r="33007" spans="30:30" x14ac:dyDescent="0.25">
      <c r="AD33007"/>
    </row>
    <row r="33008" spans="30:30" x14ac:dyDescent="0.25">
      <c r="AD33008"/>
    </row>
    <row r="33009" spans="30:30" x14ac:dyDescent="0.25">
      <c r="AD33009"/>
    </row>
    <row r="33010" spans="30:30" x14ac:dyDescent="0.25">
      <c r="AD33010"/>
    </row>
    <row r="33011" spans="30:30" x14ac:dyDescent="0.25">
      <c r="AD33011"/>
    </row>
    <row r="33012" spans="30:30" x14ac:dyDescent="0.25">
      <c r="AD33012"/>
    </row>
    <row r="33013" spans="30:30" x14ac:dyDescent="0.25">
      <c r="AD33013"/>
    </row>
    <row r="33014" spans="30:30" x14ac:dyDescent="0.25">
      <c r="AD33014"/>
    </row>
    <row r="33015" spans="30:30" x14ac:dyDescent="0.25">
      <c r="AD33015"/>
    </row>
    <row r="33016" spans="30:30" x14ac:dyDescent="0.25">
      <c r="AD33016"/>
    </row>
    <row r="33017" spans="30:30" x14ac:dyDescent="0.25">
      <c r="AD33017"/>
    </row>
    <row r="33018" spans="30:30" x14ac:dyDescent="0.25">
      <c r="AD33018"/>
    </row>
    <row r="33019" spans="30:30" x14ac:dyDescent="0.25">
      <c r="AD33019"/>
    </row>
    <row r="33020" spans="30:30" x14ac:dyDescent="0.25">
      <c r="AD33020"/>
    </row>
    <row r="33021" spans="30:30" x14ac:dyDescent="0.25">
      <c r="AD33021"/>
    </row>
    <row r="33022" spans="30:30" x14ac:dyDescent="0.25">
      <c r="AD33022"/>
    </row>
    <row r="33023" spans="30:30" x14ac:dyDescent="0.25">
      <c r="AD33023"/>
    </row>
    <row r="33024" spans="30:30" x14ac:dyDescent="0.25">
      <c r="AD33024"/>
    </row>
    <row r="33025" spans="30:30" x14ac:dyDescent="0.25">
      <c r="AD33025"/>
    </row>
    <row r="33026" spans="30:30" x14ac:dyDescent="0.25">
      <c r="AD33026"/>
    </row>
    <row r="33027" spans="30:30" x14ac:dyDescent="0.25">
      <c r="AD33027"/>
    </row>
    <row r="33028" spans="30:30" x14ac:dyDescent="0.25">
      <c r="AD33028"/>
    </row>
    <row r="33029" spans="30:30" x14ac:dyDescent="0.25">
      <c r="AD33029"/>
    </row>
    <row r="33030" spans="30:30" x14ac:dyDescent="0.25">
      <c r="AD33030"/>
    </row>
    <row r="33031" spans="30:30" x14ac:dyDescent="0.25">
      <c r="AD33031"/>
    </row>
    <row r="33032" spans="30:30" x14ac:dyDescent="0.25">
      <c r="AD33032"/>
    </row>
    <row r="33033" spans="30:30" x14ac:dyDescent="0.25">
      <c r="AD33033"/>
    </row>
    <row r="33034" spans="30:30" x14ac:dyDescent="0.25">
      <c r="AD33034"/>
    </row>
    <row r="33035" spans="30:30" x14ac:dyDescent="0.25">
      <c r="AD33035"/>
    </row>
    <row r="33036" spans="30:30" x14ac:dyDescent="0.25">
      <c r="AD33036"/>
    </row>
    <row r="33037" spans="30:30" x14ac:dyDescent="0.25">
      <c r="AD33037"/>
    </row>
    <row r="33038" spans="30:30" x14ac:dyDescent="0.25">
      <c r="AD33038"/>
    </row>
    <row r="33039" spans="30:30" x14ac:dyDescent="0.25">
      <c r="AD33039"/>
    </row>
    <row r="33040" spans="30:30" x14ac:dyDescent="0.25">
      <c r="AD33040"/>
    </row>
    <row r="33041" spans="30:30" x14ac:dyDescent="0.25">
      <c r="AD33041"/>
    </row>
    <row r="33042" spans="30:30" x14ac:dyDescent="0.25">
      <c r="AD33042"/>
    </row>
    <row r="33043" spans="30:30" x14ac:dyDescent="0.25">
      <c r="AD33043"/>
    </row>
    <row r="33044" spans="30:30" x14ac:dyDescent="0.25">
      <c r="AD33044"/>
    </row>
    <row r="33045" spans="30:30" x14ac:dyDescent="0.25">
      <c r="AD33045"/>
    </row>
    <row r="33046" spans="30:30" x14ac:dyDescent="0.25">
      <c r="AD33046"/>
    </row>
    <row r="33047" spans="30:30" x14ac:dyDescent="0.25">
      <c r="AD33047"/>
    </row>
    <row r="33048" spans="30:30" x14ac:dyDescent="0.25">
      <c r="AD33048"/>
    </row>
    <row r="33049" spans="30:30" x14ac:dyDescent="0.25">
      <c r="AD33049"/>
    </row>
    <row r="33050" spans="30:30" x14ac:dyDescent="0.25">
      <c r="AD33050"/>
    </row>
    <row r="33051" spans="30:30" x14ac:dyDescent="0.25">
      <c r="AD33051"/>
    </row>
    <row r="33052" spans="30:30" x14ac:dyDescent="0.25">
      <c r="AD33052"/>
    </row>
    <row r="33053" spans="30:30" x14ac:dyDescent="0.25">
      <c r="AD33053"/>
    </row>
    <row r="33054" spans="30:30" x14ac:dyDescent="0.25">
      <c r="AD33054"/>
    </row>
    <row r="33055" spans="30:30" x14ac:dyDescent="0.25">
      <c r="AD33055"/>
    </row>
    <row r="33056" spans="30:30" x14ac:dyDescent="0.25">
      <c r="AD33056"/>
    </row>
    <row r="33057" spans="30:30" x14ac:dyDescent="0.25">
      <c r="AD33057"/>
    </row>
    <row r="33058" spans="30:30" x14ac:dyDescent="0.25">
      <c r="AD33058"/>
    </row>
    <row r="33059" spans="30:30" x14ac:dyDescent="0.25">
      <c r="AD33059"/>
    </row>
    <row r="33060" spans="30:30" x14ac:dyDescent="0.25">
      <c r="AD33060"/>
    </row>
    <row r="33061" spans="30:30" x14ac:dyDescent="0.25">
      <c r="AD33061"/>
    </row>
    <row r="33062" spans="30:30" x14ac:dyDescent="0.25">
      <c r="AD33062"/>
    </row>
    <row r="33063" spans="30:30" x14ac:dyDescent="0.25">
      <c r="AD33063"/>
    </row>
    <row r="33064" spans="30:30" x14ac:dyDescent="0.25">
      <c r="AD33064"/>
    </row>
    <row r="33065" spans="30:30" x14ac:dyDescent="0.25">
      <c r="AD33065"/>
    </row>
    <row r="33066" spans="30:30" x14ac:dyDescent="0.25">
      <c r="AD33066"/>
    </row>
    <row r="33067" spans="30:30" x14ac:dyDescent="0.25">
      <c r="AD33067"/>
    </row>
    <row r="33068" spans="30:30" x14ac:dyDescent="0.25">
      <c r="AD33068"/>
    </row>
    <row r="33069" spans="30:30" x14ac:dyDescent="0.25">
      <c r="AD33069"/>
    </row>
    <row r="33070" spans="30:30" x14ac:dyDescent="0.25">
      <c r="AD33070"/>
    </row>
    <row r="33071" spans="30:30" x14ac:dyDescent="0.25">
      <c r="AD33071"/>
    </row>
    <row r="33072" spans="30:30" x14ac:dyDescent="0.25">
      <c r="AD33072"/>
    </row>
    <row r="33073" spans="30:30" x14ac:dyDescent="0.25">
      <c r="AD33073"/>
    </row>
    <row r="33074" spans="30:30" x14ac:dyDescent="0.25">
      <c r="AD33074"/>
    </row>
    <row r="33075" spans="30:30" x14ac:dyDescent="0.25">
      <c r="AD33075"/>
    </row>
    <row r="33076" spans="30:30" x14ac:dyDescent="0.25">
      <c r="AD33076"/>
    </row>
    <row r="33077" spans="30:30" x14ac:dyDescent="0.25">
      <c r="AD33077"/>
    </row>
    <row r="33078" spans="30:30" x14ac:dyDescent="0.25">
      <c r="AD33078"/>
    </row>
    <row r="33079" spans="30:30" x14ac:dyDescent="0.25">
      <c r="AD33079"/>
    </row>
    <row r="33080" spans="30:30" x14ac:dyDescent="0.25">
      <c r="AD33080"/>
    </row>
    <row r="33081" spans="30:30" x14ac:dyDescent="0.25">
      <c r="AD33081"/>
    </row>
    <row r="33082" spans="30:30" x14ac:dyDescent="0.25">
      <c r="AD33082"/>
    </row>
    <row r="33083" spans="30:30" x14ac:dyDescent="0.25">
      <c r="AD33083"/>
    </row>
    <row r="33084" spans="30:30" x14ac:dyDescent="0.25">
      <c r="AD33084"/>
    </row>
    <row r="33085" spans="30:30" x14ac:dyDescent="0.25">
      <c r="AD33085"/>
    </row>
    <row r="33086" spans="30:30" x14ac:dyDescent="0.25">
      <c r="AD33086"/>
    </row>
    <row r="33087" spans="30:30" x14ac:dyDescent="0.25">
      <c r="AD33087"/>
    </row>
    <row r="33088" spans="30:30" x14ac:dyDescent="0.25">
      <c r="AD33088"/>
    </row>
    <row r="33089" spans="30:30" x14ac:dyDescent="0.25">
      <c r="AD33089"/>
    </row>
    <row r="33090" spans="30:30" x14ac:dyDescent="0.25">
      <c r="AD33090"/>
    </row>
    <row r="33091" spans="30:30" x14ac:dyDescent="0.25">
      <c r="AD33091"/>
    </row>
    <row r="33092" spans="30:30" x14ac:dyDescent="0.25">
      <c r="AD33092"/>
    </row>
    <row r="33093" spans="30:30" x14ac:dyDescent="0.25">
      <c r="AD33093"/>
    </row>
    <row r="33094" spans="30:30" x14ac:dyDescent="0.25">
      <c r="AD33094"/>
    </row>
    <row r="33095" spans="30:30" x14ac:dyDescent="0.25">
      <c r="AD33095"/>
    </row>
    <row r="33096" spans="30:30" x14ac:dyDescent="0.25">
      <c r="AD33096"/>
    </row>
    <row r="33097" spans="30:30" x14ac:dyDescent="0.25">
      <c r="AD33097"/>
    </row>
    <row r="33098" spans="30:30" x14ac:dyDescent="0.25">
      <c r="AD33098"/>
    </row>
    <row r="33099" spans="30:30" x14ac:dyDescent="0.25">
      <c r="AD33099"/>
    </row>
    <row r="33100" spans="30:30" x14ac:dyDescent="0.25">
      <c r="AD33100"/>
    </row>
    <row r="33101" spans="30:30" x14ac:dyDescent="0.25">
      <c r="AD33101"/>
    </row>
    <row r="33102" spans="30:30" x14ac:dyDescent="0.25">
      <c r="AD33102"/>
    </row>
    <row r="33103" spans="30:30" x14ac:dyDescent="0.25">
      <c r="AD33103"/>
    </row>
    <row r="33104" spans="30:30" x14ac:dyDescent="0.25">
      <c r="AD33104"/>
    </row>
    <row r="33105" spans="30:30" x14ac:dyDescent="0.25">
      <c r="AD33105"/>
    </row>
    <row r="33106" spans="30:30" x14ac:dyDescent="0.25">
      <c r="AD33106"/>
    </row>
    <row r="33107" spans="30:30" x14ac:dyDescent="0.25">
      <c r="AD33107"/>
    </row>
    <row r="33108" spans="30:30" x14ac:dyDescent="0.25">
      <c r="AD33108"/>
    </row>
    <row r="33109" spans="30:30" x14ac:dyDescent="0.25">
      <c r="AD33109"/>
    </row>
    <row r="33110" spans="30:30" x14ac:dyDescent="0.25">
      <c r="AD33110"/>
    </row>
    <row r="33111" spans="30:30" x14ac:dyDescent="0.25">
      <c r="AD33111"/>
    </row>
    <row r="33112" spans="30:30" x14ac:dyDescent="0.25">
      <c r="AD33112"/>
    </row>
    <row r="33113" spans="30:30" x14ac:dyDescent="0.25">
      <c r="AD33113"/>
    </row>
    <row r="33114" spans="30:30" x14ac:dyDescent="0.25">
      <c r="AD33114"/>
    </row>
    <row r="33115" spans="30:30" x14ac:dyDescent="0.25">
      <c r="AD33115"/>
    </row>
    <row r="33116" spans="30:30" x14ac:dyDescent="0.25">
      <c r="AD33116"/>
    </row>
    <row r="33117" spans="30:30" x14ac:dyDescent="0.25">
      <c r="AD33117"/>
    </row>
    <row r="33118" spans="30:30" x14ac:dyDescent="0.25">
      <c r="AD33118"/>
    </row>
    <row r="33119" spans="30:30" x14ac:dyDescent="0.25">
      <c r="AD33119"/>
    </row>
    <row r="33120" spans="30:30" x14ac:dyDescent="0.25">
      <c r="AD33120"/>
    </row>
    <row r="33121" spans="30:30" x14ac:dyDescent="0.25">
      <c r="AD33121"/>
    </row>
    <row r="33122" spans="30:30" x14ac:dyDescent="0.25">
      <c r="AD33122"/>
    </row>
    <row r="33123" spans="30:30" x14ac:dyDescent="0.25">
      <c r="AD33123"/>
    </row>
    <row r="33124" spans="30:30" x14ac:dyDescent="0.25">
      <c r="AD33124"/>
    </row>
    <row r="33125" spans="30:30" x14ac:dyDescent="0.25">
      <c r="AD33125"/>
    </row>
    <row r="33126" spans="30:30" x14ac:dyDescent="0.25">
      <c r="AD33126"/>
    </row>
    <row r="33127" spans="30:30" x14ac:dyDescent="0.25">
      <c r="AD33127"/>
    </row>
    <row r="33128" spans="30:30" x14ac:dyDescent="0.25">
      <c r="AD33128"/>
    </row>
    <row r="33129" spans="30:30" x14ac:dyDescent="0.25">
      <c r="AD33129"/>
    </row>
    <row r="33130" spans="30:30" x14ac:dyDescent="0.25">
      <c r="AD33130"/>
    </row>
    <row r="33131" spans="30:30" x14ac:dyDescent="0.25">
      <c r="AD33131"/>
    </row>
    <row r="33132" spans="30:30" x14ac:dyDescent="0.25">
      <c r="AD33132"/>
    </row>
    <row r="33133" spans="30:30" x14ac:dyDescent="0.25">
      <c r="AD33133"/>
    </row>
    <row r="33134" spans="30:30" x14ac:dyDescent="0.25">
      <c r="AD33134"/>
    </row>
    <row r="33135" spans="30:30" x14ac:dyDescent="0.25">
      <c r="AD33135"/>
    </row>
    <row r="33136" spans="30:30" x14ac:dyDescent="0.25">
      <c r="AD33136"/>
    </row>
    <row r="33137" spans="30:30" x14ac:dyDescent="0.25">
      <c r="AD33137"/>
    </row>
    <row r="33138" spans="30:30" x14ac:dyDescent="0.25">
      <c r="AD33138"/>
    </row>
    <row r="33139" spans="30:30" x14ac:dyDescent="0.25">
      <c r="AD33139"/>
    </row>
    <row r="33140" spans="30:30" x14ac:dyDescent="0.25">
      <c r="AD33140"/>
    </row>
    <row r="33141" spans="30:30" x14ac:dyDescent="0.25">
      <c r="AD33141"/>
    </row>
    <row r="33142" spans="30:30" x14ac:dyDescent="0.25">
      <c r="AD33142"/>
    </row>
    <row r="33143" spans="30:30" x14ac:dyDescent="0.25">
      <c r="AD33143"/>
    </row>
    <row r="33144" spans="30:30" x14ac:dyDescent="0.25">
      <c r="AD33144"/>
    </row>
    <row r="33145" spans="30:30" x14ac:dyDescent="0.25">
      <c r="AD33145"/>
    </row>
    <row r="33146" spans="30:30" x14ac:dyDescent="0.25">
      <c r="AD33146"/>
    </row>
    <row r="33147" spans="30:30" x14ac:dyDescent="0.25">
      <c r="AD33147"/>
    </row>
    <row r="33148" spans="30:30" x14ac:dyDescent="0.25">
      <c r="AD33148"/>
    </row>
    <row r="33149" spans="30:30" x14ac:dyDescent="0.25">
      <c r="AD33149"/>
    </row>
    <row r="33150" spans="30:30" x14ac:dyDescent="0.25">
      <c r="AD33150"/>
    </row>
    <row r="33151" spans="30:30" x14ac:dyDescent="0.25">
      <c r="AD33151"/>
    </row>
    <row r="33152" spans="30:30" x14ac:dyDescent="0.25">
      <c r="AD33152"/>
    </row>
    <row r="33153" spans="30:30" x14ac:dyDescent="0.25">
      <c r="AD33153"/>
    </row>
    <row r="33154" spans="30:30" x14ac:dyDescent="0.25">
      <c r="AD33154"/>
    </row>
    <row r="33155" spans="30:30" x14ac:dyDescent="0.25">
      <c r="AD33155"/>
    </row>
    <row r="33156" spans="30:30" x14ac:dyDescent="0.25">
      <c r="AD33156"/>
    </row>
    <row r="33157" spans="30:30" x14ac:dyDescent="0.25">
      <c r="AD33157"/>
    </row>
    <row r="33158" spans="30:30" x14ac:dyDescent="0.25">
      <c r="AD33158"/>
    </row>
    <row r="33159" spans="30:30" x14ac:dyDescent="0.25">
      <c r="AD33159"/>
    </row>
    <row r="33160" spans="30:30" x14ac:dyDescent="0.25">
      <c r="AD33160"/>
    </row>
    <row r="33161" spans="30:30" x14ac:dyDescent="0.25">
      <c r="AD33161"/>
    </row>
    <row r="33162" spans="30:30" x14ac:dyDescent="0.25">
      <c r="AD33162"/>
    </row>
    <row r="33163" spans="30:30" x14ac:dyDescent="0.25">
      <c r="AD33163"/>
    </row>
    <row r="33164" spans="30:30" x14ac:dyDescent="0.25">
      <c r="AD33164"/>
    </row>
    <row r="33165" spans="30:30" x14ac:dyDescent="0.25">
      <c r="AD33165"/>
    </row>
    <row r="33166" spans="30:30" x14ac:dyDescent="0.25">
      <c r="AD33166"/>
    </row>
    <row r="33167" spans="30:30" x14ac:dyDescent="0.25">
      <c r="AD33167"/>
    </row>
    <row r="33168" spans="30:30" x14ac:dyDescent="0.25">
      <c r="AD33168"/>
    </row>
    <row r="33169" spans="30:30" x14ac:dyDescent="0.25">
      <c r="AD33169"/>
    </row>
    <row r="33170" spans="30:30" x14ac:dyDescent="0.25">
      <c r="AD33170"/>
    </row>
    <row r="33171" spans="30:30" x14ac:dyDescent="0.25">
      <c r="AD33171"/>
    </row>
    <row r="33172" spans="30:30" x14ac:dyDescent="0.25">
      <c r="AD33172"/>
    </row>
    <row r="33173" spans="30:30" x14ac:dyDescent="0.25">
      <c r="AD33173"/>
    </row>
    <row r="33174" spans="30:30" x14ac:dyDescent="0.25">
      <c r="AD33174"/>
    </row>
    <row r="33175" spans="30:30" x14ac:dyDescent="0.25">
      <c r="AD33175"/>
    </row>
    <row r="33176" spans="30:30" x14ac:dyDescent="0.25">
      <c r="AD33176"/>
    </row>
    <row r="33177" spans="30:30" x14ac:dyDescent="0.25">
      <c r="AD33177"/>
    </row>
    <row r="33178" spans="30:30" x14ac:dyDescent="0.25">
      <c r="AD33178"/>
    </row>
    <row r="33179" spans="30:30" x14ac:dyDescent="0.25">
      <c r="AD33179"/>
    </row>
    <row r="33180" spans="30:30" x14ac:dyDescent="0.25">
      <c r="AD33180"/>
    </row>
    <row r="33181" spans="30:30" x14ac:dyDescent="0.25">
      <c r="AD33181"/>
    </row>
    <row r="33182" spans="30:30" x14ac:dyDescent="0.25">
      <c r="AD33182"/>
    </row>
    <row r="33183" spans="30:30" x14ac:dyDescent="0.25">
      <c r="AD33183"/>
    </row>
    <row r="33184" spans="30:30" x14ac:dyDescent="0.25">
      <c r="AD33184"/>
    </row>
    <row r="33185" spans="30:30" x14ac:dyDescent="0.25">
      <c r="AD33185"/>
    </row>
    <row r="33186" spans="30:30" x14ac:dyDescent="0.25">
      <c r="AD33186"/>
    </row>
    <row r="33187" spans="30:30" x14ac:dyDescent="0.25">
      <c r="AD33187"/>
    </row>
    <row r="33188" spans="30:30" x14ac:dyDescent="0.25">
      <c r="AD33188"/>
    </row>
    <row r="33189" spans="30:30" x14ac:dyDescent="0.25">
      <c r="AD33189"/>
    </row>
    <row r="33190" spans="30:30" x14ac:dyDescent="0.25">
      <c r="AD33190"/>
    </row>
    <row r="33191" spans="30:30" x14ac:dyDescent="0.25">
      <c r="AD33191"/>
    </row>
    <row r="33192" spans="30:30" x14ac:dyDescent="0.25">
      <c r="AD33192"/>
    </row>
    <row r="33193" spans="30:30" x14ac:dyDescent="0.25">
      <c r="AD33193"/>
    </row>
    <row r="33194" spans="30:30" x14ac:dyDescent="0.25">
      <c r="AD33194"/>
    </row>
    <row r="33195" spans="30:30" x14ac:dyDescent="0.25">
      <c r="AD33195"/>
    </row>
    <row r="33196" spans="30:30" x14ac:dyDescent="0.25">
      <c r="AD33196"/>
    </row>
    <row r="33197" spans="30:30" x14ac:dyDescent="0.25">
      <c r="AD33197"/>
    </row>
    <row r="33198" spans="30:30" x14ac:dyDescent="0.25">
      <c r="AD33198"/>
    </row>
    <row r="33199" spans="30:30" x14ac:dyDescent="0.25">
      <c r="AD33199"/>
    </row>
    <row r="33200" spans="30:30" x14ac:dyDescent="0.25">
      <c r="AD33200"/>
    </row>
    <row r="33201" spans="30:30" x14ac:dyDescent="0.25">
      <c r="AD33201"/>
    </row>
    <row r="33202" spans="30:30" x14ac:dyDescent="0.25">
      <c r="AD33202"/>
    </row>
    <row r="33203" spans="30:30" x14ac:dyDescent="0.25">
      <c r="AD33203"/>
    </row>
    <row r="33204" spans="30:30" x14ac:dyDescent="0.25">
      <c r="AD33204"/>
    </row>
    <row r="33205" spans="30:30" x14ac:dyDescent="0.25">
      <c r="AD33205"/>
    </row>
    <row r="33206" spans="30:30" x14ac:dyDescent="0.25">
      <c r="AD33206"/>
    </row>
    <row r="33207" spans="30:30" x14ac:dyDescent="0.25">
      <c r="AD33207"/>
    </row>
    <row r="33208" spans="30:30" x14ac:dyDescent="0.25">
      <c r="AD33208"/>
    </row>
    <row r="33209" spans="30:30" x14ac:dyDescent="0.25">
      <c r="AD33209"/>
    </row>
    <row r="33210" spans="30:30" x14ac:dyDescent="0.25">
      <c r="AD33210"/>
    </row>
    <row r="33211" spans="30:30" x14ac:dyDescent="0.25">
      <c r="AD33211"/>
    </row>
    <row r="33212" spans="30:30" x14ac:dyDescent="0.25">
      <c r="AD33212"/>
    </row>
    <row r="33213" spans="30:30" x14ac:dyDescent="0.25">
      <c r="AD33213"/>
    </row>
    <row r="33214" spans="30:30" x14ac:dyDescent="0.25">
      <c r="AD33214"/>
    </row>
    <row r="33215" spans="30:30" x14ac:dyDescent="0.25">
      <c r="AD33215"/>
    </row>
    <row r="33216" spans="30:30" x14ac:dyDescent="0.25">
      <c r="AD33216"/>
    </row>
    <row r="33217" spans="30:30" x14ac:dyDescent="0.25">
      <c r="AD33217"/>
    </row>
    <row r="33218" spans="30:30" x14ac:dyDescent="0.25">
      <c r="AD33218"/>
    </row>
    <row r="33219" spans="30:30" x14ac:dyDescent="0.25">
      <c r="AD33219"/>
    </row>
    <row r="33220" spans="30:30" x14ac:dyDescent="0.25">
      <c r="AD33220"/>
    </row>
    <row r="33221" spans="30:30" x14ac:dyDescent="0.25">
      <c r="AD33221"/>
    </row>
    <row r="33222" spans="30:30" x14ac:dyDescent="0.25">
      <c r="AD33222"/>
    </row>
    <row r="33223" spans="30:30" x14ac:dyDescent="0.25">
      <c r="AD33223"/>
    </row>
    <row r="33224" spans="30:30" x14ac:dyDescent="0.25">
      <c r="AD33224"/>
    </row>
    <row r="33225" spans="30:30" x14ac:dyDescent="0.25">
      <c r="AD33225"/>
    </row>
    <row r="33226" spans="30:30" x14ac:dyDescent="0.25">
      <c r="AD33226"/>
    </row>
    <row r="33227" spans="30:30" x14ac:dyDescent="0.25">
      <c r="AD33227"/>
    </row>
    <row r="33228" spans="30:30" x14ac:dyDescent="0.25">
      <c r="AD33228"/>
    </row>
    <row r="33229" spans="30:30" x14ac:dyDescent="0.25">
      <c r="AD33229"/>
    </row>
    <row r="33230" spans="30:30" x14ac:dyDescent="0.25">
      <c r="AD33230"/>
    </row>
    <row r="33231" spans="30:30" x14ac:dyDescent="0.25">
      <c r="AD33231"/>
    </row>
    <row r="33232" spans="30:30" x14ac:dyDescent="0.25">
      <c r="AD33232"/>
    </row>
    <row r="33233" spans="30:30" x14ac:dyDescent="0.25">
      <c r="AD33233"/>
    </row>
    <row r="33234" spans="30:30" x14ac:dyDescent="0.25">
      <c r="AD33234"/>
    </row>
    <row r="33235" spans="30:30" x14ac:dyDescent="0.25">
      <c r="AD33235"/>
    </row>
    <row r="33236" spans="30:30" x14ac:dyDescent="0.25">
      <c r="AD33236"/>
    </row>
    <row r="33237" spans="30:30" x14ac:dyDescent="0.25">
      <c r="AD33237"/>
    </row>
    <row r="33238" spans="30:30" x14ac:dyDescent="0.25">
      <c r="AD33238"/>
    </row>
    <row r="33239" spans="30:30" x14ac:dyDescent="0.25">
      <c r="AD33239"/>
    </row>
    <row r="33240" spans="30:30" x14ac:dyDescent="0.25">
      <c r="AD33240"/>
    </row>
    <row r="33241" spans="30:30" x14ac:dyDescent="0.25">
      <c r="AD33241"/>
    </row>
    <row r="33242" spans="30:30" x14ac:dyDescent="0.25">
      <c r="AD33242"/>
    </row>
    <row r="33243" spans="30:30" x14ac:dyDescent="0.25">
      <c r="AD33243"/>
    </row>
    <row r="33244" spans="30:30" x14ac:dyDescent="0.25">
      <c r="AD33244"/>
    </row>
    <row r="33245" spans="30:30" x14ac:dyDescent="0.25">
      <c r="AD33245"/>
    </row>
    <row r="33246" spans="30:30" x14ac:dyDescent="0.25">
      <c r="AD33246"/>
    </row>
    <row r="33247" spans="30:30" x14ac:dyDescent="0.25">
      <c r="AD33247"/>
    </row>
    <row r="33248" spans="30:30" x14ac:dyDescent="0.25">
      <c r="AD33248"/>
    </row>
    <row r="33249" spans="30:30" x14ac:dyDescent="0.25">
      <c r="AD33249"/>
    </row>
    <row r="33250" spans="30:30" x14ac:dyDescent="0.25">
      <c r="AD33250"/>
    </row>
    <row r="33251" spans="30:30" x14ac:dyDescent="0.25">
      <c r="AD33251"/>
    </row>
    <row r="33252" spans="30:30" x14ac:dyDescent="0.25">
      <c r="AD33252"/>
    </row>
    <row r="33253" spans="30:30" x14ac:dyDescent="0.25">
      <c r="AD33253"/>
    </row>
    <row r="33254" spans="30:30" x14ac:dyDescent="0.25">
      <c r="AD33254"/>
    </row>
    <row r="33255" spans="30:30" x14ac:dyDescent="0.25">
      <c r="AD33255"/>
    </row>
    <row r="33256" spans="30:30" x14ac:dyDescent="0.25">
      <c r="AD33256"/>
    </row>
    <row r="33257" spans="30:30" x14ac:dyDescent="0.25">
      <c r="AD33257"/>
    </row>
    <row r="33258" spans="30:30" x14ac:dyDescent="0.25">
      <c r="AD33258"/>
    </row>
    <row r="33259" spans="30:30" x14ac:dyDescent="0.25">
      <c r="AD33259"/>
    </row>
    <row r="33260" spans="30:30" x14ac:dyDescent="0.25">
      <c r="AD33260"/>
    </row>
    <row r="33261" spans="30:30" x14ac:dyDescent="0.25">
      <c r="AD33261"/>
    </row>
    <row r="33262" spans="30:30" x14ac:dyDescent="0.25">
      <c r="AD33262"/>
    </row>
    <row r="33263" spans="30:30" x14ac:dyDescent="0.25">
      <c r="AD33263"/>
    </row>
    <row r="33264" spans="30:30" x14ac:dyDescent="0.25">
      <c r="AD33264"/>
    </row>
    <row r="33265" spans="30:30" x14ac:dyDescent="0.25">
      <c r="AD33265"/>
    </row>
    <row r="33266" spans="30:30" x14ac:dyDescent="0.25">
      <c r="AD33266"/>
    </row>
    <row r="33267" spans="30:30" x14ac:dyDescent="0.25">
      <c r="AD33267"/>
    </row>
    <row r="33268" spans="30:30" x14ac:dyDescent="0.25">
      <c r="AD33268"/>
    </row>
    <row r="33269" spans="30:30" x14ac:dyDescent="0.25">
      <c r="AD33269"/>
    </row>
    <row r="33270" spans="30:30" x14ac:dyDescent="0.25">
      <c r="AD33270"/>
    </row>
    <row r="33271" spans="30:30" x14ac:dyDescent="0.25">
      <c r="AD33271"/>
    </row>
    <row r="33272" spans="30:30" x14ac:dyDescent="0.25">
      <c r="AD33272"/>
    </row>
    <row r="33273" spans="30:30" x14ac:dyDescent="0.25">
      <c r="AD33273"/>
    </row>
    <row r="33274" spans="30:30" x14ac:dyDescent="0.25">
      <c r="AD33274"/>
    </row>
    <row r="33275" spans="30:30" x14ac:dyDescent="0.25">
      <c r="AD33275"/>
    </row>
    <row r="33276" spans="30:30" x14ac:dyDescent="0.25">
      <c r="AD33276"/>
    </row>
    <row r="33277" spans="30:30" x14ac:dyDescent="0.25">
      <c r="AD33277"/>
    </row>
    <row r="33278" spans="30:30" x14ac:dyDescent="0.25">
      <c r="AD33278"/>
    </row>
    <row r="33279" spans="30:30" x14ac:dyDescent="0.25">
      <c r="AD33279"/>
    </row>
    <row r="33280" spans="30:30" x14ac:dyDescent="0.25">
      <c r="AD33280"/>
    </row>
    <row r="33281" spans="30:30" x14ac:dyDescent="0.25">
      <c r="AD33281"/>
    </row>
    <row r="33282" spans="30:30" x14ac:dyDescent="0.25">
      <c r="AD33282"/>
    </row>
    <row r="33283" spans="30:30" x14ac:dyDescent="0.25">
      <c r="AD33283"/>
    </row>
    <row r="33284" spans="30:30" x14ac:dyDescent="0.25">
      <c r="AD33284"/>
    </row>
    <row r="33285" spans="30:30" x14ac:dyDescent="0.25">
      <c r="AD33285"/>
    </row>
    <row r="33286" spans="30:30" x14ac:dyDescent="0.25">
      <c r="AD33286"/>
    </row>
    <row r="33287" spans="30:30" x14ac:dyDescent="0.25">
      <c r="AD33287"/>
    </row>
    <row r="33288" spans="30:30" x14ac:dyDescent="0.25">
      <c r="AD33288"/>
    </row>
    <row r="33289" spans="30:30" x14ac:dyDescent="0.25">
      <c r="AD33289"/>
    </row>
    <row r="33290" spans="30:30" x14ac:dyDescent="0.25">
      <c r="AD33290"/>
    </row>
    <row r="33291" spans="30:30" x14ac:dyDescent="0.25">
      <c r="AD33291"/>
    </row>
    <row r="33292" spans="30:30" x14ac:dyDescent="0.25">
      <c r="AD33292"/>
    </row>
    <row r="33293" spans="30:30" x14ac:dyDescent="0.25">
      <c r="AD33293"/>
    </row>
    <row r="33294" spans="30:30" x14ac:dyDescent="0.25">
      <c r="AD33294"/>
    </row>
    <row r="33295" spans="30:30" x14ac:dyDescent="0.25">
      <c r="AD33295"/>
    </row>
    <row r="33296" spans="30:30" x14ac:dyDescent="0.25">
      <c r="AD33296"/>
    </row>
    <row r="33297" spans="30:30" x14ac:dyDescent="0.25">
      <c r="AD33297"/>
    </row>
    <row r="33298" spans="30:30" x14ac:dyDescent="0.25">
      <c r="AD33298"/>
    </row>
    <row r="33299" spans="30:30" x14ac:dyDescent="0.25">
      <c r="AD33299"/>
    </row>
    <row r="33300" spans="30:30" x14ac:dyDescent="0.25">
      <c r="AD33300"/>
    </row>
    <row r="33301" spans="30:30" x14ac:dyDescent="0.25">
      <c r="AD33301"/>
    </row>
    <row r="33302" spans="30:30" x14ac:dyDescent="0.25">
      <c r="AD33302"/>
    </row>
    <row r="33303" spans="30:30" x14ac:dyDescent="0.25">
      <c r="AD33303"/>
    </row>
    <row r="33304" spans="30:30" x14ac:dyDescent="0.25">
      <c r="AD33304"/>
    </row>
    <row r="33305" spans="30:30" x14ac:dyDescent="0.25">
      <c r="AD33305"/>
    </row>
    <row r="33306" spans="30:30" x14ac:dyDescent="0.25">
      <c r="AD33306"/>
    </row>
    <row r="33307" spans="30:30" x14ac:dyDescent="0.25">
      <c r="AD33307"/>
    </row>
    <row r="33308" spans="30:30" x14ac:dyDescent="0.25">
      <c r="AD33308"/>
    </row>
    <row r="33309" spans="30:30" x14ac:dyDescent="0.25">
      <c r="AD33309"/>
    </row>
    <row r="33310" spans="30:30" x14ac:dyDescent="0.25">
      <c r="AD33310"/>
    </row>
    <row r="33311" spans="30:30" x14ac:dyDescent="0.25">
      <c r="AD33311"/>
    </row>
    <row r="33312" spans="30:30" x14ac:dyDescent="0.25">
      <c r="AD33312"/>
    </row>
    <row r="33313" spans="30:30" x14ac:dyDescent="0.25">
      <c r="AD33313"/>
    </row>
    <row r="33314" spans="30:30" x14ac:dyDescent="0.25">
      <c r="AD33314"/>
    </row>
    <row r="33315" spans="30:30" x14ac:dyDescent="0.25">
      <c r="AD33315"/>
    </row>
    <row r="33316" spans="30:30" x14ac:dyDescent="0.25">
      <c r="AD33316"/>
    </row>
    <row r="33317" spans="30:30" x14ac:dyDescent="0.25">
      <c r="AD33317"/>
    </row>
    <row r="33318" spans="30:30" x14ac:dyDescent="0.25">
      <c r="AD33318"/>
    </row>
    <row r="33319" spans="30:30" x14ac:dyDescent="0.25">
      <c r="AD33319"/>
    </row>
    <row r="33320" spans="30:30" x14ac:dyDescent="0.25">
      <c r="AD33320"/>
    </row>
    <row r="33321" spans="30:30" x14ac:dyDescent="0.25">
      <c r="AD33321"/>
    </row>
    <row r="33322" spans="30:30" x14ac:dyDescent="0.25">
      <c r="AD33322"/>
    </row>
    <row r="33323" spans="30:30" x14ac:dyDescent="0.25">
      <c r="AD33323"/>
    </row>
    <row r="33324" spans="30:30" x14ac:dyDescent="0.25">
      <c r="AD33324"/>
    </row>
    <row r="33325" spans="30:30" x14ac:dyDescent="0.25">
      <c r="AD33325"/>
    </row>
    <row r="33326" spans="30:30" x14ac:dyDescent="0.25">
      <c r="AD33326"/>
    </row>
    <row r="33327" spans="30:30" x14ac:dyDescent="0.25">
      <c r="AD33327"/>
    </row>
    <row r="33328" spans="30:30" x14ac:dyDescent="0.25">
      <c r="AD33328"/>
    </row>
    <row r="33329" spans="30:30" x14ac:dyDescent="0.25">
      <c r="AD33329"/>
    </row>
    <row r="33330" spans="30:30" x14ac:dyDescent="0.25">
      <c r="AD33330"/>
    </row>
    <row r="33331" spans="30:30" x14ac:dyDescent="0.25">
      <c r="AD33331"/>
    </row>
    <row r="33332" spans="30:30" x14ac:dyDescent="0.25">
      <c r="AD33332"/>
    </row>
    <row r="33333" spans="30:30" x14ac:dyDescent="0.25">
      <c r="AD33333"/>
    </row>
    <row r="33334" spans="30:30" x14ac:dyDescent="0.25">
      <c r="AD33334"/>
    </row>
    <row r="33335" spans="30:30" x14ac:dyDescent="0.25">
      <c r="AD33335"/>
    </row>
    <row r="33336" spans="30:30" x14ac:dyDescent="0.25">
      <c r="AD33336"/>
    </row>
    <row r="33337" spans="30:30" x14ac:dyDescent="0.25">
      <c r="AD33337"/>
    </row>
    <row r="33338" spans="30:30" x14ac:dyDescent="0.25">
      <c r="AD33338"/>
    </row>
    <row r="33339" spans="30:30" x14ac:dyDescent="0.25">
      <c r="AD33339"/>
    </row>
    <row r="33340" spans="30:30" x14ac:dyDescent="0.25">
      <c r="AD33340"/>
    </row>
    <row r="33341" spans="30:30" x14ac:dyDescent="0.25">
      <c r="AD33341"/>
    </row>
    <row r="33342" spans="30:30" x14ac:dyDescent="0.25">
      <c r="AD33342"/>
    </row>
    <row r="33343" spans="30:30" x14ac:dyDescent="0.25">
      <c r="AD33343"/>
    </row>
    <row r="33344" spans="30:30" x14ac:dyDescent="0.25">
      <c r="AD33344"/>
    </row>
    <row r="33345" spans="30:30" x14ac:dyDescent="0.25">
      <c r="AD33345"/>
    </row>
    <row r="33346" spans="30:30" x14ac:dyDescent="0.25">
      <c r="AD33346"/>
    </row>
    <row r="33347" spans="30:30" x14ac:dyDescent="0.25">
      <c r="AD33347"/>
    </row>
    <row r="33348" spans="30:30" x14ac:dyDescent="0.25">
      <c r="AD33348"/>
    </row>
    <row r="33349" spans="30:30" x14ac:dyDescent="0.25">
      <c r="AD33349"/>
    </row>
    <row r="33350" spans="30:30" x14ac:dyDescent="0.25">
      <c r="AD33350"/>
    </row>
    <row r="33351" spans="30:30" x14ac:dyDescent="0.25">
      <c r="AD33351"/>
    </row>
    <row r="33352" spans="30:30" x14ac:dyDescent="0.25">
      <c r="AD33352"/>
    </row>
    <row r="33353" spans="30:30" x14ac:dyDescent="0.25">
      <c r="AD33353"/>
    </row>
    <row r="33354" spans="30:30" x14ac:dyDescent="0.25">
      <c r="AD33354"/>
    </row>
    <row r="33355" spans="30:30" x14ac:dyDescent="0.25">
      <c r="AD33355"/>
    </row>
    <row r="33356" spans="30:30" x14ac:dyDescent="0.25">
      <c r="AD33356"/>
    </row>
    <row r="33357" spans="30:30" x14ac:dyDescent="0.25">
      <c r="AD33357"/>
    </row>
    <row r="33358" spans="30:30" x14ac:dyDescent="0.25">
      <c r="AD33358"/>
    </row>
    <row r="33359" spans="30:30" x14ac:dyDescent="0.25">
      <c r="AD33359"/>
    </row>
    <row r="33360" spans="30:30" x14ac:dyDescent="0.25">
      <c r="AD33360"/>
    </row>
    <row r="33361" spans="30:30" x14ac:dyDescent="0.25">
      <c r="AD33361"/>
    </row>
    <row r="33362" spans="30:30" x14ac:dyDescent="0.25">
      <c r="AD33362"/>
    </row>
    <row r="33363" spans="30:30" x14ac:dyDescent="0.25">
      <c r="AD33363"/>
    </row>
    <row r="33364" spans="30:30" x14ac:dyDescent="0.25">
      <c r="AD33364"/>
    </row>
    <row r="33365" spans="30:30" x14ac:dyDescent="0.25">
      <c r="AD33365"/>
    </row>
    <row r="33366" spans="30:30" x14ac:dyDescent="0.25">
      <c r="AD33366"/>
    </row>
    <row r="33367" spans="30:30" x14ac:dyDescent="0.25">
      <c r="AD33367"/>
    </row>
    <row r="33368" spans="30:30" x14ac:dyDescent="0.25">
      <c r="AD33368"/>
    </row>
    <row r="33369" spans="30:30" x14ac:dyDescent="0.25">
      <c r="AD33369"/>
    </row>
    <row r="33370" spans="30:30" x14ac:dyDescent="0.25">
      <c r="AD33370"/>
    </row>
    <row r="33371" spans="30:30" x14ac:dyDescent="0.25">
      <c r="AD33371"/>
    </row>
    <row r="33372" spans="30:30" x14ac:dyDescent="0.25">
      <c r="AD33372"/>
    </row>
    <row r="33373" spans="30:30" x14ac:dyDescent="0.25">
      <c r="AD33373"/>
    </row>
    <row r="33374" spans="30:30" x14ac:dyDescent="0.25">
      <c r="AD33374"/>
    </row>
    <row r="33375" spans="30:30" x14ac:dyDescent="0.25">
      <c r="AD33375"/>
    </row>
    <row r="33376" spans="30:30" x14ac:dyDescent="0.25">
      <c r="AD33376"/>
    </row>
    <row r="33377" spans="30:30" x14ac:dyDescent="0.25">
      <c r="AD33377"/>
    </row>
    <row r="33378" spans="30:30" x14ac:dyDescent="0.25">
      <c r="AD33378"/>
    </row>
    <row r="33379" spans="30:30" x14ac:dyDescent="0.25">
      <c r="AD33379"/>
    </row>
    <row r="33380" spans="30:30" x14ac:dyDescent="0.25">
      <c r="AD33380"/>
    </row>
    <row r="33381" spans="30:30" x14ac:dyDescent="0.25">
      <c r="AD33381"/>
    </row>
    <row r="33382" spans="30:30" x14ac:dyDescent="0.25">
      <c r="AD33382"/>
    </row>
    <row r="33383" spans="30:30" x14ac:dyDescent="0.25">
      <c r="AD33383"/>
    </row>
    <row r="33384" spans="30:30" x14ac:dyDescent="0.25">
      <c r="AD33384"/>
    </row>
    <row r="33385" spans="30:30" x14ac:dyDescent="0.25">
      <c r="AD33385"/>
    </row>
    <row r="33386" spans="30:30" x14ac:dyDescent="0.25">
      <c r="AD33386"/>
    </row>
    <row r="33387" spans="30:30" x14ac:dyDescent="0.25">
      <c r="AD33387"/>
    </row>
    <row r="33388" spans="30:30" x14ac:dyDescent="0.25">
      <c r="AD33388"/>
    </row>
    <row r="33389" spans="30:30" x14ac:dyDescent="0.25">
      <c r="AD33389"/>
    </row>
    <row r="33390" spans="30:30" x14ac:dyDescent="0.25">
      <c r="AD33390"/>
    </row>
    <row r="33391" spans="30:30" x14ac:dyDescent="0.25">
      <c r="AD33391"/>
    </row>
    <row r="33392" spans="30:30" x14ac:dyDescent="0.25">
      <c r="AD33392"/>
    </row>
    <row r="33393" spans="30:30" x14ac:dyDescent="0.25">
      <c r="AD33393"/>
    </row>
    <row r="33394" spans="30:30" x14ac:dyDescent="0.25">
      <c r="AD33394"/>
    </row>
    <row r="33395" spans="30:30" x14ac:dyDescent="0.25">
      <c r="AD33395"/>
    </row>
    <row r="33396" spans="30:30" x14ac:dyDescent="0.25">
      <c r="AD33396"/>
    </row>
    <row r="33397" spans="30:30" x14ac:dyDescent="0.25">
      <c r="AD33397"/>
    </row>
    <row r="33398" spans="30:30" x14ac:dyDescent="0.25">
      <c r="AD33398"/>
    </row>
    <row r="33399" spans="30:30" x14ac:dyDescent="0.25">
      <c r="AD33399"/>
    </row>
    <row r="33400" spans="30:30" x14ac:dyDescent="0.25">
      <c r="AD33400"/>
    </row>
    <row r="33401" spans="30:30" x14ac:dyDescent="0.25">
      <c r="AD33401"/>
    </row>
    <row r="33402" spans="30:30" x14ac:dyDescent="0.25">
      <c r="AD33402"/>
    </row>
    <row r="33403" spans="30:30" x14ac:dyDescent="0.25">
      <c r="AD33403"/>
    </row>
    <row r="33404" spans="30:30" x14ac:dyDescent="0.25">
      <c r="AD33404"/>
    </row>
    <row r="33405" spans="30:30" x14ac:dyDescent="0.25">
      <c r="AD33405"/>
    </row>
    <row r="33406" spans="30:30" x14ac:dyDescent="0.25">
      <c r="AD33406"/>
    </row>
    <row r="33407" spans="30:30" x14ac:dyDescent="0.25">
      <c r="AD33407"/>
    </row>
    <row r="33408" spans="30:30" x14ac:dyDescent="0.25">
      <c r="AD33408"/>
    </row>
    <row r="33409" spans="30:30" x14ac:dyDescent="0.25">
      <c r="AD33409"/>
    </row>
    <row r="33410" spans="30:30" x14ac:dyDescent="0.25">
      <c r="AD33410"/>
    </row>
    <row r="33411" spans="30:30" x14ac:dyDescent="0.25">
      <c r="AD33411"/>
    </row>
    <row r="33412" spans="30:30" x14ac:dyDescent="0.25">
      <c r="AD33412"/>
    </row>
    <row r="33413" spans="30:30" x14ac:dyDescent="0.25">
      <c r="AD33413"/>
    </row>
    <row r="33414" spans="30:30" x14ac:dyDescent="0.25">
      <c r="AD33414"/>
    </row>
    <row r="33415" spans="30:30" x14ac:dyDescent="0.25">
      <c r="AD33415"/>
    </row>
    <row r="33416" spans="30:30" x14ac:dyDescent="0.25">
      <c r="AD33416"/>
    </row>
    <row r="33417" spans="30:30" x14ac:dyDescent="0.25">
      <c r="AD33417"/>
    </row>
    <row r="33418" spans="30:30" x14ac:dyDescent="0.25">
      <c r="AD33418"/>
    </row>
    <row r="33419" spans="30:30" x14ac:dyDescent="0.25">
      <c r="AD33419"/>
    </row>
    <row r="33420" spans="30:30" x14ac:dyDescent="0.25">
      <c r="AD33420"/>
    </row>
    <row r="33421" spans="30:30" x14ac:dyDescent="0.25">
      <c r="AD33421"/>
    </row>
    <row r="33422" spans="30:30" x14ac:dyDescent="0.25">
      <c r="AD33422"/>
    </row>
    <row r="33423" spans="30:30" x14ac:dyDescent="0.25">
      <c r="AD33423"/>
    </row>
    <row r="33424" spans="30:30" x14ac:dyDescent="0.25">
      <c r="AD33424"/>
    </row>
    <row r="33425" spans="30:30" x14ac:dyDescent="0.25">
      <c r="AD33425"/>
    </row>
    <row r="33426" spans="30:30" x14ac:dyDescent="0.25">
      <c r="AD33426"/>
    </row>
    <row r="33427" spans="30:30" x14ac:dyDescent="0.25">
      <c r="AD33427"/>
    </row>
    <row r="33428" spans="30:30" x14ac:dyDescent="0.25">
      <c r="AD33428"/>
    </row>
    <row r="33429" spans="30:30" x14ac:dyDescent="0.25">
      <c r="AD33429"/>
    </row>
    <row r="33430" spans="30:30" x14ac:dyDescent="0.25">
      <c r="AD33430"/>
    </row>
    <row r="33431" spans="30:30" x14ac:dyDescent="0.25">
      <c r="AD33431"/>
    </row>
    <row r="33432" spans="30:30" x14ac:dyDescent="0.25">
      <c r="AD33432"/>
    </row>
    <row r="33433" spans="30:30" x14ac:dyDescent="0.25">
      <c r="AD33433"/>
    </row>
    <row r="33434" spans="30:30" x14ac:dyDescent="0.25">
      <c r="AD33434"/>
    </row>
    <row r="33435" spans="30:30" x14ac:dyDescent="0.25">
      <c r="AD33435"/>
    </row>
    <row r="33436" spans="30:30" x14ac:dyDescent="0.25">
      <c r="AD33436"/>
    </row>
    <row r="33437" spans="30:30" x14ac:dyDescent="0.25">
      <c r="AD33437"/>
    </row>
    <row r="33438" spans="30:30" x14ac:dyDescent="0.25">
      <c r="AD33438"/>
    </row>
    <row r="33439" spans="30:30" x14ac:dyDescent="0.25">
      <c r="AD33439"/>
    </row>
    <row r="33440" spans="30:30" x14ac:dyDescent="0.25">
      <c r="AD33440"/>
    </row>
    <row r="33441" spans="30:30" x14ac:dyDescent="0.25">
      <c r="AD33441"/>
    </row>
    <row r="33442" spans="30:30" x14ac:dyDescent="0.25">
      <c r="AD33442"/>
    </row>
    <row r="33443" spans="30:30" x14ac:dyDescent="0.25">
      <c r="AD33443"/>
    </row>
    <row r="33444" spans="30:30" x14ac:dyDescent="0.25">
      <c r="AD33444"/>
    </row>
    <row r="33445" spans="30:30" x14ac:dyDescent="0.25">
      <c r="AD33445"/>
    </row>
    <row r="33446" spans="30:30" x14ac:dyDescent="0.25">
      <c r="AD33446"/>
    </row>
    <row r="33447" spans="30:30" x14ac:dyDescent="0.25">
      <c r="AD33447"/>
    </row>
    <row r="33448" spans="30:30" x14ac:dyDescent="0.25">
      <c r="AD33448"/>
    </row>
    <row r="33449" spans="30:30" x14ac:dyDescent="0.25">
      <c r="AD33449"/>
    </row>
    <row r="33450" spans="30:30" x14ac:dyDescent="0.25">
      <c r="AD33450"/>
    </row>
    <row r="33451" spans="30:30" x14ac:dyDescent="0.25">
      <c r="AD33451"/>
    </row>
    <row r="33452" spans="30:30" x14ac:dyDescent="0.25">
      <c r="AD33452"/>
    </row>
    <row r="33453" spans="30:30" x14ac:dyDescent="0.25">
      <c r="AD33453"/>
    </row>
    <row r="33454" spans="30:30" x14ac:dyDescent="0.25">
      <c r="AD33454"/>
    </row>
    <row r="33455" spans="30:30" x14ac:dyDescent="0.25">
      <c r="AD33455"/>
    </row>
    <row r="33456" spans="30:30" x14ac:dyDescent="0.25">
      <c r="AD33456"/>
    </row>
    <row r="33457" spans="30:30" x14ac:dyDescent="0.25">
      <c r="AD33457"/>
    </row>
    <row r="33458" spans="30:30" x14ac:dyDescent="0.25">
      <c r="AD33458"/>
    </row>
    <row r="33459" spans="30:30" x14ac:dyDescent="0.25">
      <c r="AD33459"/>
    </row>
    <row r="33460" spans="30:30" x14ac:dyDescent="0.25">
      <c r="AD33460"/>
    </row>
    <row r="33461" spans="30:30" x14ac:dyDescent="0.25">
      <c r="AD33461"/>
    </row>
    <row r="33462" spans="30:30" x14ac:dyDescent="0.25">
      <c r="AD33462"/>
    </row>
    <row r="33463" spans="30:30" x14ac:dyDescent="0.25">
      <c r="AD33463"/>
    </row>
    <row r="33464" spans="30:30" x14ac:dyDescent="0.25">
      <c r="AD33464"/>
    </row>
    <row r="33465" spans="30:30" x14ac:dyDescent="0.25">
      <c r="AD33465"/>
    </row>
    <row r="33466" spans="30:30" x14ac:dyDescent="0.25">
      <c r="AD33466"/>
    </row>
    <row r="33467" spans="30:30" x14ac:dyDescent="0.25">
      <c r="AD33467"/>
    </row>
    <row r="33468" spans="30:30" x14ac:dyDescent="0.25">
      <c r="AD33468"/>
    </row>
    <row r="33469" spans="30:30" x14ac:dyDescent="0.25">
      <c r="AD33469"/>
    </row>
    <row r="33470" spans="30:30" x14ac:dyDescent="0.25">
      <c r="AD33470"/>
    </row>
    <row r="33471" spans="30:30" x14ac:dyDescent="0.25">
      <c r="AD33471"/>
    </row>
    <row r="33472" spans="30:30" x14ac:dyDescent="0.25">
      <c r="AD33472"/>
    </row>
    <row r="33473" spans="30:30" x14ac:dyDescent="0.25">
      <c r="AD33473"/>
    </row>
    <row r="33474" spans="30:30" x14ac:dyDescent="0.25">
      <c r="AD33474"/>
    </row>
    <row r="33475" spans="30:30" x14ac:dyDescent="0.25">
      <c r="AD33475"/>
    </row>
    <row r="33476" spans="30:30" x14ac:dyDescent="0.25">
      <c r="AD33476"/>
    </row>
    <row r="33477" spans="30:30" x14ac:dyDescent="0.25">
      <c r="AD33477"/>
    </row>
    <row r="33478" spans="30:30" x14ac:dyDescent="0.25">
      <c r="AD33478"/>
    </row>
    <row r="33479" spans="30:30" x14ac:dyDescent="0.25">
      <c r="AD33479"/>
    </row>
    <row r="33480" spans="30:30" x14ac:dyDescent="0.25">
      <c r="AD33480"/>
    </row>
    <row r="33481" spans="30:30" x14ac:dyDescent="0.25">
      <c r="AD33481"/>
    </row>
    <row r="33482" spans="30:30" x14ac:dyDescent="0.25">
      <c r="AD33482"/>
    </row>
    <row r="33483" spans="30:30" x14ac:dyDescent="0.25">
      <c r="AD33483"/>
    </row>
    <row r="33484" spans="30:30" x14ac:dyDescent="0.25">
      <c r="AD33484"/>
    </row>
    <row r="33485" spans="30:30" x14ac:dyDescent="0.25">
      <c r="AD33485"/>
    </row>
    <row r="33486" spans="30:30" x14ac:dyDescent="0.25">
      <c r="AD33486"/>
    </row>
    <row r="33487" spans="30:30" x14ac:dyDescent="0.25">
      <c r="AD33487"/>
    </row>
    <row r="33488" spans="30:30" x14ac:dyDescent="0.25">
      <c r="AD33488"/>
    </row>
    <row r="33489" spans="30:30" x14ac:dyDescent="0.25">
      <c r="AD33489"/>
    </row>
    <row r="33490" spans="30:30" x14ac:dyDescent="0.25">
      <c r="AD33490"/>
    </row>
    <row r="33491" spans="30:30" x14ac:dyDescent="0.25">
      <c r="AD33491"/>
    </row>
    <row r="33492" spans="30:30" x14ac:dyDescent="0.25">
      <c r="AD33492"/>
    </row>
    <row r="33493" spans="30:30" x14ac:dyDescent="0.25">
      <c r="AD33493"/>
    </row>
    <row r="33494" spans="30:30" x14ac:dyDescent="0.25">
      <c r="AD33494"/>
    </row>
    <row r="33495" spans="30:30" x14ac:dyDescent="0.25">
      <c r="AD33495"/>
    </row>
    <row r="33496" spans="30:30" x14ac:dyDescent="0.25">
      <c r="AD33496"/>
    </row>
    <row r="33497" spans="30:30" x14ac:dyDescent="0.25">
      <c r="AD33497"/>
    </row>
    <row r="33498" spans="30:30" x14ac:dyDescent="0.25">
      <c r="AD33498"/>
    </row>
    <row r="33499" spans="30:30" x14ac:dyDescent="0.25">
      <c r="AD33499"/>
    </row>
    <row r="33500" spans="30:30" x14ac:dyDescent="0.25">
      <c r="AD33500"/>
    </row>
    <row r="33501" spans="30:30" x14ac:dyDescent="0.25">
      <c r="AD33501"/>
    </row>
    <row r="33502" spans="30:30" x14ac:dyDescent="0.25">
      <c r="AD33502"/>
    </row>
    <row r="33503" spans="30:30" x14ac:dyDescent="0.25">
      <c r="AD33503"/>
    </row>
    <row r="33504" spans="30:30" x14ac:dyDescent="0.25">
      <c r="AD33504"/>
    </row>
    <row r="33505" spans="30:30" x14ac:dyDescent="0.25">
      <c r="AD33505"/>
    </row>
    <row r="33506" spans="30:30" x14ac:dyDescent="0.25">
      <c r="AD33506"/>
    </row>
    <row r="33507" spans="30:30" x14ac:dyDescent="0.25">
      <c r="AD33507"/>
    </row>
    <row r="33508" spans="30:30" x14ac:dyDescent="0.25">
      <c r="AD33508"/>
    </row>
    <row r="33509" spans="30:30" x14ac:dyDescent="0.25">
      <c r="AD33509"/>
    </row>
    <row r="33510" spans="30:30" x14ac:dyDescent="0.25">
      <c r="AD33510"/>
    </row>
    <row r="33511" spans="30:30" x14ac:dyDescent="0.25">
      <c r="AD33511"/>
    </row>
    <row r="33512" spans="30:30" x14ac:dyDescent="0.25">
      <c r="AD33512"/>
    </row>
    <row r="33513" spans="30:30" x14ac:dyDescent="0.25">
      <c r="AD33513"/>
    </row>
    <row r="33514" spans="30:30" x14ac:dyDescent="0.25">
      <c r="AD33514"/>
    </row>
    <row r="33515" spans="30:30" x14ac:dyDescent="0.25">
      <c r="AD33515"/>
    </row>
    <row r="33516" spans="30:30" x14ac:dyDescent="0.25">
      <c r="AD33516"/>
    </row>
    <row r="33517" spans="30:30" x14ac:dyDescent="0.25">
      <c r="AD33517"/>
    </row>
    <row r="33518" spans="30:30" x14ac:dyDescent="0.25">
      <c r="AD33518"/>
    </row>
    <row r="33519" spans="30:30" x14ac:dyDescent="0.25">
      <c r="AD33519"/>
    </row>
    <row r="33520" spans="30:30" x14ac:dyDescent="0.25">
      <c r="AD33520"/>
    </row>
    <row r="33521" spans="30:30" x14ac:dyDescent="0.25">
      <c r="AD33521"/>
    </row>
    <row r="33522" spans="30:30" x14ac:dyDescent="0.25">
      <c r="AD33522"/>
    </row>
    <row r="33523" spans="30:30" x14ac:dyDescent="0.25">
      <c r="AD33523"/>
    </row>
    <row r="33524" spans="30:30" x14ac:dyDescent="0.25">
      <c r="AD33524"/>
    </row>
    <row r="33525" spans="30:30" x14ac:dyDescent="0.25">
      <c r="AD33525"/>
    </row>
    <row r="33526" spans="30:30" x14ac:dyDescent="0.25">
      <c r="AD33526"/>
    </row>
    <row r="33527" spans="30:30" x14ac:dyDescent="0.25">
      <c r="AD33527"/>
    </row>
    <row r="33528" spans="30:30" x14ac:dyDescent="0.25">
      <c r="AD33528"/>
    </row>
    <row r="33529" spans="30:30" x14ac:dyDescent="0.25">
      <c r="AD33529"/>
    </row>
    <row r="33530" spans="30:30" x14ac:dyDescent="0.25">
      <c r="AD33530"/>
    </row>
    <row r="33531" spans="30:30" x14ac:dyDescent="0.25">
      <c r="AD33531"/>
    </row>
    <row r="33532" spans="30:30" x14ac:dyDescent="0.25">
      <c r="AD33532"/>
    </row>
    <row r="33533" spans="30:30" x14ac:dyDescent="0.25">
      <c r="AD33533"/>
    </row>
    <row r="33534" spans="30:30" x14ac:dyDescent="0.25">
      <c r="AD33534"/>
    </row>
    <row r="33535" spans="30:30" x14ac:dyDescent="0.25">
      <c r="AD33535"/>
    </row>
    <row r="33536" spans="30:30" x14ac:dyDescent="0.25">
      <c r="AD33536"/>
    </row>
    <row r="33537" spans="30:30" x14ac:dyDescent="0.25">
      <c r="AD33537"/>
    </row>
    <row r="33538" spans="30:30" x14ac:dyDescent="0.25">
      <c r="AD33538"/>
    </row>
    <row r="33539" spans="30:30" x14ac:dyDescent="0.25">
      <c r="AD33539"/>
    </row>
    <row r="33540" spans="30:30" x14ac:dyDescent="0.25">
      <c r="AD33540"/>
    </row>
    <row r="33541" spans="30:30" x14ac:dyDescent="0.25">
      <c r="AD33541"/>
    </row>
    <row r="33542" spans="30:30" x14ac:dyDescent="0.25">
      <c r="AD33542"/>
    </row>
    <row r="33543" spans="30:30" x14ac:dyDescent="0.25">
      <c r="AD33543"/>
    </row>
    <row r="33544" spans="30:30" x14ac:dyDescent="0.25">
      <c r="AD33544"/>
    </row>
    <row r="33545" spans="30:30" x14ac:dyDescent="0.25">
      <c r="AD33545"/>
    </row>
    <row r="33546" spans="30:30" x14ac:dyDescent="0.25">
      <c r="AD33546"/>
    </row>
    <row r="33547" spans="30:30" x14ac:dyDescent="0.25">
      <c r="AD33547"/>
    </row>
    <row r="33548" spans="30:30" x14ac:dyDescent="0.25">
      <c r="AD33548"/>
    </row>
    <row r="33549" spans="30:30" x14ac:dyDescent="0.25">
      <c r="AD33549"/>
    </row>
    <row r="33550" spans="30:30" x14ac:dyDescent="0.25">
      <c r="AD33550"/>
    </row>
    <row r="33551" spans="30:30" x14ac:dyDescent="0.25">
      <c r="AD33551"/>
    </row>
    <row r="33552" spans="30:30" x14ac:dyDescent="0.25">
      <c r="AD33552"/>
    </row>
    <row r="33553" spans="30:30" x14ac:dyDescent="0.25">
      <c r="AD33553"/>
    </row>
    <row r="33554" spans="30:30" x14ac:dyDescent="0.25">
      <c r="AD33554"/>
    </row>
    <row r="33555" spans="30:30" x14ac:dyDescent="0.25">
      <c r="AD33555"/>
    </row>
    <row r="33556" spans="30:30" x14ac:dyDescent="0.25">
      <c r="AD33556"/>
    </row>
    <row r="33557" spans="30:30" x14ac:dyDescent="0.25">
      <c r="AD33557"/>
    </row>
    <row r="33558" spans="30:30" x14ac:dyDescent="0.25">
      <c r="AD33558"/>
    </row>
    <row r="33559" spans="30:30" x14ac:dyDescent="0.25">
      <c r="AD33559"/>
    </row>
    <row r="33560" spans="30:30" x14ac:dyDescent="0.25">
      <c r="AD33560"/>
    </row>
    <row r="33561" spans="30:30" x14ac:dyDescent="0.25">
      <c r="AD33561"/>
    </row>
    <row r="33562" spans="30:30" x14ac:dyDescent="0.25">
      <c r="AD33562"/>
    </row>
    <row r="33563" spans="30:30" x14ac:dyDescent="0.25">
      <c r="AD33563"/>
    </row>
    <row r="33564" spans="30:30" x14ac:dyDescent="0.25">
      <c r="AD33564"/>
    </row>
    <row r="33565" spans="30:30" x14ac:dyDescent="0.25">
      <c r="AD33565"/>
    </row>
    <row r="33566" spans="30:30" x14ac:dyDescent="0.25">
      <c r="AD33566"/>
    </row>
    <row r="33567" spans="30:30" x14ac:dyDescent="0.25">
      <c r="AD33567"/>
    </row>
    <row r="33568" spans="30:30" x14ac:dyDescent="0.25">
      <c r="AD33568"/>
    </row>
    <row r="33569" spans="30:30" x14ac:dyDescent="0.25">
      <c r="AD33569"/>
    </row>
    <row r="33570" spans="30:30" x14ac:dyDescent="0.25">
      <c r="AD33570"/>
    </row>
    <row r="33571" spans="30:30" x14ac:dyDescent="0.25">
      <c r="AD33571"/>
    </row>
    <row r="33572" spans="30:30" x14ac:dyDescent="0.25">
      <c r="AD33572"/>
    </row>
    <row r="33573" spans="30:30" x14ac:dyDescent="0.25">
      <c r="AD33573"/>
    </row>
    <row r="33574" spans="30:30" x14ac:dyDescent="0.25">
      <c r="AD33574"/>
    </row>
    <row r="33575" spans="30:30" x14ac:dyDescent="0.25">
      <c r="AD33575"/>
    </row>
    <row r="33576" spans="30:30" x14ac:dyDescent="0.25">
      <c r="AD33576"/>
    </row>
    <row r="33577" spans="30:30" x14ac:dyDescent="0.25">
      <c r="AD33577"/>
    </row>
    <row r="33578" spans="30:30" x14ac:dyDescent="0.25">
      <c r="AD33578"/>
    </row>
    <row r="33579" spans="30:30" x14ac:dyDescent="0.25">
      <c r="AD33579"/>
    </row>
    <row r="33580" spans="30:30" x14ac:dyDescent="0.25">
      <c r="AD33580"/>
    </row>
    <row r="33581" spans="30:30" x14ac:dyDescent="0.25">
      <c r="AD33581"/>
    </row>
    <row r="33582" spans="30:30" x14ac:dyDescent="0.25">
      <c r="AD33582"/>
    </row>
    <row r="33583" spans="30:30" x14ac:dyDescent="0.25">
      <c r="AD33583"/>
    </row>
    <row r="33584" spans="30:30" x14ac:dyDescent="0.25">
      <c r="AD33584"/>
    </row>
    <row r="33585" spans="30:30" x14ac:dyDescent="0.25">
      <c r="AD33585"/>
    </row>
    <row r="33586" spans="30:30" x14ac:dyDescent="0.25">
      <c r="AD33586"/>
    </row>
    <row r="33587" spans="30:30" x14ac:dyDescent="0.25">
      <c r="AD33587"/>
    </row>
    <row r="33588" spans="30:30" x14ac:dyDescent="0.25">
      <c r="AD33588"/>
    </row>
    <row r="33589" spans="30:30" x14ac:dyDescent="0.25">
      <c r="AD33589"/>
    </row>
    <row r="33590" spans="30:30" x14ac:dyDescent="0.25">
      <c r="AD33590"/>
    </row>
    <row r="33591" spans="30:30" x14ac:dyDescent="0.25">
      <c r="AD33591"/>
    </row>
    <row r="33592" spans="30:30" x14ac:dyDescent="0.25">
      <c r="AD33592"/>
    </row>
    <row r="33593" spans="30:30" x14ac:dyDescent="0.25">
      <c r="AD33593"/>
    </row>
    <row r="33594" spans="30:30" x14ac:dyDescent="0.25">
      <c r="AD33594"/>
    </row>
    <row r="33595" spans="30:30" x14ac:dyDescent="0.25">
      <c r="AD33595"/>
    </row>
    <row r="33596" spans="30:30" x14ac:dyDescent="0.25">
      <c r="AD33596"/>
    </row>
    <row r="33597" spans="30:30" x14ac:dyDescent="0.25">
      <c r="AD33597"/>
    </row>
    <row r="33598" spans="30:30" x14ac:dyDescent="0.25">
      <c r="AD33598"/>
    </row>
    <row r="33599" spans="30:30" x14ac:dyDescent="0.25">
      <c r="AD33599"/>
    </row>
    <row r="33600" spans="30:30" x14ac:dyDescent="0.25">
      <c r="AD33600"/>
    </row>
    <row r="33601" spans="30:30" x14ac:dyDescent="0.25">
      <c r="AD33601"/>
    </row>
    <row r="33602" spans="30:30" x14ac:dyDescent="0.25">
      <c r="AD33602"/>
    </row>
    <row r="33603" spans="30:30" x14ac:dyDescent="0.25">
      <c r="AD33603"/>
    </row>
    <row r="33604" spans="30:30" x14ac:dyDescent="0.25">
      <c r="AD33604"/>
    </row>
    <row r="33605" spans="30:30" x14ac:dyDescent="0.25">
      <c r="AD33605"/>
    </row>
    <row r="33606" spans="30:30" x14ac:dyDescent="0.25">
      <c r="AD33606"/>
    </row>
    <row r="33607" spans="30:30" x14ac:dyDescent="0.25">
      <c r="AD33607"/>
    </row>
    <row r="33608" spans="30:30" x14ac:dyDescent="0.25">
      <c r="AD33608"/>
    </row>
    <row r="33609" spans="30:30" x14ac:dyDescent="0.25">
      <c r="AD33609"/>
    </row>
    <row r="33610" spans="30:30" x14ac:dyDescent="0.25">
      <c r="AD33610"/>
    </row>
    <row r="33611" spans="30:30" x14ac:dyDescent="0.25">
      <c r="AD33611"/>
    </row>
    <row r="33612" spans="30:30" x14ac:dyDescent="0.25">
      <c r="AD33612"/>
    </row>
    <row r="33613" spans="30:30" x14ac:dyDescent="0.25">
      <c r="AD33613"/>
    </row>
    <row r="33614" spans="30:30" x14ac:dyDescent="0.25">
      <c r="AD33614"/>
    </row>
    <row r="33615" spans="30:30" x14ac:dyDescent="0.25">
      <c r="AD33615"/>
    </row>
    <row r="33616" spans="30:30" x14ac:dyDescent="0.25">
      <c r="AD33616"/>
    </row>
    <row r="33617" spans="30:30" x14ac:dyDescent="0.25">
      <c r="AD33617"/>
    </row>
    <row r="33618" spans="30:30" x14ac:dyDescent="0.25">
      <c r="AD33618"/>
    </row>
    <row r="33619" spans="30:30" x14ac:dyDescent="0.25">
      <c r="AD33619"/>
    </row>
    <row r="33620" spans="30:30" x14ac:dyDescent="0.25">
      <c r="AD33620"/>
    </row>
    <row r="33621" spans="30:30" x14ac:dyDescent="0.25">
      <c r="AD33621"/>
    </row>
    <row r="33622" spans="30:30" x14ac:dyDescent="0.25">
      <c r="AD33622"/>
    </row>
    <row r="33623" spans="30:30" x14ac:dyDescent="0.25">
      <c r="AD33623"/>
    </row>
    <row r="33624" spans="30:30" x14ac:dyDescent="0.25">
      <c r="AD33624"/>
    </row>
    <row r="33625" spans="30:30" x14ac:dyDescent="0.25">
      <c r="AD33625"/>
    </row>
    <row r="33626" spans="30:30" x14ac:dyDescent="0.25">
      <c r="AD33626"/>
    </row>
    <row r="33627" spans="30:30" x14ac:dyDescent="0.25">
      <c r="AD33627"/>
    </row>
    <row r="33628" spans="30:30" x14ac:dyDescent="0.25">
      <c r="AD33628"/>
    </row>
    <row r="33629" spans="30:30" x14ac:dyDescent="0.25">
      <c r="AD33629"/>
    </row>
    <row r="33630" spans="30:30" x14ac:dyDescent="0.25">
      <c r="AD33630"/>
    </row>
    <row r="33631" spans="30:30" x14ac:dyDescent="0.25">
      <c r="AD33631"/>
    </row>
    <row r="33632" spans="30:30" x14ac:dyDescent="0.25">
      <c r="AD33632"/>
    </row>
    <row r="33633" spans="30:30" x14ac:dyDescent="0.25">
      <c r="AD33633"/>
    </row>
    <row r="33634" spans="30:30" x14ac:dyDescent="0.25">
      <c r="AD33634"/>
    </row>
    <row r="33635" spans="30:30" x14ac:dyDescent="0.25">
      <c r="AD33635"/>
    </row>
    <row r="33636" spans="30:30" x14ac:dyDescent="0.25">
      <c r="AD33636"/>
    </row>
    <row r="33637" spans="30:30" x14ac:dyDescent="0.25">
      <c r="AD33637"/>
    </row>
    <row r="33638" spans="30:30" x14ac:dyDescent="0.25">
      <c r="AD33638"/>
    </row>
    <row r="33639" spans="30:30" x14ac:dyDescent="0.25">
      <c r="AD33639"/>
    </row>
    <row r="33640" spans="30:30" x14ac:dyDescent="0.25">
      <c r="AD33640"/>
    </row>
    <row r="33641" spans="30:30" x14ac:dyDescent="0.25">
      <c r="AD33641"/>
    </row>
    <row r="33642" spans="30:30" x14ac:dyDescent="0.25">
      <c r="AD33642"/>
    </row>
    <row r="33643" spans="30:30" x14ac:dyDescent="0.25">
      <c r="AD33643"/>
    </row>
    <row r="33644" spans="30:30" x14ac:dyDescent="0.25">
      <c r="AD33644"/>
    </row>
    <row r="33645" spans="30:30" x14ac:dyDescent="0.25">
      <c r="AD33645"/>
    </row>
    <row r="33646" spans="30:30" x14ac:dyDescent="0.25">
      <c r="AD33646"/>
    </row>
    <row r="33647" spans="30:30" x14ac:dyDescent="0.25">
      <c r="AD33647"/>
    </row>
    <row r="33648" spans="30:30" x14ac:dyDescent="0.25">
      <c r="AD33648"/>
    </row>
    <row r="33649" spans="30:30" x14ac:dyDescent="0.25">
      <c r="AD33649"/>
    </row>
    <row r="33650" spans="30:30" x14ac:dyDescent="0.25">
      <c r="AD33650"/>
    </row>
    <row r="33651" spans="30:30" x14ac:dyDescent="0.25">
      <c r="AD33651"/>
    </row>
    <row r="33652" spans="30:30" x14ac:dyDescent="0.25">
      <c r="AD33652"/>
    </row>
    <row r="33653" spans="30:30" x14ac:dyDescent="0.25">
      <c r="AD33653"/>
    </row>
    <row r="33654" spans="30:30" x14ac:dyDescent="0.25">
      <c r="AD33654"/>
    </row>
    <row r="33655" spans="30:30" x14ac:dyDescent="0.25">
      <c r="AD33655"/>
    </row>
    <row r="33656" spans="30:30" x14ac:dyDescent="0.25">
      <c r="AD33656"/>
    </row>
    <row r="33657" spans="30:30" x14ac:dyDescent="0.25">
      <c r="AD33657"/>
    </row>
    <row r="33658" spans="30:30" x14ac:dyDescent="0.25">
      <c r="AD33658"/>
    </row>
    <row r="33659" spans="30:30" x14ac:dyDescent="0.25">
      <c r="AD33659"/>
    </row>
    <row r="33660" spans="30:30" x14ac:dyDescent="0.25">
      <c r="AD33660"/>
    </row>
    <row r="33661" spans="30:30" x14ac:dyDescent="0.25">
      <c r="AD33661"/>
    </row>
    <row r="33662" spans="30:30" x14ac:dyDescent="0.25">
      <c r="AD33662"/>
    </row>
    <row r="33663" spans="30:30" x14ac:dyDescent="0.25">
      <c r="AD33663"/>
    </row>
    <row r="33664" spans="30:30" x14ac:dyDescent="0.25">
      <c r="AD33664"/>
    </row>
    <row r="33665" spans="30:30" x14ac:dyDescent="0.25">
      <c r="AD33665"/>
    </row>
    <row r="33666" spans="30:30" x14ac:dyDescent="0.25">
      <c r="AD33666"/>
    </row>
    <row r="33667" spans="30:30" x14ac:dyDescent="0.25">
      <c r="AD33667"/>
    </row>
    <row r="33668" spans="30:30" x14ac:dyDescent="0.25">
      <c r="AD33668"/>
    </row>
    <row r="33669" spans="30:30" x14ac:dyDescent="0.25">
      <c r="AD33669"/>
    </row>
    <row r="33670" spans="30:30" x14ac:dyDescent="0.25">
      <c r="AD33670"/>
    </row>
    <row r="33671" spans="30:30" x14ac:dyDescent="0.25">
      <c r="AD33671"/>
    </row>
    <row r="33672" spans="30:30" x14ac:dyDescent="0.25">
      <c r="AD33672"/>
    </row>
    <row r="33673" spans="30:30" x14ac:dyDescent="0.25">
      <c r="AD33673"/>
    </row>
    <row r="33674" spans="30:30" x14ac:dyDescent="0.25">
      <c r="AD33674"/>
    </row>
    <row r="33675" spans="30:30" x14ac:dyDescent="0.25">
      <c r="AD33675"/>
    </row>
    <row r="33676" spans="30:30" x14ac:dyDescent="0.25">
      <c r="AD33676"/>
    </row>
    <row r="33677" spans="30:30" x14ac:dyDescent="0.25">
      <c r="AD33677"/>
    </row>
    <row r="33678" spans="30:30" x14ac:dyDescent="0.25">
      <c r="AD33678"/>
    </row>
    <row r="33679" spans="30:30" x14ac:dyDescent="0.25">
      <c r="AD33679"/>
    </row>
    <row r="33680" spans="30:30" x14ac:dyDescent="0.25">
      <c r="AD33680"/>
    </row>
    <row r="33681" spans="30:30" x14ac:dyDescent="0.25">
      <c r="AD33681"/>
    </row>
    <row r="33682" spans="30:30" x14ac:dyDescent="0.25">
      <c r="AD33682"/>
    </row>
    <row r="33683" spans="30:30" x14ac:dyDescent="0.25">
      <c r="AD33683"/>
    </row>
    <row r="33684" spans="30:30" x14ac:dyDescent="0.25">
      <c r="AD33684"/>
    </row>
    <row r="33685" spans="30:30" x14ac:dyDescent="0.25">
      <c r="AD33685"/>
    </row>
    <row r="33686" spans="30:30" x14ac:dyDescent="0.25">
      <c r="AD33686"/>
    </row>
    <row r="33687" spans="30:30" x14ac:dyDescent="0.25">
      <c r="AD33687"/>
    </row>
    <row r="33688" spans="30:30" x14ac:dyDescent="0.25">
      <c r="AD33688"/>
    </row>
    <row r="33689" spans="30:30" x14ac:dyDescent="0.25">
      <c r="AD33689"/>
    </row>
    <row r="33690" spans="30:30" x14ac:dyDescent="0.25">
      <c r="AD33690"/>
    </row>
    <row r="33691" spans="30:30" x14ac:dyDescent="0.25">
      <c r="AD33691"/>
    </row>
    <row r="33692" spans="30:30" x14ac:dyDescent="0.25">
      <c r="AD33692"/>
    </row>
    <row r="33693" spans="30:30" x14ac:dyDescent="0.25">
      <c r="AD33693"/>
    </row>
    <row r="33694" spans="30:30" x14ac:dyDescent="0.25">
      <c r="AD33694"/>
    </row>
    <row r="33695" spans="30:30" x14ac:dyDescent="0.25">
      <c r="AD33695"/>
    </row>
    <row r="33696" spans="30:30" x14ac:dyDescent="0.25">
      <c r="AD33696"/>
    </row>
    <row r="33697" spans="30:30" x14ac:dyDescent="0.25">
      <c r="AD33697"/>
    </row>
    <row r="33698" spans="30:30" x14ac:dyDescent="0.25">
      <c r="AD33698"/>
    </row>
    <row r="33699" spans="30:30" x14ac:dyDescent="0.25">
      <c r="AD33699"/>
    </row>
    <row r="33700" spans="30:30" x14ac:dyDescent="0.25">
      <c r="AD33700"/>
    </row>
    <row r="33701" spans="30:30" x14ac:dyDescent="0.25">
      <c r="AD33701"/>
    </row>
    <row r="33702" spans="30:30" x14ac:dyDescent="0.25">
      <c r="AD33702"/>
    </row>
    <row r="33703" spans="30:30" x14ac:dyDescent="0.25">
      <c r="AD33703"/>
    </row>
    <row r="33704" spans="30:30" x14ac:dyDescent="0.25">
      <c r="AD33704"/>
    </row>
    <row r="33705" spans="30:30" x14ac:dyDescent="0.25">
      <c r="AD33705"/>
    </row>
    <row r="33706" spans="30:30" x14ac:dyDescent="0.25">
      <c r="AD33706"/>
    </row>
    <row r="33707" spans="30:30" x14ac:dyDescent="0.25">
      <c r="AD33707"/>
    </row>
    <row r="33708" spans="30:30" x14ac:dyDescent="0.25">
      <c r="AD33708"/>
    </row>
    <row r="33709" spans="30:30" x14ac:dyDescent="0.25">
      <c r="AD33709"/>
    </row>
    <row r="33710" spans="30:30" x14ac:dyDescent="0.25">
      <c r="AD33710"/>
    </row>
    <row r="33711" spans="30:30" x14ac:dyDescent="0.25">
      <c r="AD33711"/>
    </row>
    <row r="33712" spans="30:30" x14ac:dyDescent="0.25">
      <c r="AD33712"/>
    </row>
    <row r="33713" spans="30:30" x14ac:dyDescent="0.25">
      <c r="AD33713"/>
    </row>
    <row r="33714" spans="30:30" x14ac:dyDescent="0.25">
      <c r="AD33714"/>
    </row>
    <row r="33715" spans="30:30" x14ac:dyDescent="0.25">
      <c r="AD33715"/>
    </row>
    <row r="33716" spans="30:30" x14ac:dyDescent="0.25">
      <c r="AD33716"/>
    </row>
    <row r="33717" spans="30:30" x14ac:dyDescent="0.25">
      <c r="AD33717"/>
    </row>
    <row r="33718" spans="30:30" x14ac:dyDescent="0.25">
      <c r="AD33718"/>
    </row>
    <row r="33719" spans="30:30" x14ac:dyDescent="0.25">
      <c r="AD33719"/>
    </row>
    <row r="33720" spans="30:30" x14ac:dyDescent="0.25">
      <c r="AD33720"/>
    </row>
    <row r="33721" spans="30:30" x14ac:dyDescent="0.25">
      <c r="AD33721"/>
    </row>
    <row r="33722" spans="30:30" x14ac:dyDescent="0.25">
      <c r="AD33722"/>
    </row>
    <row r="33723" spans="30:30" x14ac:dyDescent="0.25">
      <c r="AD33723"/>
    </row>
    <row r="33724" spans="30:30" x14ac:dyDescent="0.25">
      <c r="AD33724"/>
    </row>
    <row r="33725" spans="30:30" x14ac:dyDescent="0.25">
      <c r="AD33725"/>
    </row>
    <row r="33726" spans="30:30" x14ac:dyDescent="0.25">
      <c r="AD33726"/>
    </row>
    <row r="33727" spans="30:30" x14ac:dyDescent="0.25">
      <c r="AD33727"/>
    </row>
    <row r="33728" spans="30:30" x14ac:dyDescent="0.25">
      <c r="AD33728"/>
    </row>
    <row r="33729" spans="30:30" x14ac:dyDescent="0.25">
      <c r="AD33729"/>
    </row>
    <row r="33730" spans="30:30" x14ac:dyDescent="0.25">
      <c r="AD33730"/>
    </row>
    <row r="33731" spans="30:30" x14ac:dyDescent="0.25">
      <c r="AD33731"/>
    </row>
    <row r="33732" spans="30:30" x14ac:dyDescent="0.25">
      <c r="AD33732"/>
    </row>
    <row r="33733" spans="30:30" x14ac:dyDescent="0.25">
      <c r="AD33733"/>
    </row>
    <row r="33734" spans="30:30" x14ac:dyDescent="0.25">
      <c r="AD33734"/>
    </row>
    <row r="33735" spans="30:30" x14ac:dyDescent="0.25">
      <c r="AD33735"/>
    </row>
    <row r="33736" spans="30:30" x14ac:dyDescent="0.25">
      <c r="AD33736"/>
    </row>
    <row r="33737" spans="30:30" x14ac:dyDescent="0.25">
      <c r="AD33737"/>
    </row>
    <row r="33738" spans="30:30" x14ac:dyDescent="0.25">
      <c r="AD33738"/>
    </row>
    <row r="33739" spans="30:30" x14ac:dyDescent="0.25">
      <c r="AD33739"/>
    </row>
    <row r="33740" spans="30:30" x14ac:dyDescent="0.25">
      <c r="AD33740"/>
    </row>
    <row r="33741" spans="30:30" x14ac:dyDescent="0.25">
      <c r="AD33741"/>
    </row>
    <row r="33742" spans="30:30" x14ac:dyDescent="0.25">
      <c r="AD33742"/>
    </row>
    <row r="33743" spans="30:30" x14ac:dyDescent="0.25">
      <c r="AD33743"/>
    </row>
    <row r="33744" spans="30:30" x14ac:dyDescent="0.25">
      <c r="AD33744"/>
    </row>
    <row r="33745" spans="30:30" x14ac:dyDescent="0.25">
      <c r="AD33745"/>
    </row>
    <row r="33746" spans="30:30" x14ac:dyDescent="0.25">
      <c r="AD33746"/>
    </row>
    <row r="33747" spans="30:30" x14ac:dyDescent="0.25">
      <c r="AD33747"/>
    </row>
    <row r="33748" spans="30:30" x14ac:dyDescent="0.25">
      <c r="AD33748"/>
    </row>
    <row r="33749" spans="30:30" x14ac:dyDescent="0.25">
      <c r="AD33749"/>
    </row>
    <row r="33750" spans="30:30" x14ac:dyDescent="0.25">
      <c r="AD33750"/>
    </row>
    <row r="33751" spans="30:30" x14ac:dyDescent="0.25">
      <c r="AD33751"/>
    </row>
    <row r="33752" spans="30:30" x14ac:dyDescent="0.25">
      <c r="AD33752"/>
    </row>
    <row r="33753" spans="30:30" x14ac:dyDescent="0.25">
      <c r="AD33753"/>
    </row>
    <row r="33754" spans="30:30" x14ac:dyDescent="0.25">
      <c r="AD33754"/>
    </row>
    <row r="33755" spans="30:30" x14ac:dyDescent="0.25">
      <c r="AD33755"/>
    </row>
    <row r="33756" spans="30:30" x14ac:dyDescent="0.25">
      <c r="AD33756"/>
    </row>
    <row r="33757" spans="30:30" x14ac:dyDescent="0.25">
      <c r="AD33757"/>
    </row>
    <row r="33758" spans="30:30" x14ac:dyDescent="0.25">
      <c r="AD33758"/>
    </row>
    <row r="33759" spans="30:30" x14ac:dyDescent="0.25">
      <c r="AD33759"/>
    </row>
    <row r="33760" spans="30:30" x14ac:dyDescent="0.25">
      <c r="AD33760"/>
    </row>
    <row r="33761" spans="30:30" x14ac:dyDescent="0.25">
      <c r="AD33761"/>
    </row>
    <row r="33762" spans="30:30" x14ac:dyDescent="0.25">
      <c r="AD33762"/>
    </row>
    <row r="33763" spans="30:30" x14ac:dyDescent="0.25">
      <c r="AD33763"/>
    </row>
    <row r="33764" spans="30:30" x14ac:dyDescent="0.25">
      <c r="AD33764"/>
    </row>
    <row r="33765" spans="30:30" x14ac:dyDescent="0.25">
      <c r="AD33765"/>
    </row>
    <row r="33766" spans="30:30" x14ac:dyDescent="0.25">
      <c r="AD33766"/>
    </row>
    <row r="33767" spans="30:30" x14ac:dyDescent="0.25">
      <c r="AD33767"/>
    </row>
    <row r="33768" spans="30:30" x14ac:dyDescent="0.25">
      <c r="AD33768"/>
    </row>
    <row r="33769" spans="30:30" x14ac:dyDescent="0.25">
      <c r="AD33769"/>
    </row>
    <row r="33770" spans="30:30" x14ac:dyDescent="0.25">
      <c r="AD33770"/>
    </row>
    <row r="33771" spans="30:30" x14ac:dyDescent="0.25">
      <c r="AD33771"/>
    </row>
    <row r="33772" spans="30:30" x14ac:dyDescent="0.25">
      <c r="AD33772"/>
    </row>
    <row r="33773" spans="30:30" x14ac:dyDescent="0.25">
      <c r="AD33773"/>
    </row>
    <row r="33774" spans="30:30" x14ac:dyDescent="0.25">
      <c r="AD33774"/>
    </row>
    <row r="33775" spans="30:30" x14ac:dyDescent="0.25">
      <c r="AD33775"/>
    </row>
    <row r="33776" spans="30:30" x14ac:dyDescent="0.25">
      <c r="AD33776"/>
    </row>
    <row r="33777" spans="30:30" x14ac:dyDescent="0.25">
      <c r="AD33777"/>
    </row>
    <row r="33778" spans="30:30" x14ac:dyDescent="0.25">
      <c r="AD33778"/>
    </row>
    <row r="33779" spans="30:30" x14ac:dyDescent="0.25">
      <c r="AD33779"/>
    </row>
    <row r="33780" spans="30:30" x14ac:dyDescent="0.25">
      <c r="AD33780"/>
    </row>
    <row r="33781" spans="30:30" x14ac:dyDescent="0.25">
      <c r="AD33781"/>
    </row>
    <row r="33782" spans="30:30" x14ac:dyDescent="0.25">
      <c r="AD33782"/>
    </row>
    <row r="33783" spans="30:30" x14ac:dyDescent="0.25">
      <c r="AD33783"/>
    </row>
    <row r="33784" spans="30:30" x14ac:dyDescent="0.25">
      <c r="AD33784"/>
    </row>
    <row r="33785" spans="30:30" x14ac:dyDescent="0.25">
      <c r="AD33785"/>
    </row>
    <row r="33786" spans="30:30" x14ac:dyDescent="0.25">
      <c r="AD33786"/>
    </row>
    <row r="33787" spans="30:30" x14ac:dyDescent="0.25">
      <c r="AD33787"/>
    </row>
    <row r="33788" spans="30:30" x14ac:dyDescent="0.25">
      <c r="AD33788"/>
    </row>
    <row r="33789" spans="30:30" x14ac:dyDescent="0.25">
      <c r="AD33789"/>
    </row>
    <row r="33790" spans="30:30" x14ac:dyDescent="0.25">
      <c r="AD33790"/>
    </row>
    <row r="33791" spans="30:30" x14ac:dyDescent="0.25">
      <c r="AD33791"/>
    </row>
    <row r="33792" spans="30:30" x14ac:dyDescent="0.25">
      <c r="AD33792"/>
    </row>
    <row r="33793" spans="30:30" x14ac:dyDescent="0.25">
      <c r="AD33793"/>
    </row>
    <row r="33794" spans="30:30" x14ac:dyDescent="0.25">
      <c r="AD33794"/>
    </row>
    <row r="33795" spans="30:30" x14ac:dyDescent="0.25">
      <c r="AD33795"/>
    </row>
    <row r="33796" spans="30:30" x14ac:dyDescent="0.25">
      <c r="AD33796"/>
    </row>
    <row r="33797" spans="30:30" x14ac:dyDescent="0.25">
      <c r="AD33797"/>
    </row>
    <row r="33798" spans="30:30" x14ac:dyDescent="0.25">
      <c r="AD33798"/>
    </row>
    <row r="33799" spans="30:30" x14ac:dyDescent="0.25">
      <c r="AD33799"/>
    </row>
    <row r="33800" spans="30:30" x14ac:dyDescent="0.25">
      <c r="AD33800"/>
    </row>
    <row r="33801" spans="30:30" x14ac:dyDescent="0.25">
      <c r="AD33801"/>
    </row>
    <row r="33802" spans="30:30" x14ac:dyDescent="0.25">
      <c r="AD33802"/>
    </row>
    <row r="33803" spans="30:30" x14ac:dyDescent="0.25">
      <c r="AD33803"/>
    </row>
    <row r="33804" spans="30:30" x14ac:dyDescent="0.25">
      <c r="AD33804"/>
    </row>
    <row r="33805" spans="30:30" x14ac:dyDescent="0.25">
      <c r="AD33805"/>
    </row>
    <row r="33806" spans="30:30" x14ac:dyDescent="0.25">
      <c r="AD33806"/>
    </row>
    <row r="33807" spans="30:30" x14ac:dyDescent="0.25">
      <c r="AD33807"/>
    </row>
    <row r="33808" spans="30:30" x14ac:dyDescent="0.25">
      <c r="AD33808"/>
    </row>
    <row r="33809" spans="30:30" x14ac:dyDescent="0.25">
      <c r="AD33809"/>
    </row>
    <row r="33810" spans="30:30" x14ac:dyDescent="0.25">
      <c r="AD33810"/>
    </row>
    <row r="33811" spans="30:30" x14ac:dyDescent="0.25">
      <c r="AD33811"/>
    </row>
    <row r="33812" spans="30:30" x14ac:dyDescent="0.25">
      <c r="AD33812"/>
    </row>
    <row r="33813" spans="30:30" x14ac:dyDescent="0.25">
      <c r="AD33813"/>
    </row>
    <row r="33814" spans="30:30" x14ac:dyDescent="0.25">
      <c r="AD33814"/>
    </row>
    <row r="33815" spans="30:30" x14ac:dyDescent="0.25">
      <c r="AD33815"/>
    </row>
    <row r="33816" spans="30:30" x14ac:dyDescent="0.25">
      <c r="AD33816"/>
    </row>
    <row r="33817" spans="30:30" x14ac:dyDescent="0.25">
      <c r="AD33817"/>
    </row>
    <row r="33818" spans="30:30" x14ac:dyDescent="0.25">
      <c r="AD33818"/>
    </row>
    <row r="33819" spans="30:30" x14ac:dyDescent="0.25">
      <c r="AD33819"/>
    </row>
    <row r="33820" spans="30:30" x14ac:dyDescent="0.25">
      <c r="AD33820"/>
    </row>
    <row r="33821" spans="30:30" x14ac:dyDescent="0.25">
      <c r="AD33821"/>
    </row>
    <row r="33822" spans="30:30" x14ac:dyDescent="0.25">
      <c r="AD33822"/>
    </row>
    <row r="33823" spans="30:30" x14ac:dyDescent="0.25">
      <c r="AD33823"/>
    </row>
    <row r="33824" spans="30:30" x14ac:dyDescent="0.25">
      <c r="AD33824"/>
    </row>
    <row r="33825" spans="30:30" x14ac:dyDescent="0.25">
      <c r="AD33825"/>
    </row>
    <row r="33826" spans="30:30" x14ac:dyDescent="0.25">
      <c r="AD33826"/>
    </row>
    <row r="33827" spans="30:30" x14ac:dyDescent="0.25">
      <c r="AD33827"/>
    </row>
    <row r="33828" spans="30:30" x14ac:dyDescent="0.25">
      <c r="AD33828"/>
    </row>
    <row r="33829" spans="30:30" x14ac:dyDescent="0.25">
      <c r="AD33829"/>
    </row>
    <row r="33830" spans="30:30" x14ac:dyDescent="0.25">
      <c r="AD33830"/>
    </row>
    <row r="33831" spans="30:30" x14ac:dyDescent="0.25">
      <c r="AD33831"/>
    </row>
    <row r="33832" spans="30:30" x14ac:dyDescent="0.25">
      <c r="AD33832"/>
    </row>
    <row r="33833" spans="30:30" x14ac:dyDescent="0.25">
      <c r="AD33833"/>
    </row>
    <row r="33834" spans="30:30" x14ac:dyDescent="0.25">
      <c r="AD33834"/>
    </row>
    <row r="33835" spans="30:30" x14ac:dyDescent="0.25">
      <c r="AD33835"/>
    </row>
    <row r="33836" spans="30:30" x14ac:dyDescent="0.25">
      <c r="AD33836"/>
    </row>
    <row r="33837" spans="30:30" x14ac:dyDescent="0.25">
      <c r="AD33837"/>
    </row>
    <row r="33838" spans="30:30" x14ac:dyDescent="0.25">
      <c r="AD33838"/>
    </row>
    <row r="33839" spans="30:30" x14ac:dyDescent="0.25">
      <c r="AD33839"/>
    </row>
    <row r="33840" spans="30:30" x14ac:dyDescent="0.25">
      <c r="AD33840"/>
    </row>
    <row r="33841" spans="30:30" x14ac:dyDescent="0.25">
      <c r="AD33841"/>
    </row>
    <row r="33842" spans="30:30" x14ac:dyDescent="0.25">
      <c r="AD33842"/>
    </row>
    <row r="33843" spans="30:30" x14ac:dyDescent="0.25">
      <c r="AD33843"/>
    </row>
    <row r="33844" spans="30:30" x14ac:dyDescent="0.25">
      <c r="AD33844"/>
    </row>
    <row r="33845" spans="30:30" x14ac:dyDescent="0.25">
      <c r="AD33845"/>
    </row>
    <row r="33846" spans="30:30" x14ac:dyDescent="0.25">
      <c r="AD33846"/>
    </row>
    <row r="33847" spans="30:30" x14ac:dyDescent="0.25">
      <c r="AD33847"/>
    </row>
    <row r="33848" spans="30:30" x14ac:dyDescent="0.25">
      <c r="AD33848"/>
    </row>
    <row r="33849" spans="30:30" x14ac:dyDescent="0.25">
      <c r="AD33849"/>
    </row>
    <row r="33850" spans="30:30" x14ac:dyDescent="0.25">
      <c r="AD33850"/>
    </row>
    <row r="33851" spans="30:30" x14ac:dyDescent="0.25">
      <c r="AD33851"/>
    </row>
    <row r="33852" spans="30:30" x14ac:dyDescent="0.25">
      <c r="AD33852"/>
    </row>
    <row r="33853" spans="30:30" x14ac:dyDescent="0.25">
      <c r="AD33853"/>
    </row>
    <row r="33854" spans="30:30" x14ac:dyDescent="0.25">
      <c r="AD33854"/>
    </row>
    <row r="33855" spans="30:30" x14ac:dyDescent="0.25">
      <c r="AD33855"/>
    </row>
    <row r="33856" spans="30:30" x14ac:dyDescent="0.25">
      <c r="AD33856"/>
    </row>
    <row r="33857" spans="30:30" x14ac:dyDescent="0.25">
      <c r="AD33857"/>
    </row>
    <row r="33858" spans="30:30" x14ac:dyDescent="0.25">
      <c r="AD33858"/>
    </row>
    <row r="33859" spans="30:30" x14ac:dyDescent="0.25">
      <c r="AD33859"/>
    </row>
    <row r="33860" spans="30:30" x14ac:dyDescent="0.25">
      <c r="AD33860"/>
    </row>
    <row r="33861" spans="30:30" x14ac:dyDescent="0.25">
      <c r="AD33861"/>
    </row>
    <row r="33862" spans="30:30" x14ac:dyDescent="0.25">
      <c r="AD33862"/>
    </row>
    <row r="33863" spans="30:30" x14ac:dyDescent="0.25">
      <c r="AD33863"/>
    </row>
    <row r="33864" spans="30:30" x14ac:dyDescent="0.25">
      <c r="AD33864"/>
    </row>
    <row r="33865" spans="30:30" x14ac:dyDescent="0.25">
      <c r="AD33865"/>
    </row>
    <row r="33866" spans="30:30" x14ac:dyDescent="0.25">
      <c r="AD33866"/>
    </row>
    <row r="33867" spans="30:30" x14ac:dyDescent="0.25">
      <c r="AD33867"/>
    </row>
    <row r="33868" spans="30:30" x14ac:dyDescent="0.25">
      <c r="AD33868"/>
    </row>
    <row r="33869" spans="30:30" x14ac:dyDescent="0.25">
      <c r="AD33869"/>
    </row>
    <row r="33870" spans="30:30" x14ac:dyDescent="0.25">
      <c r="AD33870"/>
    </row>
    <row r="33871" spans="30:30" x14ac:dyDescent="0.25">
      <c r="AD33871"/>
    </row>
    <row r="33872" spans="30:30" x14ac:dyDescent="0.25">
      <c r="AD33872"/>
    </row>
    <row r="33873" spans="30:30" x14ac:dyDescent="0.25">
      <c r="AD33873"/>
    </row>
    <row r="33874" spans="30:30" x14ac:dyDescent="0.25">
      <c r="AD33874"/>
    </row>
    <row r="33875" spans="30:30" x14ac:dyDescent="0.25">
      <c r="AD33875"/>
    </row>
    <row r="33876" spans="30:30" x14ac:dyDescent="0.25">
      <c r="AD33876"/>
    </row>
    <row r="33877" spans="30:30" x14ac:dyDescent="0.25">
      <c r="AD33877"/>
    </row>
    <row r="33878" spans="30:30" x14ac:dyDescent="0.25">
      <c r="AD33878"/>
    </row>
    <row r="33879" spans="30:30" x14ac:dyDescent="0.25">
      <c r="AD33879"/>
    </row>
    <row r="33880" spans="30:30" x14ac:dyDescent="0.25">
      <c r="AD33880"/>
    </row>
    <row r="33881" spans="30:30" x14ac:dyDescent="0.25">
      <c r="AD33881"/>
    </row>
    <row r="33882" spans="30:30" x14ac:dyDescent="0.25">
      <c r="AD33882"/>
    </row>
    <row r="33883" spans="30:30" x14ac:dyDescent="0.25">
      <c r="AD33883"/>
    </row>
    <row r="33884" spans="30:30" x14ac:dyDescent="0.25">
      <c r="AD33884"/>
    </row>
    <row r="33885" spans="30:30" x14ac:dyDescent="0.25">
      <c r="AD33885"/>
    </row>
    <row r="33886" spans="30:30" x14ac:dyDescent="0.25">
      <c r="AD33886"/>
    </row>
    <row r="33887" spans="30:30" x14ac:dyDescent="0.25">
      <c r="AD33887"/>
    </row>
    <row r="33888" spans="30:30" x14ac:dyDescent="0.25">
      <c r="AD33888"/>
    </row>
    <row r="33889" spans="30:30" x14ac:dyDescent="0.25">
      <c r="AD33889"/>
    </row>
    <row r="33890" spans="30:30" x14ac:dyDescent="0.25">
      <c r="AD33890"/>
    </row>
    <row r="33891" spans="30:30" x14ac:dyDescent="0.25">
      <c r="AD33891"/>
    </row>
    <row r="33892" spans="30:30" x14ac:dyDescent="0.25">
      <c r="AD33892"/>
    </row>
    <row r="33893" spans="30:30" x14ac:dyDescent="0.25">
      <c r="AD33893"/>
    </row>
    <row r="33894" spans="30:30" x14ac:dyDescent="0.25">
      <c r="AD33894"/>
    </row>
    <row r="33895" spans="30:30" x14ac:dyDescent="0.25">
      <c r="AD33895"/>
    </row>
    <row r="33896" spans="30:30" x14ac:dyDescent="0.25">
      <c r="AD33896"/>
    </row>
    <row r="33897" spans="30:30" x14ac:dyDescent="0.25">
      <c r="AD33897"/>
    </row>
    <row r="33898" spans="30:30" x14ac:dyDescent="0.25">
      <c r="AD33898"/>
    </row>
    <row r="33899" spans="30:30" x14ac:dyDescent="0.25">
      <c r="AD33899"/>
    </row>
    <row r="33900" spans="30:30" x14ac:dyDescent="0.25">
      <c r="AD33900"/>
    </row>
    <row r="33901" spans="30:30" x14ac:dyDescent="0.25">
      <c r="AD33901"/>
    </row>
    <row r="33902" spans="30:30" x14ac:dyDescent="0.25">
      <c r="AD33902"/>
    </row>
    <row r="33903" spans="30:30" x14ac:dyDescent="0.25">
      <c r="AD33903"/>
    </row>
    <row r="33904" spans="30:30" x14ac:dyDescent="0.25">
      <c r="AD33904"/>
    </row>
    <row r="33905" spans="30:30" x14ac:dyDescent="0.25">
      <c r="AD33905"/>
    </row>
    <row r="33906" spans="30:30" x14ac:dyDescent="0.25">
      <c r="AD33906"/>
    </row>
    <row r="33907" spans="30:30" x14ac:dyDescent="0.25">
      <c r="AD33907"/>
    </row>
    <row r="33908" spans="30:30" x14ac:dyDescent="0.25">
      <c r="AD33908"/>
    </row>
    <row r="33909" spans="30:30" x14ac:dyDescent="0.25">
      <c r="AD33909"/>
    </row>
    <row r="33910" spans="30:30" x14ac:dyDescent="0.25">
      <c r="AD33910"/>
    </row>
    <row r="33911" spans="30:30" x14ac:dyDescent="0.25">
      <c r="AD33911"/>
    </row>
    <row r="33912" spans="30:30" x14ac:dyDescent="0.25">
      <c r="AD33912"/>
    </row>
    <row r="33913" spans="30:30" x14ac:dyDescent="0.25">
      <c r="AD33913"/>
    </row>
    <row r="33914" spans="30:30" x14ac:dyDescent="0.25">
      <c r="AD33914"/>
    </row>
    <row r="33915" spans="30:30" x14ac:dyDescent="0.25">
      <c r="AD33915"/>
    </row>
    <row r="33916" spans="30:30" x14ac:dyDescent="0.25">
      <c r="AD33916"/>
    </row>
    <row r="33917" spans="30:30" x14ac:dyDescent="0.25">
      <c r="AD33917"/>
    </row>
    <row r="33918" spans="30:30" x14ac:dyDescent="0.25">
      <c r="AD33918"/>
    </row>
    <row r="33919" spans="30:30" x14ac:dyDescent="0.25">
      <c r="AD33919"/>
    </row>
    <row r="33920" spans="30:30" x14ac:dyDescent="0.25">
      <c r="AD33920"/>
    </row>
    <row r="33921" spans="30:30" x14ac:dyDescent="0.25">
      <c r="AD33921"/>
    </row>
    <row r="33922" spans="30:30" x14ac:dyDescent="0.25">
      <c r="AD33922"/>
    </row>
    <row r="33923" spans="30:30" x14ac:dyDescent="0.25">
      <c r="AD33923"/>
    </row>
    <row r="33924" spans="30:30" x14ac:dyDescent="0.25">
      <c r="AD33924"/>
    </row>
    <row r="33925" spans="30:30" x14ac:dyDescent="0.25">
      <c r="AD33925"/>
    </row>
    <row r="33926" spans="30:30" x14ac:dyDescent="0.25">
      <c r="AD33926"/>
    </row>
    <row r="33927" spans="30:30" x14ac:dyDescent="0.25">
      <c r="AD33927"/>
    </row>
    <row r="33928" spans="30:30" x14ac:dyDescent="0.25">
      <c r="AD33928"/>
    </row>
    <row r="33929" spans="30:30" x14ac:dyDescent="0.25">
      <c r="AD33929"/>
    </row>
    <row r="33930" spans="30:30" x14ac:dyDescent="0.25">
      <c r="AD33930"/>
    </row>
    <row r="33931" spans="30:30" x14ac:dyDescent="0.25">
      <c r="AD33931"/>
    </row>
    <row r="33932" spans="30:30" x14ac:dyDescent="0.25">
      <c r="AD33932"/>
    </row>
    <row r="33933" spans="30:30" x14ac:dyDescent="0.25">
      <c r="AD33933"/>
    </row>
    <row r="33934" spans="30:30" x14ac:dyDescent="0.25">
      <c r="AD33934"/>
    </row>
    <row r="33935" spans="30:30" x14ac:dyDescent="0.25">
      <c r="AD33935"/>
    </row>
    <row r="33936" spans="30:30" x14ac:dyDescent="0.25">
      <c r="AD33936"/>
    </row>
    <row r="33937" spans="30:30" x14ac:dyDescent="0.25">
      <c r="AD33937"/>
    </row>
    <row r="33938" spans="30:30" x14ac:dyDescent="0.25">
      <c r="AD33938"/>
    </row>
    <row r="33939" spans="30:30" x14ac:dyDescent="0.25">
      <c r="AD33939"/>
    </row>
    <row r="33940" spans="30:30" x14ac:dyDescent="0.25">
      <c r="AD33940"/>
    </row>
    <row r="33941" spans="30:30" x14ac:dyDescent="0.25">
      <c r="AD33941"/>
    </row>
    <row r="33942" spans="30:30" x14ac:dyDescent="0.25">
      <c r="AD33942"/>
    </row>
    <row r="33943" spans="30:30" x14ac:dyDescent="0.25">
      <c r="AD33943"/>
    </row>
    <row r="33944" spans="30:30" x14ac:dyDescent="0.25">
      <c r="AD33944"/>
    </row>
    <row r="33945" spans="30:30" x14ac:dyDescent="0.25">
      <c r="AD33945"/>
    </row>
    <row r="33946" spans="30:30" x14ac:dyDescent="0.25">
      <c r="AD33946"/>
    </row>
    <row r="33947" spans="30:30" x14ac:dyDescent="0.25">
      <c r="AD33947"/>
    </row>
    <row r="33948" spans="30:30" x14ac:dyDescent="0.25">
      <c r="AD33948"/>
    </row>
    <row r="33949" spans="30:30" x14ac:dyDescent="0.25">
      <c r="AD33949"/>
    </row>
    <row r="33950" spans="30:30" x14ac:dyDescent="0.25">
      <c r="AD33950"/>
    </row>
    <row r="33951" spans="30:30" x14ac:dyDescent="0.25">
      <c r="AD33951"/>
    </row>
    <row r="33952" spans="30:30" x14ac:dyDescent="0.25">
      <c r="AD33952"/>
    </row>
    <row r="33953" spans="30:30" x14ac:dyDescent="0.25">
      <c r="AD33953"/>
    </row>
    <row r="33954" spans="30:30" x14ac:dyDescent="0.25">
      <c r="AD33954"/>
    </row>
    <row r="33955" spans="30:30" x14ac:dyDescent="0.25">
      <c r="AD33955"/>
    </row>
    <row r="33956" spans="30:30" x14ac:dyDescent="0.25">
      <c r="AD33956"/>
    </row>
    <row r="33957" spans="30:30" x14ac:dyDescent="0.25">
      <c r="AD33957"/>
    </row>
    <row r="33958" spans="30:30" x14ac:dyDescent="0.25">
      <c r="AD33958"/>
    </row>
    <row r="33959" spans="30:30" x14ac:dyDescent="0.25">
      <c r="AD33959"/>
    </row>
    <row r="33960" spans="30:30" x14ac:dyDescent="0.25">
      <c r="AD33960"/>
    </row>
    <row r="33961" spans="30:30" x14ac:dyDescent="0.25">
      <c r="AD33961"/>
    </row>
    <row r="33962" spans="30:30" x14ac:dyDescent="0.25">
      <c r="AD33962"/>
    </row>
    <row r="33963" spans="30:30" x14ac:dyDescent="0.25">
      <c r="AD33963"/>
    </row>
    <row r="33964" spans="30:30" x14ac:dyDescent="0.25">
      <c r="AD33964"/>
    </row>
    <row r="33965" spans="30:30" x14ac:dyDescent="0.25">
      <c r="AD33965"/>
    </row>
    <row r="33966" spans="30:30" x14ac:dyDescent="0.25">
      <c r="AD33966"/>
    </row>
    <row r="33967" spans="30:30" x14ac:dyDescent="0.25">
      <c r="AD33967"/>
    </row>
    <row r="33968" spans="30:30" x14ac:dyDescent="0.25">
      <c r="AD33968"/>
    </row>
    <row r="33969" spans="30:30" x14ac:dyDescent="0.25">
      <c r="AD33969"/>
    </row>
    <row r="33970" spans="30:30" x14ac:dyDescent="0.25">
      <c r="AD33970"/>
    </row>
    <row r="33971" spans="30:30" x14ac:dyDescent="0.25">
      <c r="AD33971"/>
    </row>
    <row r="33972" spans="30:30" x14ac:dyDescent="0.25">
      <c r="AD33972"/>
    </row>
    <row r="33973" spans="30:30" x14ac:dyDescent="0.25">
      <c r="AD33973"/>
    </row>
    <row r="33974" spans="30:30" x14ac:dyDescent="0.25">
      <c r="AD33974"/>
    </row>
    <row r="33975" spans="30:30" x14ac:dyDescent="0.25">
      <c r="AD33975"/>
    </row>
    <row r="33976" spans="30:30" x14ac:dyDescent="0.25">
      <c r="AD33976"/>
    </row>
    <row r="33977" spans="30:30" x14ac:dyDescent="0.25">
      <c r="AD33977"/>
    </row>
    <row r="33978" spans="30:30" x14ac:dyDescent="0.25">
      <c r="AD33978"/>
    </row>
    <row r="33979" spans="30:30" x14ac:dyDescent="0.25">
      <c r="AD33979"/>
    </row>
    <row r="33980" spans="30:30" x14ac:dyDescent="0.25">
      <c r="AD33980"/>
    </row>
    <row r="33981" spans="30:30" x14ac:dyDescent="0.25">
      <c r="AD33981"/>
    </row>
    <row r="33982" spans="30:30" x14ac:dyDescent="0.25">
      <c r="AD33982"/>
    </row>
    <row r="33983" spans="30:30" x14ac:dyDescent="0.25">
      <c r="AD33983"/>
    </row>
    <row r="33984" spans="30:30" x14ac:dyDescent="0.25">
      <c r="AD33984"/>
    </row>
    <row r="33985" spans="30:30" x14ac:dyDescent="0.25">
      <c r="AD33985"/>
    </row>
    <row r="33986" spans="30:30" x14ac:dyDescent="0.25">
      <c r="AD33986"/>
    </row>
    <row r="33987" spans="30:30" x14ac:dyDescent="0.25">
      <c r="AD33987"/>
    </row>
    <row r="33988" spans="30:30" x14ac:dyDescent="0.25">
      <c r="AD33988"/>
    </row>
    <row r="33989" spans="30:30" x14ac:dyDescent="0.25">
      <c r="AD33989"/>
    </row>
    <row r="33990" spans="30:30" x14ac:dyDescent="0.25">
      <c r="AD33990"/>
    </row>
    <row r="33991" spans="30:30" x14ac:dyDescent="0.25">
      <c r="AD33991"/>
    </row>
    <row r="33992" spans="30:30" x14ac:dyDescent="0.25">
      <c r="AD33992"/>
    </row>
    <row r="33993" spans="30:30" x14ac:dyDescent="0.25">
      <c r="AD33993"/>
    </row>
    <row r="33994" spans="30:30" x14ac:dyDescent="0.25">
      <c r="AD33994"/>
    </row>
    <row r="33995" spans="30:30" x14ac:dyDescent="0.25">
      <c r="AD33995"/>
    </row>
    <row r="33996" spans="30:30" x14ac:dyDescent="0.25">
      <c r="AD33996"/>
    </row>
    <row r="33997" spans="30:30" x14ac:dyDescent="0.25">
      <c r="AD33997"/>
    </row>
    <row r="33998" spans="30:30" x14ac:dyDescent="0.25">
      <c r="AD33998"/>
    </row>
    <row r="33999" spans="30:30" x14ac:dyDescent="0.25">
      <c r="AD33999"/>
    </row>
    <row r="34000" spans="30:30" x14ac:dyDescent="0.25">
      <c r="AD34000"/>
    </row>
    <row r="34001" spans="30:30" x14ac:dyDescent="0.25">
      <c r="AD34001"/>
    </row>
    <row r="34002" spans="30:30" x14ac:dyDescent="0.25">
      <c r="AD34002"/>
    </row>
    <row r="34003" spans="30:30" x14ac:dyDescent="0.25">
      <c r="AD34003"/>
    </row>
    <row r="34004" spans="30:30" x14ac:dyDescent="0.25">
      <c r="AD34004"/>
    </row>
    <row r="34005" spans="30:30" x14ac:dyDescent="0.25">
      <c r="AD34005"/>
    </row>
    <row r="34006" spans="30:30" x14ac:dyDescent="0.25">
      <c r="AD34006"/>
    </row>
    <row r="34007" spans="30:30" x14ac:dyDescent="0.25">
      <c r="AD34007"/>
    </row>
    <row r="34008" spans="30:30" x14ac:dyDescent="0.25">
      <c r="AD34008"/>
    </row>
    <row r="34009" spans="30:30" x14ac:dyDescent="0.25">
      <c r="AD34009"/>
    </row>
    <row r="34010" spans="30:30" x14ac:dyDescent="0.25">
      <c r="AD34010"/>
    </row>
    <row r="34011" spans="30:30" x14ac:dyDescent="0.25">
      <c r="AD34011"/>
    </row>
    <row r="34012" spans="30:30" x14ac:dyDescent="0.25">
      <c r="AD34012"/>
    </row>
    <row r="34013" spans="30:30" x14ac:dyDescent="0.25">
      <c r="AD34013"/>
    </row>
    <row r="34014" spans="30:30" x14ac:dyDescent="0.25">
      <c r="AD34014"/>
    </row>
    <row r="34015" spans="30:30" x14ac:dyDescent="0.25">
      <c r="AD34015"/>
    </row>
    <row r="34016" spans="30:30" x14ac:dyDescent="0.25">
      <c r="AD34016"/>
    </row>
    <row r="34017" spans="30:30" x14ac:dyDescent="0.25">
      <c r="AD34017"/>
    </row>
    <row r="34018" spans="30:30" x14ac:dyDescent="0.25">
      <c r="AD34018"/>
    </row>
    <row r="34019" spans="30:30" x14ac:dyDescent="0.25">
      <c r="AD34019"/>
    </row>
    <row r="34020" spans="30:30" x14ac:dyDescent="0.25">
      <c r="AD34020"/>
    </row>
    <row r="34021" spans="30:30" x14ac:dyDescent="0.25">
      <c r="AD34021"/>
    </row>
    <row r="34022" spans="30:30" x14ac:dyDescent="0.25">
      <c r="AD34022"/>
    </row>
    <row r="34023" spans="30:30" x14ac:dyDescent="0.25">
      <c r="AD34023"/>
    </row>
    <row r="34024" spans="30:30" x14ac:dyDescent="0.25">
      <c r="AD34024"/>
    </row>
    <row r="34025" spans="30:30" x14ac:dyDescent="0.25">
      <c r="AD34025"/>
    </row>
    <row r="34026" spans="30:30" x14ac:dyDescent="0.25">
      <c r="AD34026"/>
    </row>
    <row r="34027" spans="30:30" x14ac:dyDescent="0.25">
      <c r="AD34027"/>
    </row>
    <row r="34028" spans="30:30" x14ac:dyDescent="0.25">
      <c r="AD34028"/>
    </row>
    <row r="34029" spans="30:30" x14ac:dyDescent="0.25">
      <c r="AD34029"/>
    </row>
    <row r="34030" spans="30:30" x14ac:dyDescent="0.25">
      <c r="AD34030"/>
    </row>
    <row r="34031" spans="30:30" x14ac:dyDescent="0.25">
      <c r="AD34031"/>
    </row>
    <row r="34032" spans="30:30" x14ac:dyDescent="0.25">
      <c r="AD34032"/>
    </row>
    <row r="34033" spans="30:30" x14ac:dyDescent="0.25">
      <c r="AD34033"/>
    </row>
    <row r="34034" spans="30:30" x14ac:dyDescent="0.25">
      <c r="AD34034"/>
    </row>
    <row r="34035" spans="30:30" x14ac:dyDescent="0.25">
      <c r="AD34035"/>
    </row>
    <row r="34036" spans="30:30" x14ac:dyDescent="0.25">
      <c r="AD34036"/>
    </row>
    <row r="34037" spans="30:30" x14ac:dyDescent="0.25">
      <c r="AD34037"/>
    </row>
    <row r="34038" spans="30:30" x14ac:dyDescent="0.25">
      <c r="AD34038"/>
    </row>
    <row r="34039" spans="30:30" x14ac:dyDescent="0.25">
      <c r="AD34039"/>
    </row>
    <row r="34040" spans="30:30" x14ac:dyDescent="0.25">
      <c r="AD34040"/>
    </row>
    <row r="34041" spans="30:30" x14ac:dyDescent="0.25">
      <c r="AD34041"/>
    </row>
    <row r="34042" spans="30:30" x14ac:dyDescent="0.25">
      <c r="AD34042"/>
    </row>
    <row r="34043" spans="30:30" x14ac:dyDescent="0.25">
      <c r="AD34043"/>
    </row>
    <row r="34044" spans="30:30" x14ac:dyDescent="0.25">
      <c r="AD34044"/>
    </row>
    <row r="34045" spans="30:30" x14ac:dyDescent="0.25">
      <c r="AD34045"/>
    </row>
    <row r="34046" spans="30:30" x14ac:dyDescent="0.25">
      <c r="AD34046"/>
    </row>
    <row r="34047" spans="30:30" x14ac:dyDescent="0.25">
      <c r="AD34047"/>
    </row>
    <row r="34048" spans="30:30" x14ac:dyDescent="0.25">
      <c r="AD34048"/>
    </row>
    <row r="34049" spans="30:30" x14ac:dyDescent="0.25">
      <c r="AD34049"/>
    </row>
    <row r="34050" spans="30:30" x14ac:dyDescent="0.25">
      <c r="AD34050"/>
    </row>
    <row r="34051" spans="30:30" x14ac:dyDescent="0.25">
      <c r="AD34051"/>
    </row>
    <row r="34052" spans="30:30" x14ac:dyDescent="0.25">
      <c r="AD34052"/>
    </row>
    <row r="34053" spans="30:30" x14ac:dyDescent="0.25">
      <c r="AD34053"/>
    </row>
    <row r="34054" spans="30:30" x14ac:dyDescent="0.25">
      <c r="AD34054"/>
    </row>
    <row r="34055" spans="30:30" x14ac:dyDescent="0.25">
      <c r="AD34055"/>
    </row>
    <row r="34056" spans="30:30" x14ac:dyDescent="0.25">
      <c r="AD34056"/>
    </row>
    <row r="34057" spans="30:30" x14ac:dyDescent="0.25">
      <c r="AD34057"/>
    </row>
    <row r="34058" spans="30:30" x14ac:dyDescent="0.25">
      <c r="AD34058"/>
    </row>
    <row r="34059" spans="30:30" x14ac:dyDescent="0.25">
      <c r="AD34059"/>
    </row>
    <row r="34060" spans="30:30" x14ac:dyDescent="0.25">
      <c r="AD34060"/>
    </row>
    <row r="34061" spans="30:30" x14ac:dyDescent="0.25">
      <c r="AD34061"/>
    </row>
    <row r="34062" spans="30:30" x14ac:dyDescent="0.25">
      <c r="AD34062"/>
    </row>
    <row r="34063" spans="30:30" x14ac:dyDescent="0.25">
      <c r="AD34063"/>
    </row>
    <row r="34064" spans="30:30" x14ac:dyDescent="0.25">
      <c r="AD34064"/>
    </row>
    <row r="34065" spans="30:30" x14ac:dyDescent="0.25">
      <c r="AD34065"/>
    </row>
    <row r="34066" spans="30:30" x14ac:dyDescent="0.25">
      <c r="AD34066"/>
    </row>
    <row r="34067" spans="30:30" x14ac:dyDescent="0.25">
      <c r="AD34067"/>
    </row>
    <row r="34068" spans="30:30" x14ac:dyDescent="0.25">
      <c r="AD34068"/>
    </row>
    <row r="34069" spans="30:30" x14ac:dyDescent="0.25">
      <c r="AD34069"/>
    </row>
    <row r="34070" spans="30:30" x14ac:dyDescent="0.25">
      <c r="AD34070"/>
    </row>
    <row r="34071" spans="30:30" x14ac:dyDescent="0.25">
      <c r="AD34071"/>
    </row>
    <row r="34072" spans="30:30" x14ac:dyDescent="0.25">
      <c r="AD34072"/>
    </row>
    <row r="34073" spans="30:30" x14ac:dyDescent="0.25">
      <c r="AD34073"/>
    </row>
    <row r="34074" spans="30:30" x14ac:dyDescent="0.25">
      <c r="AD34074"/>
    </row>
    <row r="34075" spans="30:30" x14ac:dyDescent="0.25">
      <c r="AD34075"/>
    </row>
    <row r="34076" spans="30:30" x14ac:dyDescent="0.25">
      <c r="AD34076"/>
    </row>
    <row r="34077" spans="30:30" x14ac:dyDescent="0.25">
      <c r="AD34077"/>
    </row>
    <row r="34078" spans="30:30" x14ac:dyDescent="0.25">
      <c r="AD34078"/>
    </row>
    <row r="34079" spans="30:30" x14ac:dyDescent="0.25">
      <c r="AD34079"/>
    </row>
    <row r="34080" spans="30:30" x14ac:dyDescent="0.25">
      <c r="AD34080"/>
    </row>
    <row r="34081" spans="30:30" x14ac:dyDescent="0.25">
      <c r="AD34081"/>
    </row>
    <row r="34082" spans="30:30" x14ac:dyDescent="0.25">
      <c r="AD34082"/>
    </row>
    <row r="34083" spans="30:30" x14ac:dyDescent="0.25">
      <c r="AD34083"/>
    </row>
    <row r="34084" spans="30:30" x14ac:dyDescent="0.25">
      <c r="AD34084"/>
    </row>
    <row r="34085" spans="30:30" x14ac:dyDescent="0.25">
      <c r="AD34085"/>
    </row>
    <row r="34086" spans="30:30" x14ac:dyDescent="0.25">
      <c r="AD34086"/>
    </row>
    <row r="34087" spans="30:30" x14ac:dyDescent="0.25">
      <c r="AD34087"/>
    </row>
    <row r="34088" spans="30:30" x14ac:dyDescent="0.25">
      <c r="AD34088"/>
    </row>
    <row r="34089" spans="30:30" x14ac:dyDescent="0.25">
      <c r="AD34089"/>
    </row>
    <row r="34090" spans="30:30" x14ac:dyDescent="0.25">
      <c r="AD34090"/>
    </row>
    <row r="34091" spans="30:30" x14ac:dyDescent="0.25">
      <c r="AD34091"/>
    </row>
    <row r="34092" spans="30:30" x14ac:dyDescent="0.25">
      <c r="AD34092"/>
    </row>
    <row r="34093" spans="30:30" x14ac:dyDescent="0.25">
      <c r="AD34093"/>
    </row>
    <row r="34094" spans="30:30" x14ac:dyDescent="0.25">
      <c r="AD34094"/>
    </row>
    <row r="34095" spans="30:30" x14ac:dyDescent="0.25">
      <c r="AD34095"/>
    </row>
    <row r="34096" spans="30:30" x14ac:dyDescent="0.25">
      <c r="AD34096"/>
    </row>
    <row r="34097" spans="30:30" x14ac:dyDescent="0.25">
      <c r="AD34097"/>
    </row>
    <row r="34098" spans="30:30" x14ac:dyDescent="0.25">
      <c r="AD34098"/>
    </row>
    <row r="34099" spans="30:30" x14ac:dyDescent="0.25">
      <c r="AD34099"/>
    </row>
    <row r="34100" spans="30:30" x14ac:dyDescent="0.25">
      <c r="AD34100"/>
    </row>
    <row r="34101" spans="30:30" x14ac:dyDescent="0.25">
      <c r="AD34101"/>
    </row>
    <row r="34102" spans="30:30" x14ac:dyDescent="0.25">
      <c r="AD34102"/>
    </row>
    <row r="34103" spans="30:30" x14ac:dyDescent="0.25">
      <c r="AD34103"/>
    </row>
    <row r="34104" spans="30:30" x14ac:dyDescent="0.25">
      <c r="AD34104"/>
    </row>
    <row r="34105" spans="30:30" x14ac:dyDescent="0.25">
      <c r="AD34105"/>
    </row>
    <row r="34106" spans="30:30" x14ac:dyDescent="0.25">
      <c r="AD34106"/>
    </row>
    <row r="34107" spans="30:30" x14ac:dyDescent="0.25">
      <c r="AD34107"/>
    </row>
    <row r="34108" spans="30:30" x14ac:dyDescent="0.25">
      <c r="AD34108"/>
    </row>
    <row r="34109" spans="30:30" x14ac:dyDescent="0.25">
      <c r="AD34109"/>
    </row>
    <row r="34110" spans="30:30" x14ac:dyDescent="0.25">
      <c r="AD34110"/>
    </row>
    <row r="34111" spans="30:30" x14ac:dyDescent="0.25">
      <c r="AD34111"/>
    </row>
    <row r="34112" spans="30:30" x14ac:dyDescent="0.25">
      <c r="AD34112"/>
    </row>
    <row r="34113" spans="30:30" x14ac:dyDescent="0.25">
      <c r="AD34113"/>
    </row>
    <row r="34114" spans="30:30" x14ac:dyDescent="0.25">
      <c r="AD34114"/>
    </row>
    <row r="34115" spans="30:30" x14ac:dyDescent="0.25">
      <c r="AD34115"/>
    </row>
    <row r="34116" spans="30:30" x14ac:dyDescent="0.25">
      <c r="AD34116"/>
    </row>
    <row r="34117" spans="30:30" x14ac:dyDescent="0.25">
      <c r="AD34117"/>
    </row>
    <row r="34118" spans="30:30" x14ac:dyDescent="0.25">
      <c r="AD34118"/>
    </row>
    <row r="34119" spans="30:30" x14ac:dyDescent="0.25">
      <c r="AD34119"/>
    </row>
    <row r="34120" spans="30:30" x14ac:dyDescent="0.25">
      <c r="AD34120"/>
    </row>
    <row r="34121" spans="30:30" x14ac:dyDescent="0.25">
      <c r="AD34121"/>
    </row>
    <row r="34122" spans="30:30" x14ac:dyDescent="0.25">
      <c r="AD34122"/>
    </row>
    <row r="34123" spans="30:30" x14ac:dyDescent="0.25">
      <c r="AD34123"/>
    </row>
    <row r="34124" spans="30:30" x14ac:dyDescent="0.25">
      <c r="AD34124"/>
    </row>
    <row r="34125" spans="30:30" x14ac:dyDescent="0.25">
      <c r="AD34125"/>
    </row>
    <row r="34126" spans="30:30" x14ac:dyDescent="0.25">
      <c r="AD34126"/>
    </row>
    <row r="34127" spans="30:30" x14ac:dyDescent="0.25">
      <c r="AD34127"/>
    </row>
    <row r="34128" spans="30:30" x14ac:dyDescent="0.25">
      <c r="AD34128"/>
    </row>
    <row r="34129" spans="30:30" x14ac:dyDescent="0.25">
      <c r="AD34129"/>
    </row>
    <row r="34130" spans="30:30" x14ac:dyDescent="0.25">
      <c r="AD34130"/>
    </row>
    <row r="34131" spans="30:30" x14ac:dyDescent="0.25">
      <c r="AD34131"/>
    </row>
    <row r="34132" spans="30:30" x14ac:dyDescent="0.25">
      <c r="AD34132"/>
    </row>
    <row r="34133" spans="30:30" x14ac:dyDescent="0.25">
      <c r="AD34133"/>
    </row>
    <row r="34134" spans="30:30" x14ac:dyDescent="0.25">
      <c r="AD34134"/>
    </row>
    <row r="34135" spans="30:30" x14ac:dyDescent="0.25">
      <c r="AD34135"/>
    </row>
    <row r="34136" spans="30:30" x14ac:dyDescent="0.25">
      <c r="AD34136"/>
    </row>
    <row r="34137" spans="30:30" x14ac:dyDescent="0.25">
      <c r="AD34137"/>
    </row>
    <row r="34138" spans="30:30" x14ac:dyDescent="0.25">
      <c r="AD34138"/>
    </row>
    <row r="34139" spans="30:30" x14ac:dyDescent="0.25">
      <c r="AD34139"/>
    </row>
    <row r="34140" spans="30:30" x14ac:dyDescent="0.25">
      <c r="AD34140"/>
    </row>
    <row r="34141" spans="30:30" x14ac:dyDescent="0.25">
      <c r="AD34141"/>
    </row>
    <row r="34142" spans="30:30" x14ac:dyDescent="0.25">
      <c r="AD34142"/>
    </row>
    <row r="34143" spans="30:30" x14ac:dyDescent="0.25">
      <c r="AD34143"/>
    </row>
    <row r="34144" spans="30:30" x14ac:dyDescent="0.25">
      <c r="AD34144"/>
    </row>
    <row r="34145" spans="30:30" x14ac:dyDescent="0.25">
      <c r="AD34145"/>
    </row>
    <row r="34146" spans="30:30" x14ac:dyDescent="0.25">
      <c r="AD34146"/>
    </row>
    <row r="34147" spans="30:30" x14ac:dyDescent="0.25">
      <c r="AD34147"/>
    </row>
    <row r="34148" spans="30:30" x14ac:dyDescent="0.25">
      <c r="AD34148"/>
    </row>
    <row r="34149" spans="30:30" x14ac:dyDescent="0.25">
      <c r="AD34149"/>
    </row>
    <row r="34150" spans="30:30" x14ac:dyDescent="0.25">
      <c r="AD34150"/>
    </row>
    <row r="34151" spans="30:30" x14ac:dyDescent="0.25">
      <c r="AD34151"/>
    </row>
    <row r="34152" spans="30:30" x14ac:dyDescent="0.25">
      <c r="AD34152"/>
    </row>
    <row r="34153" spans="30:30" x14ac:dyDescent="0.25">
      <c r="AD34153"/>
    </row>
    <row r="34154" spans="30:30" x14ac:dyDescent="0.25">
      <c r="AD34154"/>
    </row>
    <row r="34155" spans="30:30" x14ac:dyDescent="0.25">
      <c r="AD34155"/>
    </row>
    <row r="34156" spans="30:30" x14ac:dyDescent="0.25">
      <c r="AD34156"/>
    </row>
    <row r="34157" spans="30:30" x14ac:dyDescent="0.25">
      <c r="AD34157"/>
    </row>
    <row r="34158" spans="30:30" x14ac:dyDescent="0.25">
      <c r="AD34158"/>
    </row>
    <row r="34159" spans="30:30" x14ac:dyDescent="0.25">
      <c r="AD34159"/>
    </row>
    <row r="34160" spans="30:30" x14ac:dyDescent="0.25">
      <c r="AD34160"/>
    </row>
    <row r="34161" spans="30:30" x14ac:dyDescent="0.25">
      <c r="AD34161"/>
    </row>
    <row r="34162" spans="30:30" x14ac:dyDescent="0.25">
      <c r="AD34162"/>
    </row>
    <row r="34163" spans="30:30" x14ac:dyDescent="0.25">
      <c r="AD34163"/>
    </row>
    <row r="34164" spans="30:30" x14ac:dyDescent="0.25">
      <c r="AD34164"/>
    </row>
    <row r="34165" spans="30:30" x14ac:dyDescent="0.25">
      <c r="AD34165"/>
    </row>
    <row r="34166" spans="30:30" x14ac:dyDescent="0.25">
      <c r="AD34166"/>
    </row>
    <row r="34167" spans="30:30" x14ac:dyDescent="0.25">
      <c r="AD34167"/>
    </row>
    <row r="34168" spans="30:30" x14ac:dyDescent="0.25">
      <c r="AD34168"/>
    </row>
    <row r="34169" spans="30:30" x14ac:dyDescent="0.25">
      <c r="AD34169"/>
    </row>
    <row r="34170" spans="30:30" x14ac:dyDescent="0.25">
      <c r="AD34170"/>
    </row>
    <row r="34171" spans="30:30" x14ac:dyDescent="0.25">
      <c r="AD34171"/>
    </row>
    <row r="34172" spans="30:30" x14ac:dyDescent="0.25">
      <c r="AD34172"/>
    </row>
    <row r="34173" spans="30:30" x14ac:dyDescent="0.25">
      <c r="AD34173"/>
    </row>
    <row r="34174" spans="30:30" x14ac:dyDescent="0.25">
      <c r="AD34174"/>
    </row>
    <row r="34175" spans="30:30" x14ac:dyDescent="0.25">
      <c r="AD34175"/>
    </row>
    <row r="34176" spans="30:30" x14ac:dyDescent="0.25">
      <c r="AD34176"/>
    </row>
    <row r="34177" spans="30:30" x14ac:dyDescent="0.25">
      <c r="AD34177"/>
    </row>
    <row r="34178" spans="30:30" x14ac:dyDescent="0.25">
      <c r="AD34178"/>
    </row>
    <row r="34179" spans="30:30" x14ac:dyDescent="0.25">
      <c r="AD34179"/>
    </row>
    <row r="34180" spans="30:30" x14ac:dyDescent="0.25">
      <c r="AD34180"/>
    </row>
    <row r="34181" spans="30:30" x14ac:dyDescent="0.25">
      <c r="AD34181"/>
    </row>
    <row r="34182" spans="30:30" x14ac:dyDescent="0.25">
      <c r="AD34182"/>
    </row>
    <row r="34183" spans="30:30" x14ac:dyDescent="0.25">
      <c r="AD34183"/>
    </row>
    <row r="34184" spans="30:30" x14ac:dyDescent="0.25">
      <c r="AD34184"/>
    </row>
    <row r="34185" spans="30:30" x14ac:dyDescent="0.25">
      <c r="AD34185"/>
    </row>
    <row r="34186" spans="30:30" x14ac:dyDescent="0.25">
      <c r="AD34186"/>
    </row>
    <row r="34187" spans="30:30" x14ac:dyDescent="0.25">
      <c r="AD34187"/>
    </row>
    <row r="34188" spans="30:30" x14ac:dyDescent="0.25">
      <c r="AD34188"/>
    </row>
    <row r="34189" spans="30:30" x14ac:dyDescent="0.25">
      <c r="AD34189"/>
    </row>
    <row r="34190" spans="30:30" x14ac:dyDescent="0.25">
      <c r="AD34190"/>
    </row>
    <row r="34191" spans="30:30" x14ac:dyDescent="0.25">
      <c r="AD34191"/>
    </row>
    <row r="34192" spans="30:30" x14ac:dyDescent="0.25">
      <c r="AD34192"/>
    </row>
    <row r="34193" spans="30:30" x14ac:dyDescent="0.25">
      <c r="AD34193"/>
    </row>
    <row r="34194" spans="30:30" x14ac:dyDescent="0.25">
      <c r="AD34194"/>
    </row>
    <row r="34195" spans="30:30" x14ac:dyDescent="0.25">
      <c r="AD34195"/>
    </row>
    <row r="34196" spans="30:30" x14ac:dyDescent="0.25">
      <c r="AD34196"/>
    </row>
    <row r="34197" spans="30:30" x14ac:dyDescent="0.25">
      <c r="AD34197"/>
    </row>
    <row r="34198" spans="30:30" x14ac:dyDescent="0.25">
      <c r="AD34198"/>
    </row>
    <row r="34199" spans="30:30" x14ac:dyDescent="0.25">
      <c r="AD34199"/>
    </row>
    <row r="34200" spans="30:30" x14ac:dyDescent="0.25">
      <c r="AD34200"/>
    </row>
    <row r="34201" spans="30:30" x14ac:dyDescent="0.25">
      <c r="AD34201"/>
    </row>
    <row r="34202" spans="30:30" x14ac:dyDescent="0.25">
      <c r="AD34202"/>
    </row>
    <row r="34203" spans="30:30" x14ac:dyDescent="0.25">
      <c r="AD34203"/>
    </row>
    <row r="34204" spans="30:30" x14ac:dyDescent="0.25">
      <c r="AD34204"/>
    </row>
    <row r="34205" spans="30:30" x14ac:dyDescent="0.25">
      <c r="AD34205"/>
    </row>
    <row r="34206" spans="30:30" x14ac:dyDescent="0.25">
      <c r="AD34206"/>
    </row>
    <row r="34207" spans="30:30" x14ac:dyDescent="0.25">
      <c r="AD34207"/>
    </row>
    <row r="34208" spans="30:30" x14ac:dyDescent="0.25">
      <c r="AD34208"/>
    </row>
    <row r="34209" spans="30:30" x14ac:dyDescent="0.25">
      <c r="AD34209"/>
    </row>
    <row r="34210" spans="30:30" x14ac:dyDescent="0.25">
      <c r="AD34210"/>
    </row>
    <row r="34211" spans="30:30" x14ac:dyDescent="0.25">
      <c r="AD34211"/>
    </row>
    <row r="34212" spans="30:30" x14ac:dyDescent="0.25">
      <c r="AD34212"/>
    </row>
    <row r="34213" spans="30:30" x14ac:dyDescent="0.25">
      <c r="AD34213"/>
    </row>
    <row r="34214" spans="30:30" x14ac:dyDescent="0.25">
      <c r="AD34214"/>
    </row>
    <row r="34215" spans="30:30" x14ac:dyDescent="0.25">
      <c r="AD34215"/>
    </row>
    <row r="34216" spans="30:30" x14ac:dyDescent="0.25">
      <c r="AD34216"/>
    </row>
    <row r="34217" spans="30:30" x14ac:dyDescent="0.25">
      <c r="AD34217"/>
    </row>
    <row r="34218" spans="30:30" x14ac:dyDescent="0.25">
      <c r="AD34218"/>
    </row>
    <row r="34219" spans="30:30" x14ac:dyDescent="0.25">
      <c r="AD34219"/>
    </row>
    <row r="34220" spans="30:30" x14ac:dyDescent="0.25">
      <c r="AD34220"/>
    </row>
    <row r="34221" spans="30:30" x14ac:dyDescent="0.25">
      <c r="AD34221"/>
    </row>
    <row r="34222" spans="30:30" x14ac:dyDescent="0.25">
      <c r="AD34222"/>
    </row>
    <row r="34223" spans="30:30" x14ac:dyDescent="0.25">
      <c r="AD34223"/>
    </row>
    <row r="34224" spans="30:30" x14ac:dyDescent="0.25">
      <c r="AD34224"/>
    </row>
    <row r="34225" spans="30:30" x14ac:dyDescent="0.25">
      <c r="AD34225"/>
    </row>
    <row r="34226" spans="30:30" x14ac:dyDescent="0.25">
      <c r="AD34226"/>
    </row>
    <row r="34227" spans="30:30" x14ac:dyDescent="0.25">
      <c r="AD34227"/>
    </row>
    <row r="34228" spans="30:30" x14ac:dyDescent="0.25">
      <c r="AD34228"/>
    </row>
    <row r="34229" spans="30:30" x14ac:dyDescent="0.25">
      <c r="AD34229"/>
    </row>
    <row r="34230" spans="30:30" x14ac:dyDescent="0.25">
      <c r="AD34230"/>
    </row>
    <row r="34231" spans="30:30" x14ac:dyDescent="0.25">
      <c r="AD34231"/>
    </row>
    <row r="34232" spans="30:30" x14ac:dyDescent="0.25">
      <c r="AD34232"/>
    </row>
    <row r="34233" spans="30:30" x14ac:dyDescent="0.25">
      <c r="AD34233"/>
    </row>
    <row r="34234" spans="30:30" x14ac:dyDescent="0.25">
      <c r="AD34234"/>
    </row>
    <row r="34235" spans="30:30" x14ac:dyDescent="0.25">
      <c r="AD34235"/>
    </row>
    <row r="34236" spans="30:30" x14ac:dyDescent="0.25">
      <c r="AD34236"/>
    </row>
    <row r="34237" spans="30:30" x14ac:dyDescent="0.25">
      <c r="AD34237"/>
    </row>
    <row r="34238" spans="30:30" x14ac:dyDescent="0.25">
      <c r="AD34238"/>
    </row>
    <row r="34239" spans="30:30" x14ac:dyDescent="0.25">
      <c r="AD34239"/>
    </row>
    <row r="34240" spans="30:30" x14ac:dyDescent="0.25">
      <c r="AD34240"/>
    </row>
    <row r="34241" spans="30:30" x14ac:dyDescent="0.25">
      <c r="AD34241"/>
    </row>
    <row r="34242" spans="30:30" x14ac:dyDescent="0.25">
      <c r="AD34242"/>
    </row>
    <row r="34243" spans="30:30" x14ac:dyDescent="0.25">
      <c r="AD34243"/>
    </row>
    <row r="34244" spans="30:30" x14ac:dyDescent="0.25">
      <c r="AD34244"/>
    </row>
    <row r="34245" spans="30:30" x14ac:dyDescent="0.25">
      <c r="AD34245"/>
    </row>
    <row r="34246" spans="30:30" x14ac:dyDescent="0.25">
      <c r="AD34246"/>
    </row>
    <row r="34247" spans="30:30" x14ac:dyDescent="0.25">
      <c r="AD34247"/>
    </row>
    <row r="34248" spans="30:30" x14ac:dyDescent="0.25">
      <c r="AD34248"/>
    </row>
    <row r="34249" spans="30:30" x14ac:dyDescent="0.25">
      <c r="AD34249"/>
    </row>
    <row r="34250" spans="30:30" x14ac:dyDescent="0.25">
      <c r="AD34250"/>
    </row>
    <row r="34251" spans="30:30" x14ac:dyDescent="0.25">
      <c r="AD34251"/>
    </row>
    <row r="34252" spans="30:30" x14ac:dyDescent="0.25">
      <c r="AD34252"/>
    </row>
    <row r="34253" spans="30:30" x14ac:dyDescent="0.25">
      <c r="AD34253"/>
    </row>
    <row r="34254" spans="30:30" x14ac:dyDescent="0.25">
      <c r="AD34254"/>
    </row>
    <row r="34255" spans="30:30" x14ac:dyDescent="0.25">
      <c r="AD34255"/>
    </row>
    <row r="34256" spans="30:30" x14ac:dyDescent="0.25">
      <c r="AD34256"/>
    </row>
    <row r="34257" spans="30:30" x14ac:dyDescent="0.25">
      <c r="AD34257"/>
    </row>
    <row r="34258" spans="30:30" x14ac:dyDescent="0.25">
      <c r="AD34258"/>
    </row>
    <row r="34259" spans="30:30" x14ac:dyDescent="0.25">
      <c r="AD34259"/>
    </row>
    <row r="34260" spans="30:30" x14ac:dyDescent="0.25">
      <c r="AD34260"/>
    </row>
    <row r="34261" spans="30:30" x14ac:dyDescent="0.25">
      <c r="AD34261"/>
    </row>
    <row r="34262" spans="30:30" x14ac:dyDescent="0.25">
      <c r="AD34262"/>
    </row>
    <row r="34263" spans="30:30" x14ac:dyDescent="0.25">
      <c r="AD34263"/>
    </row>
    <row r="34264" spans="30:30" x14ac:dyDescent="0.25">
      <c r="AD34264"/>
    </row>
    <row r="34265" spans="30:30" x14ac:dyDescent="0.25">
      <c r="AD34265"/>
    </row>
    <row r="34266" spans="30:30" x14ac:dyDescent="0.25">
      <c r="AD34266"/>
    </row>
    <row r="34267" spans="30:30" x14ac:dyDescent="0.25">
      <c r="AD34267"/>
    </row>
    <row r="34268" spans="30:30" x14ac:dyDescent="0.25">
      <c r="AD34268"/>
    </row>
    <row r="34269" spans="30:30" x14ac:dyDescent="0.25">
      <c r="AD34269"/>
    </row>
    <row r="34270" spans="30:30" x14ac:dyDescent="0.25">
      <c r="AD34270"/>
    </row>
    <row r="34271" spans="30:30" x14ac:dyDescent="0.25">
      <c r="AD34271"/>
    </row>
    <row r="34272" spans="30:30" x14ac:dyDescent="0.25">
      <c r="AD34272"/>
    </row>
    <row r="34273" spans="30:30" x14ac:dyDescent="0.25">
      <c r="AD34273"/>
    </row>
    <row r="34274" spans="30:30" x14ac:dyDescent="0.25">
      <c r="AD34274"/>
    </row>
    <row r="34275" spans="30:30" x14ac:dyDescent="0.25">
      <c r="AD34275"/>
    </row>
    <row r="34276" spans="30:30" x14ac:dyDescent="0.25">
      <c r="AD34276"/>
    </row>
    <row r="34277" spans="30:30" x14ac:dyDescent="0.25">
      <c r="AD34277"/>
    </row>
    <row r="34278" spans="30:30" x14ac:dyDescent="0.25">
      <c r="AD34278"/>
    </row>
    <row r="34279" spans="30:30" x14ac:dyDescent="0.25">
      <c r="AD34279"/>
    </row>
    <row r="34280" spans="30:30" x14ac:dyDescent="0.25">
      <c r="AD34280"/>
    </row>
    <row r="34281" spans="30:30" x14ac:dyDescent="0.25">
      <c r="AD34281"/>
    </row>
    <row r="34282" spans="30:30" x14ac:dyDescent="0.25">
      <c r="AD34282"/>
    </row>
    <row r="34283" spans="30:30" x14ac:dyDescent="0.25">
      <c r="AD34283"/>
    </row>
    <row r="34284" spans="30:30" x14ac:dyDescent="0.25">
      <c r="AD34284"/>
    </row>
    <row r="34285" spans="30:30" x14ac:dyDescent="0.25">
      <c r="AD34285"/>
    </row>
    <row r="34286" spans="30:30" x14ac:dyDescent="0.25">
      <c r="AD34286"/>
    </row>
    <row r="34287" spans="30:30" x14ac:dyDescent="0.25">
      <c r="AD34287"/>
    </row>
    <row r="34288" spans="30:30" x14ac:dyDescent="0.25">
      <c r="AD34288"/>
    </row>
    <row r="34289" spans="30:30" x14ac:dyDescent="0.25">
      <c r="AD34289"/>
    </row>
    <row r="34290" spans="30:30" x14ac:dyDescent="0.25">
      <c r="AD34290"/>
    </row>
    <row r="34291" spans="30:30" x14ac:dyDescent="0.25">
      <c r="AD34291"/>
    </row>
    <row r="34292" spans="30:30" x14ac:dyDescent="0.25">
      <c r="AD34292"/>
    </row>
    <row r="34293" spans="30:30" x14ac:dyDescent="0.25">
      <c r="AD34293"/>
    </row>
    <row r="34294" spans="30:30" x14ac:dyDescent="0.25">
      <c r="AD34294"/>
    </row>
    <row r="34295" spans="30:30" x14ac:dyDescent="0.25">
      <c r="AD34295"/>
    </row>
    <row r="34296" spans="30:30" x14ac:dyDescent="0.25">
      <c r="AD34296"/>
    </row>
    <row r="34297" spans="30:30" x14ac:dyDescent="0.25">
      <c r="AD34297"/>
    </row>
    <row r="34298" spans="30:30" x14ac:dyDescent="0.25">
      <c r="AD34298"/>
    </row>
    <row r="34299" spans="30:30" x14ac:dyDescent="0.25">
      <c r="AD34299"/>
    </row>
    <row r="34300" spans="30:30" x14ac:dyDescent="0.25">
      <c r="AD34300"/>
    </row>
    <row r="34301" spans="30:30" x14ac:dyDescent="0.25">
      <c r="AD34301"/>
    </row>
    <row r="34302" spans="30:30" x14ac:dyDescent="0.25">
      <c r="AD34302"/>
    </row>
    <row r="34303" spans="30:30" x14ac:dyDescent="0.25">
      <c r="AD34303"/>
    </row>
    <row r="34304" spans="30:30" x14ac:dyDescent="0.25">
      <c r="AD34304"/>
    </row>
    <row r="34305" spans="30:30" x14ac:dyDescent="0.25">
      <c r="AD34305"/>
    </row>
    <row r="34306" spans="30:30" x14ac:dyDescent="0.25">
      <c r="AD34306"/>
    </row>
    <row r="34307" spans="30:30" x14ac:dyDescent="0.25">
      <c r="AD34307"/>
    </row>
    <row r="34308" spans="30:30" x14ac:dyDescent="0.25">
      <c r="AD34308"/>
    </row>
    <row r="34309" spans="30:30" x14ac:dyDescent="0.25">
      <c r="AD34309"/>
    </row>
    <row r="34310" spans="30:30" x14ac:dyDescent="0.25">
      <c r="AD34310"/>
    </row>
    <row r="34311" spans="30:30" x14ac:dyDescent="0.25">
      <c r="AD34311"/>
    </row>
    <row r="34312" spans="30:30" x14ac:dyDescent="0.25">
      <c r="AD34312"/>
    </row>
    <row r="34313" spans="30:30" x14ac:dyDescent="0.25">
      <c r="AD34313"/>
    </row>
    <row r="34314" spans="30:30" x14ac:dyDescent="0.25">
      <c r="AD34314"/>
    </row>
    <row r="34315" spans="30:30" x14ac:dyDescent="0.25">
      <c r="AD34315"/>
    </row>
    <row r="34316" spans="30:30" x14ac:dyDescent="0.25">
      <c r="AD34316"/>
    </row>
    <row r="34317" spans="30:30" x14ac:dyDescent="0.25">
      <c r="AD34317"/>
    </row>
    <row r="34318" spans="30:30" x14ac:dyDescent="0.25">
      <c r="AD34318"/>
    </row>
    <row r="34319" spans="30:30" x14ac:dyDescent="0.25">
      <c r="AD34319"/>
    </row>
    <row r="34320" spans="30:30" x14ac:dyDescent="0.25">
      <c r="AD34320"/>
    </row>
    <row r="34321" spans="30:30" x14ac:dyDescent="0.25">
      <c r="AD34321"/>
    </row>
    <row r="34322" spans="30:30" x14ac:dyDescent="0.25">
      <c r="AD34322"/>
    </row>
    <row r="34323" spans="30:30" x14ac:dyDescent="0.25">
      <c r="AD34323"/>
    </row>
    <row r="34324" spans="30:30" x14ac:dyDescent="0.25">
      <c r="AD34324"/>
    </row>
    <row r="34325" spans="30:30" x14ac:dyDescent="0.25">
      <c r="AD34325"/>
    </row>
    <row r="34326" spans="30:30" x14ac:dyDescent="0.25">
      <c r="AD34326"/>
    </row>
    <row r="34327" spans="30:30" x14ac:dyDescent="0.25">
      <c r="AD34327"/>
    </row>
    <row r="34328" spans="30:30" x14ac:dyDescent="0.25">
      <c r="AD34328"/>
    </row>
    <row r="34329" spans="30:30" x14ac:dyDescent="0.25">
      <c r="AD34329"/>
    </row>
    <row r="34330" spans="30:30" x14ac:dyDescent="0.25">
      <c r="AD34330"/>
    </row>
    <row r="34331" spans="30:30" x14ac:dyDescent="0.25">
      <c r="AD34331"/>
    </row>
    <row r="34332" spans="30:30" x14ac:dyDescent="0.25">
      <c r="AD34332"/>
    </row>
    <row r="34333" spans="30:30" x14ac:dyDescent="0.25">
      <c r="AD34333"/>
    </row>
    <row r="34334" spans="30:30" x14ac:dyDescent="0.25">
      <c r="AD34334"/>
    </row>
    <row r="34335" spans="30:30" x14ac:dyDescent="0.25">
      <c r="AD34335"/>
    </row>
    <row r="34336" spans="30:30" x14ac:dyDescent="0.25">
      <c r="AD34336"/>
    </row>
    <row r="34337" spans="30:30" x14ac:dyDescent="0.25">
      <c r="AD34337"/>
    </row>
    <row r="34338" spans="30:30" x14ac:dyDescent="0.25">
      <c r="AD34338"/>
    </row>
    <row r="34339" spans="30:30" x14ac:dyDescent="0.25">
      <c r="AD34339"/>
    </row>
    <row r="34340" spans="30:30" x14ac:dyDescent="0.25">
      <c r="AD34340"/>
    </row>
    <row r="34341" spans="30:30" x14ac:dyDescent="0.25">
      <c r="AD34341"/>
    </row>
    <row r="34342" spans="30:30" x14ac:dyDescent="0.25">
      <c r="AD34342"/>
    </row>
    <row r="34343" spans="30:30" x14ac:dyDescent="0.25">
      <c r="AD34343"/>
    </row>
    <row r="34344" spans="30:30" x14ac:dyDescent="0.25">
      <c r="AD34344"/>
    </row>
    <row r="34345" spans="30:30" x14ac:dyDescent="0.25">
      <c r="AD34345"/>
    </row>
    <row r="34346" spans="30:30" x14ac:dyDescent="0.25">
      <c r="AD34346"/>
    </row>
    <row r="34347" spans="30:30" x14ac:dyDescent="0.25">
      <c r="AD34347"/>
    </row>
    <row r="34348" spans="30:30" x14ac:dyDescent="0.25">
      <c r="AD34348"/>
    </row>
    <row r="34349" spans="30:30" x14ac:dyDescent="0.25">
      <c r="AD34349"/>
    </row>
    <row r="34350" spans="30:30" x14ac:dyDescent="0.25">
      <c r="AD34350"/>
    </row>
    <row r="34351" spans="30:30" x14ac:dyDescent="0.25">
      <c r="AD34351"/>
    </row>
    <row r="34352" spans="30:30" x14ac:dyDescent="0.25">
      <c r="AD34352"/>
    </row>
    <row r="34353" spans="30:30" x14ac:dyDescent="0.25">
      <c r="AD34353"/>
    </row>
    <row r="34354" spans="30:30" x14ac:dyDescent="0.25">
      <c r="AD34354"/>
    </row>
    <row r="34355" spans="30:30" x14ac:dyDescent="0.25">
      <c r="AD34355"/>
    </row>
    <row r="34356" spans="30:30" x14ac:dyDescent="0.25">
      <c r="AD34356"/>
    </row>
    <row r="34357" spans="30:30" x14ac:dyDescent="0.25">
      <c r="AD34357"/>
    </row>
    <row r="34358" spans="30:30" x14ac:dyDescent="0.25">
      <c r="AD34358"/>
    </row>
    <row r="34359" spans="30:30" x14ac:dyDescent="0.25">
      <c r="AD34359"/>
    </row>
    <row r="34360" spans="30:30" x14ac:dyDescent="0.25">
      <c r="AD34360"/>
    </row>
    <row r="34361" spans="30:30" x14ac:dyDescent="0.25">
      <c r="AD34361"/>
    </row>
    <row r="34362" spans="30:30" x14ac:dyDescent="0.25">
      <c r="AD34362"/>
    </row>
    <row r="34363" spans="30:30" x14ac:dyDescent="0.25">
      <c r="AD34363"/>
    </row>
    <row r="34364" spans="30:30" x14ac:dyDescent="0.25">
      <c r="AD34364"/>
    </row>
    <row r="34365" spans="30:30" x14ac:dyDescent="0.25">
      <c r="AD34365"/>
    </row>
    <row r="34366" spans="30:30" x14ac:dyDescent="0.25">
      <c r="AD34366"/>
    </row>
    <row r="34367" spans="30:30" x14ac:dyDescent="0.25">
      <c r="AD34367"/>
    </row>
    <row r="34368" spans="30:30" x14ac:dyDescent="0.25">
      <c r="AD34368"/>
    </row>
    <row r="34369" spans="30:30" x14ac:dyDescent="0.25">
      <c r="AD34369"/>
    </row>
    <row r="34370" spans="30:30" x14ac:dyDescent="0.25">
      <c r="AD34370"/>
    </row>
    <row r="34371" spans="30:30" x14ac:dyDescent="0.25">
      <c r="AD34371"/>
    </row>
    <row r="34372" spans="30:30" x14ac:dyDescent="0.25">
      <c r="AD34372"/>
    </row>
    <row r="34373" spans="30:30" x14ac:dyDescent="0.25">
      <c r="AD34373"/>
    </row>
    <row r="34374" spans="30:30" x14ac:dyDescent="0.25">
      <c r="AD34374"/>
    </row>
    <row r="34375" spans="30:30" x14ac:dyDescent="0.25">
      <c r="AD34375"/>
    </row>
    <row r="34376" spans="30:30" x14ac:dyDescent="0.25">
      <c r="AD34376"/>
    </row>
    <row r="34377" spans="30:30" x14ac:dyDescent="0.25">
      <c r="AD34377"/>
    </row>
    <row r="34378" spans="30:30" x14ac:dyDescent="0.25">
      <c r="AD34378"/>
    </row>
    <row r="34379" spans="30:30" x14ac:dyDescent="0.25">
      <c r="AD34379"/>
    </row>
    <row r="34380" spans="30:30" x14ac:dyDescent="0.25">
      <c r="AD34380"/>
    </row>
    <row r="34381" spans="30:30" x14ac:dyDescent="0.25">
      <c r="AD34381"/>
    </row>
    <row r="34382" spans="30:30" x14ac:dyDescent="0.25">
      <c r="AD34382"/>
    </row>
    <row r="34383" spans="30:30" x14ac:dyDescent="0.25">
      <c r="AD34383"/>
    </row>
    <row r="34384" spans="30:30" x14ac:dyDescent="0.25">
      <c r="AD34384"/>
    </row>
    <row r="34385" spans="30:30" x14ac:dyDescent="0.25">
      <c r="AD34385"/>
    </row>
    <row r="34386" spans="30:30" x14ac:dyDescent="0.25">
      <c r="AD34386"/>
    </row>
    <row r="34387" spans="30:30" x14ac:dyDescent="0.25">
      <c r="AD34387"/>
    </row>
    <row r="34388" spans="30:30" x14ac:dyDescent="0.25">
      <c r="AD34388"/>
    </row>
    <row r="34389" spans="30:30" x14ac:dyDescent="0.25">
      <c r="AD34389"/>
    </row>
    <row r="34390" spans="30:30" x14ac:dyDescent="0.25">
      <c r="AD34390"/>
    </row>
    <row r="34391" spans="30:30" x14ac:dyDescent="0.25">
      <c r="AD34391"/>
    </row>
    <row r="34392" spans="30:30" x14ac:dyDescent="0.25">
      <c r="AD34392"/>
    </row>
    <row r="34393" spans="30:30" x14ac:dyDescent="0.25">
      <c r="AD34393"/>
    </row>
    <row r="34394" spans="30:30" x14ac:dyDescent="0.25">
      <c r="AD34394"/>
    </row>
    <row r="34395" spans="30:30" x14ac:dyDescent="0.25">
      <c r="AD34395"/>
    </row>
    <row r="34396" spans="30:30" x14ac:dyDescent="0.25">
      <c r="AD34396"/>
    </row>
    <row r="34397" spans="30:30" x14ac:dyDescent="0.25">
      <c r="AD34397"/>
    </row>
    <row r="34398" spans="30:30" x14ac:dyDescent="0.25">
      <c r="AD34398"/>
    </row>
    <row r="34399" spans="30:30" x14ac:dyDescent="0.25">
      <c r="AD34399"/>
    </row>
    <row r="34400" spans="30:30" x14ac:dyDescent="0.25">
      <c r="AD34400"/>
    </row>
    <row r="34401" spans="30:30" x14ac:dyDescent="0.25">
      <c r="AD34401"/>
    </row>
    <row r="34402" spans="30:30" x14ac:dyDescent="0.25">
      <c r="AD34402"/>
    </row>
    <row r="34403" spans="30:30" x14ac:dyDescent="0.25">
      <c r="AD34403"/>
    </row>
    <row r="34404" spans="30:30" x14ac:dyDescent="0.25">
      <c r="AD34404"/>
    </row>
    <row r="34405" spans="30:30" x14ac:dyDescent="0.25">
      <c r="AD34405"/>
    </row>
    <row r="34406" spans="30:30" x14ac:dyDescent="0.25">
      <c r="AD34406"/>
    </row>
    <row r="34407" spans="30:30" x14ac:dyDescent="0.25">
      <c r="AD34407"/>
    </row>
    <row r="34408" spans="30:30" x14ac:dyDescent="0.25">
      <c r="AD34408"/>
    </row>
    <row r="34409" spans="30:30" x14ac:dyDescent="0.25">
      <c r="AD34409"/>
    </row>
    <row r="34410" spans="30:30" x14ac:dyDescent="0.25">
      <c r="AD34410"/>
    </row>
    <row r="34411" spans="30:30" x14ac:dyDescent="0.25">
      <c r="AD34411"/>
    </row>
    <row r="34412" spans="30:30" x14ac:dyDescent="0.25">
      <c r="AD34412"/>
    </row>
    <row r="34413" spans="30:30" x14ac:dyDescent="0.25">
      <c r="AD34413"/>
    </row>
    <row r="34414" spans="30:30" x14ac:dyDescent="0.25">
      <c r="AD34414"/>
    </row>
    <row r="34415" spans="30:30" x14ac:dyDescent="0.25">
      <c r="AD34415"/>
    </row>
    <row r="34416" spans="30:30" x14ac:dyDescent="0.25">
      <c r="AD34416"/>
    </row>
    <row r="34417" spans="30:30" x14ac:dyDescent="0.25">
      <c r="AD34417"/>
    </row>
    <row r="34418" spans="30:30" x14ac:dyDescent="0.25">
      <c r="AD34418"/>
    </row>
    <row r="34419" spans="30:30" x14ac:dyDescent="0.25">
      <c r="AD34419"/>
    </row>
    <row r="34420" spans="30:30" x14ac:dyDescent="0.25">
      <c r="AD34420"/>
    </row>
    <row r="34421" spans="30:30" x14ac:dyDescent="0.25">
      <c r="AD34421"/>
    </row>
    <row r="34422" spans="30:30" x14ac:dyDescent="0.25">
      <c r="AD34422"/>
    </row>
    <row r="34423" spans="30:30" x14ac:dyDescent="0.25">
      <c r="AD34423"/>
    </row>
    <row r="34424" spans="30:30" x14ac:dyDescent="0.25">
      <c r="AD34424"/>
    </row>
    <row r="34425" spans="30:30" x14ac:dyDescent="0.25">
      <c r="AD34425"/>
    </row>
    <row r="34426" spans="30:30" x14ac:dyDescent="0.25">
      <c r="AD34426"/>
    </row>
    <row r="34427" spans="30:30" x14ac:dyDescent="0.25">
      <c r="AD34427"/>
    </row>
    <row r="34428" spans="30:30" x14ac:dyDescent="0.25">
      <c r="AD34428"/>
    </row>
    <row r="34429" spans="30:30" x14ac:dyDescent="0.25">
      <c r="AD34429"/>
    </row>
    <row r="34430" spans="30:30" x14ac:dyDescent="0.25">
      <c r="AD34430"/>
    </row>
    <row r="34431" spans="30:30" x14ac:dyDescent="0.25">
      <c r="AD34431"/>
    </row>
    <row r="34432" spans="30:30" x14ac:dyDescent="0.25">
      <c r="AD34432"/>
    </row>
    <row r="34433" spans="30:30" x14ac:dyDescent="0.25">
      <c r="AD34433"/>
    </row>
    <row r="34434" spans="30:30" x14ac:dyDescent="0.25">
      <c r="AD34434"/>
    </row>
    <row r="34435" spans="30:30" x14ac:dyDescent="0.25">
      <c r="AD34435"/>
    </row>
    <row r="34436" spans="30:30" x14ac:dyDescent="0.25">
      <c r="AD34436"/>
    </row>
    <row r="34437" spans="30:30" x14ac:dyDescent="0.25">
      <c r="AD34437"/>
    </row>
    <row r="34438" spans="30:30" x14ac:dyDescent="0.25">
      <c r="AD34438"/>
    </row>
    <row r="34439" spans="30:30" x14ac:dyDescent="0.25">
      <c r="AD34439"/>
    </row>
    <row r="34440" spans="30:30" x14ac:dyDescent="0.25">
      <c r="AD34440"/>
    </row>
    <row r="34441" spans="30:30" x14ac:dyDescent="0.25">
      <c r="AD34441"/>
    </row>
    <row r="34442" spans="30:30" x14ac:dyDescent="0.25">
      <c r="AD34442"/>
    </row>
    <row r="34443" spans="30:30" x14ac:dyDescent="0.25">
      <c r="AD34443"/>
    </row>
    <row r="34444" spans="30:30" x14ac:dyDescent="0.25">
      <c r="AD34444"/>
    </row>
    <row r="34445" spans="30:30" x14ac:dyDescent="0.25">
      <c r="AD34445"/>
    </row>
    <row r="34446" spans="30:30" x14ac:dyDescent="0.25">
      <c r="AD34446"/>
    </row>
    <row r="34447" spans="30:30" x14ac:dyDescent="0.25">
      <c r="AD34447"/>
    </row>
    <row r="34448" spans="30:30" x14ac:dyDescent="0.25">
      <c r="AD34448"/>
    </row>
    <row r="34449" spans="30:30" x14ac:dyDescent="0.25">
      <c r="AD34449"/>
    </row>
    <row r="34450" spans="30:30" x14ac:dyDescent="0.25">
      <c r="AD34450"/>
    </row>
    <row r="34451" spans="30:30" x14ac:dyDescent="0.25">
      <c r="AD34451"/>
    </row>
    <row r="34452" spans="30:30" x14ac:dyDescent="0.25">
      <c r="AD34452"/>
    </row>
    <row r="34453" spans="30:30" x14ac:dyDescent="0.25">
      <c r="AD34453"/>
    </row>
    <row r="34454" spans="30:30" x14ac:dyDescent="0.25">
      <c r="AD34454"/>
    </row>
    <row r="34455" spans="30:30" x14ac:dyDescent="0.25">
      <c r="AD34455"/>
    </row>
    <row r="34456" spans="30:30" x14ac:dyDescent="0.25">
      <c r="AD34456"/>
    </row>
    <row r="34457" spans="30:30" x14ac:dyDescent="0.25">
      <c r="AD34457"/>
    </row>
    <row r="34458" spans="30:30" x14ac:dyDescent="0.25">
      <c r="AD34458"/>
    </row>
    <row r="34459" spans="30:30" x14ac:dyDescent="0.25">
      <c r="AD34459"/>
    </row>
    <row r="34460" spans="30:30" x14ac:dyDescent="0.25">
      <c r="AD34460"/>
    </row>
    <row r="34461" spans="30:30" x14ac:dyDescent="0.25">
      <c r="AD34461"/>
    </row>
    <row r="34462" spans="30:30" x14ac:dyDescent="0.25">
      <c r="AD34462"/>
    </row>
    <row r="34463" spans="30:30" x14ac:dyDescent="0.25">
      <c r="AD34463"/>
    </row>
    <row r="34464" spans="30:30" x14ac:dyDescent="0.25">
      <c r="AD34464"/>
    </row>
    <row r="34465" spans="30:30" x14ac:dyDescent="0.25">
      <c r="AD34465"/>
    </row>
    <row r="34466" spans="30:30" x14ac:dyDescent="0.25">
      <c r="AD34466"/>
    </row>
    <row r="34467" spans="30:30" x14ac:dyDescent="0.25">
      <c r="AD34467"/>
    </row>
    <row r="34468" spans="30:30" x14ac:dyDescent="0.25">
      <c r="AD34468"/>
    </row>
    <row r="34469" spans="30:30" x14ac:dyDescent="0.25">
      <c r="AD34469"/>
    </row>
    <row r="34470" spans="30:30" x14ac:dyDescent="0.25">
      <c r="AD34470"/>
    </row>
    <row r="34471" spans="30:30" x14ac:dyDescent="0.25">
      <c r="AD34471"/>
    </row>
    <row r="34472" spans="30:30" x14ac:dyDescent="0.25">
      <c r="AD34472"/>
    </row>
    <row r="34473" spans="30:30" x14ac:dyDescent="0.25">
      <c r="AD34473"/>
    </row>
    <row r="34474" spans="30:30" x14ac:dyDescent="0.25">
      <c r="AD34474"/>
    </row>
    <row r="34475" spans="30:30" x14ac:dyDescent="0.25">
      <c r="AD34475"/>
    </row>
    <row r="34476" spans="30:30" x14ac:dyDescent="0.25">
      <c r="AD34476"/>
    </row>
    <row r="34477" spans="30:30" x14ac:dyDescent="0.25">
      <c r="AD34477"/>
    </row>
    <row r="34478" spans="30:30" x14ac:dyDescent="0.25">
      <c r="AD34478"/>
    </row>
    <row r="34479" spans="30:30" x14ac:dyDescent="0.25">
      <c r="AD34479"/>
    </row>
    <row r="34480" spans="30:30" x14ac:dyDescent="0.25">
      <c r="AD34480"/>
    </row>
    <row r="34481" spans="30:30" x14ac:dyDescent="0.25">
      <c r="AD34481"/>
    </row>
    <row r="34482" spans="30:30" x14ac:dyDescent="0.25">
      <c r="AD34482"/>
    </row>
    <row r="34483" spans="30:30" x14ac:dyDescent="0.25">
      <c r="AD34483"/>
    </row>
    <row r="34484" spans="30:30" x14ac:dyDescent="0.25">
      <c r="AD34484"/>
    </row>
    <row r="34485" spans="30:30" x14ac:dyDescent="0.25">
      <c r="AD34485"/>
    </row>
    <row r="34486" spans="30:30" x14ac:dyDescent="0.25">
      <c r="AD34486"/>
    </row>
    <row r="34487" spans="30:30" x14ac:dyDescent="0.25">
      <c r="AD34487"/>
    </row>
    <row r="34488" spans="30:30" x14ac:dyDescent="0.25">
      <c r="AD34488"/>
    </row>
    <row r="34489" spans="30:30" x14ac:dyDescent="0.25">
      <c r="AD34489"/>
    </row>
    <row r="34490" spans="30:30" x14ac:dyDescent="0.25">
      <c r="AD34490"/>
    </row>
    <row r="34491" spans="30:30" x14ac:dyDescent="0.25">
      <c r="AD34491"/>
    </row>
    <row r="34492" spans="30:30" x14ac:dyDescent="0.25">
      <c r="AD34492"/>
    </row>
    <row r="34493" spans="30:30" x14ac:dyDescent="0.25">
      <c r="AD34493"/>
    </row>
    <row r="34494" spans="30:30" x14ac:dyDescent="0.25">
      <c r="AD34494"/>
    </row>
    <row r="34495" spans="30:30" x14ac:dyDescent="0.25">
      <c r="AD34495"/>
    </row>
    <row r="34496" spans="30:30" x14ac:dyDescent="0.25">
      <c r="AD34496"/>
    </row>
    <row r="34497" spans="30:30" x14ac:dyDescent="0.25">
      <c r="AD34497"/>
    </row>
    <row r="34498" spans="30:30" x14ac:dyDescent="0.25">
      <c r="AD34498"/>
    </row>
    <row r="34499" spans="30:30" x14ac:dyDescent="0.25">
      <c r="AD34499"/>
    </row>
    <row r="34500" spans="30:30" x14ac:dyDescent="0.25">
      <c r="AD34500"/>
    </row>
    <row r="34501" spans="30:30" x14ac:dyDescent="0.25">
      <c r="AD34501"/>
    </row>
    <row r="34502" spans="30:30" x14ac:dyDescent="0.25">
      <c r="AD34502"/>
    </row>
    <row r="34503" spans="30:30" x14ac:dyDescent="0.25">
      <c r="AD34503"/>
    </row>
    <row r="34504" spans="30:30" x14ac:dyDescent="0.25">
      <c r="AD34504"/>
    </row>
    <row r="34505" spans="30:30" x14ac:dyDescent="0.25">
      <c r="AD34505"/>
    </row>
    <row r="34506" spans="30:30" x14ac:dyDescent="0.25">
      <c r="AD34506"/>
    </row>
    <row r="34507" spans="30:30" x14ac:dyDescent="0.25">
      <c r="AD34507"/>
    </row>
    <row r="34508" spans="30:30" x14ac:dyDescent="0.25">
      <c r="AD34508"/>
    </row>
    <row r="34509" spans="30:30" x14ac:dyDescent="0.25">
      <c r="AD34509"/>
    </row>
    <row r="34510" spans="30:30" x14ac:dyDescent="0.25">
      <c r="AD34510"/>
    </row>
    <row r="34511" spans="30:30" x14ac:dyDescent="0.25">
      <c r="AD34511"/>
    </row>
    <row r="34512" spans="30:30" x14ac:dyDescent="0.25">
      <c r="AD34512"/>
    </row>
    <row r="34513" spans="30:30" x14ac:dyDescent="0.25">
      <c r="AD34513"/>
    </row>
    <row r="34514" spans="30:30" x14ac:dyDescent="0.25">
      <c r="AD34514"/>
    </row>
    <row r="34515" spans="30:30" x14ac:dyDescent="0.25">
      <c r="AD34515"/>
    </row>
    <row r="34516" spans="30:30" x14ac:dyDescent="0.25">
      <c r="AD34516"/>
    </row>
    <row r="34517" spans="30:30" x14ac:dyDescent="0.25">
      <c r="AD34517"/>
    </row>
    <row r="34518" spans="30:30" x14ac:dyDescent="0.25">
      <c r="AD34518"/>
    </row>
    <row r="34519" spans="30:30" x14ac:dyDescent="0.25">
      <c r="AD34519"/>
    </row>
    <row r="34520" spans="30:30" x14ac:dyDescent="0.25">
      <c r="AD34520"/>
    </row>
    <row r="34521" spans="30:30" x14ac:dyDescent="0.25">
      <c r="AD34521"/>
    </row>
    <row r="34522" spans="30:30" x14ac:dyDescent="0.25">
      <c r="AD34522"/>
    </row>
    <row r="34523" spans="30:30" x14ac:dyDescent="0.25">
      <c r="AD34523"/>
    </row>
    <row r="34524" spans="30:30" x14ac:dyDescent="0.25">
      <c r="AD34524"/>
    </row>
    <row r="34525" spans="30:30" x14ac:dyDescent="0.25">
      <c r="AD34525"/>
    </row>
    <row r="34526" spans="30:30" x14ac:dyDescent="0.25">
      <c r="AD34526"/>
    </row>
    <row r="34527" spans="30:30" x14ac:dyDescent="0.25">
      <c r="AD34527"/>
    </row>
    <row r="34528" spans="30:30" x14ac:dyDescent="0.25">
      <c r="AD34528"/>
    </row>
    <row r="34529" spans="30:30" x14ac:dyDescent="0.25">
      <c r="AD34529"/>
    </row>
    <row r="34530" spans="30:30" x14ac:dyDescent="0.25">
      <c r="AD34530"/>
    </row>
    <row r="34531" spans="30:30" x14ac:dyDescent="0.25">
      <c r="AD34531"/>
    </row>
    <row r="34532" spans="30:30" x14ac:dyDescent="0.25">
      <c r="AD34532"/>
    </row>
    <row r="34533" spans="30:30" x14ac:dyDescent="0.25">
      <c r="AD34533"/>
    </row>
    <row r="34534" spans="30:30" x14ac:dyDescent="0.25">
      <c r="AD34534"/>
    </row>
    <row r="34535" spans="30:30" x14ac:dyDescent="0.25">
      <c r="AD34535"/>
    </row>
    <row r="34536" spans="30:30" x14ac:dyDescent="0.25">
      <c r="AD34536"/>
    </row>
    <row r="34537" spans="30:30" x14ac:dyDescent="0.25">
      <c r="AD34537"/>
    </row>
    <row r="34538" spans="30:30" x14ac:dyDescent="0.25">
      <c r="AD34538"/>
    </row>
    <row r="34539" spans="30:30" x14ac:dyDescent="0.25">
      <c r="AD34539"/>
    </row>
    <row r="34540" spans="30:30" x14ac:dyDescent="0.25">
      <c r="AD34540"/>
    </row>
    <row r="34541" spans="30:30" x14ac:dyDescent="0.25">
      <c r="AD34541"/>
    </row>
    <row r="34542" spans="30:30" x14ac:dyDescent="0.25">
      <c r="AD34542"/>
    </row>
    <row r="34543" spans="30:30" x14ac:dyDescent="0.25">
      <c r="AD34543"/>
    </row>
    <row r="34544" spans="30:30" x14ac:dyDescent="0.25">
      <c r="AD34544"/>
    </row>
    <row r="34545" spans="30:30" x14ac:dyDescent="0.25">
      <c r="AD34545"/>
    </row>
    <row r="34546" spans="30:30" x14ac:dyDescent="0.25">
      <c r="AD34546"/>
    </row>
    <row r="34547" spans="30:30" x14ac:dyDescent="0.25">
      <c r="AD34547"/>
    </row>
    <row r="34548" spans="30:30" x14ac:dyDescent="0.25">
      <c r="AD34548"/>
    </row>
    <row r="34549" spans="30:30" x14ac:dyDescent="0.25">
      <c r="AD34549"/>
    </row>
    <row r="34550" spans="30:30" x14ac:dyDescent="0.25">
      <c r="AD34550"/>
    </row>
    <row r="34551" spans="30:30" x14ac:dyDescent="0.25">
      <c r="AD34551"/>
    </row>
    <row r="34552" spans="30:30" x14ac:dyDescent="0.25">
      <c r="AD34552"/>
    </row>
    <row r="34553" spans="30:30" x14ac:dyDescent="0.25">
      <c r="AD34553"/>
    </row>
    <row r="34554" spans="30:30" x14ac:dyDescent="0.25">
      <c r="AD34554"/>
    </row>
    <row r="34555" spans="30:30" x14ac:dyDescent="0.25">
      <c r="AD34555"/>
    </row>
    <row r="34556" spans="30:30" x14ac:dyDescent="0.25">
      <c r="AD34556"/>
    </row>
    <row r="34557" spans="30:30" x14ac:dyDescent="0.25">
      <c r="AD34557"/>
    </row>
    <row r="34558" spans="30:30" x14ac:dyDescent="0.25">
      <c r="AD34558"/>
    </row>
    <row r="34559" spans="30:30" x14ac:dyDescent="0.25">
      <c r="AD34559"/>
    </row>
    <row r="34560" spans="30:30" x14ac:dyDescent="0.25">
      <c r="AD34560"/>
    </row>
    <row r="34561" spans="30:30" x14ac:dyDescent="0.25">
      <c r="AD34561"/>
    </row>
    <row r="34562" spans="30:30" x14ac:dyDescent="0.25">
      <c r="AD34562"/>
    </row>
    <row r="34563" spans="30:30" x14ac:dyDescent="0.25">
      <c r="AD34563"/>
    </row>
    <row r="34564" spans="30:30" x14ac:dyDescent="0.25">
      <c r="AD34564"/>
    </row>
    <row r="34565" spans="30:30" x14ac:dyDescent="0.25">
      <c r="AD34565"/>
    </row>
    <row r="34566" spans="30:30" x14ac:dyDescent="0.25">
      <c r="AD34566"/>
    </row>
    <row r="34567" spans="30:30" x14ac:dyDescent="0.25">
      <c r="AD34567"/>
    </row>
    <row r="34568" spans="30:30" x14ac:dyDescent="0.25">
      <c r="AD34568"/>
    </row>
    <row r="34569" spans="30:30" x14ac:dyDescent="0.25">
      <c r="AD34569"/>
    </row>
    <row r="34570" spans="30:30" x14ac:dyDescent="0.25">
      <c r="AD34570"/>
    </row>
    <row r="34571" spans="30:30" x14ac:dyDescent="0.25">
      <c r="AD34571"/>
    </row>
    <row r="34572" spans="30:30" x14ac:dyDescent="0.25">
      <c r="AD34572"/>
    </row>
    <row r="34573" spans="30:30" x14ac:dyDescent="0.25">
      <c r="AD34573"/>
    </row>
    <row r="34574" spans="30:30" x14ac:dyDescent="0.25">
      <c r="AD34574"/>
    </row>
    <row r="34575" spans="30:30" x14ac:dyDescent="0.25">
      <c r="AD34575"/>
    </row>
    <row r="34576" spans="30:30" x14ac:dyDescent="0.25">
      <c r="AD34576"/>
    </row>
    <row r="34577" spans="30:30" x14ac:dyDescent="0.25">
      <c r="AD34577"/>
    </row>
    <row r="34578" spans="30:30" x14ac:dyDescent="0.25">
      <c r="AD34578"/>
    </row>
    <row r="34579" spans="30:30" x14ac:dyDescent="0.25">
      <c r="AD34579"/>
    </row>
    <row r="34580" spans="30:30" x14ac:dyDescent="0.25">
      <c r="AD34580"/>
    </row>
    <row r="34581" spans="30:30" x14ac:dyDescent="0.25">
      <c r="AD34581"/>
    </row>
    <row r="34582" spans="30:30" x14ac:dyDescent="0.25">
      <c r="AD34582"/>
    </row>
    <row r="34583" spans="30:30" x14ac:dyDescent="0.25">
      <c r="AD34583"/>
    </row>
    <row r="34584" spans="30:30" x14ac:dyDescent="0.25">
      <c r="AD34584"/>
    </row>
    <row r="34585" spans="30:30" x14ac:dyDescent="0.25">
      <c r="AD34585"/>
    </row>
    <row r="34586" spans="30:30" x14ac:dyDescent="0.25">
      <c r="AD34586"/>
    </row>
    <row r="34587" spans="30:30" x14ac:dyDescent="0.25">
      <c r="AD34587"/>
    </row>
    <row r="34588" spans="30:30" x14ac:dyDescent="0.25">
      <c r="AD34588"/>
    </row>
    <row r="34589" spans="30:30" x14ac:dyDescent="0.25">
      <c r="AD34589"/>
    </row>
    <row r="34590" spans="30:30" x14ac:dyDescent="0.25">
      <c r="AD34590"/>
    </row>
    <row r="34591" spans="30:30" x14ac:dyDescent="0.25">
      <c r="AD34591"/>
    </row>
    <row r="34592" spans="30:30" x14ac:dyDescent="0.25">
      <c r="AD34592"/>
    </row>
    <row r="34593" spans="30:30" x14ac:dyDescent="0.25">
      <c r="AD34593"/>
    </row>
    <row r="34594" spans="30:30" x14ac:dyDescent="0.25">
      <c r="AD34594"/>
    </row>
    <row r="34595" spans="30:30" x14ac:dyDescent="0.25">
      <c r="AD34595"/>
    </row>
    <row r="34596" spans="30:30" x14ac:dyDescent="0.25">
      <c r="AD34596"/>
    </row>
    <row r="34597" spans="30:30" x14ac:dyDescent="0.25">
      <c r="AD34597"/>
    </row>
    <row r="34598" spans="30:30" x14ac:dyDescent="0.25">
      <c r="AD34598"/>
    </row>
    <row r="34599" spans="30:30" x14ac:dyDescent="0.25">
      <c r="AD34599"/>
    </row>
    <row r="34600" spans="30:30" x14ac:dyDescent="0.25">
      <c r="AD34600"/>
    </row>
    <row r="34601" spans="30:30" x14ac:dyDescent="0.25">
      <c r="AD34601"/>
    </row>
    <row r="34602" spans="30:30" x14ac:dyDescent="0.25">
      <c r="AD34602"/>
    </row>
    <row r="34603" spans="30:30" x14ac:dyDescent="0.25">
      <c r="AD34603"/>
    </row>
    <row r="34604" spans="30:30" x14ac:dyDescent="0.25">
      <c r="AD34604"/>
    </row>
    <row r="34605" spans="30:30" x14ac:dyDescent="0.25">
      <c r="AD34605"/>
    </row>
    <row r="34606" spans="30:30" x14ac:dyDescent="0.25">
      <c r="AD34606"/>
    </row>
    <row r="34607" spans="30:30" x14ac:dyDescent="0.25">
      <c r="AD34607"/>
    </row>
    <row r="34608" spans="30:30" x14ac:dyDescent="0.25">
      <c r="AD34608"/>
    </row>
    <row r="34609" spans="30:30" x14ac:dyDescent="0.25">
      <c r="AD34609"/>
    </row>
    <row r="34610" spans="30:30" x14ac:dyDescent="0.25">
      <c r="AD34610"/>
    </row>
    <row r="34611" spans="30:30" x14ac:dyDescent="0.25">
      <c r="AD34611"/>
    </row>
    <row r="34612" spans="30:30" x14ac:dyDescent="0.25">
      <c r="AD34612"/>
    </row>
    <row r="34613" spans="30:30" x14ac:dyDescent="0.25">
      <c r="AD34613"/>
    </row>
    <row r="34614" spans="30:30" x14ac:dyDescent="0.25">
      <c r="AD34614"/>
    </row>
    <row r="34615" spans="30:30" x14ac:dyDescent="0.25">
      <c r="AD34615"/>
    </row>
    <row r="34616" spans="30:30" x14ac:dyDescent="0.25">
      <c r="AD34616"/>
    </row>
    <row r="34617" spans="30:30" x14ac:dyDescent="0.25">
      <c r="AD34617"/>
    </row>
    <row r="34618" spans="30:30" x14ac:dyDescent="0.25">
      <c r="AD34618"/>
    </row>
    <row r="34619" spans="30:30" x14ac:dyDescent="0.25">
      <c r="AD34619"/>
    </row>
    <row r="34620" spans="30:30" x14ac:dyDescent="0.25">
      <c r="AD34620"/>
    </row>
    <row r="34621" spans="30:30" x14ac:dyDescent="0.25">
      <c r="AD34621"/>
    </row>
    <row r="34622" spans="30:30" x14ac:dyDescent="0.25">
      <c r="AD34622"/>
    </row>
    <row r="34623" spans="30:30" x14ac:dyDescent="0.25">
      <c r="AD34623"/>
    </row>
    <row r="34624" spans="30:30" x14ac:dyDescent="0.25">
      <c r="AD34624"/>
    </row>
    <row r="34625" spans="30:30" x14ac:dyDescent="0.25">
      <c r="AD34625"/>
    </row>
    <row r="34626" spans="30:30" x14ac:dyDescent="0.25">
      <c r="AD34626"/>
    </row>
    <row r="34627" spans="30:30" x14ac:dyDescent="0.25">
      <c r="AD34627"/>
    </row>
    <row r="34628" spans="30:30" x14ac:dyDescent="0.25">
      <c r="AD34628"/>
    </row>
    <row r="34629" spans="30:30" x14ac:dyDescent="0.25">
      <c r="AD34629"/>
    </row>
    <row r="34630" spans="30:30" x14ac:dyDescent="0.25">
      <c r="AD34630"/>
    </row>
    <row r="34631" spans="30:30" x14ac:dyDescent="0.25">
      <c r="AD34631"/>
    </row>
    <row r="34632" spans="30:30" x14ac:dyDescent="0.25">
      <c r="AD34632"/>
    </row>
    <row r="34633" spans="30:30" x14ac:dyDescent="0.25">
      <c r="AD34633"/>
    </row>
    <row r="34634" spans="30:30" x14ac:dyDescent="0.25">
      <c r="AD34634"/>
    </row>
    <row r="34635" spans="30:30" x14ac:dyDescent="0.25">
      <c r="AD34635"/>
    </row>
    <row r="34636" spans="30:30" x14ac:dyDescent="0.25">
      <c r="AD34636"/>
    </row>
    <row r="34637" spans="30:30" x14ac:dyDescent="0.25">
      <c r="AD34637"/>
    </row>
    <row r="34638" spans="30:30" x14ac:dyDescent="0.25">
      <c r="AD34638"/>
    </row>
    <row r="34639" spans="30:30" x14ac:dyDescent="0.25">
      <c r="AD34639"/>
    </row>
    <row r="34640" spans="30:30" x14ac:dyDescent="0.25">
      <c r="AD34640"/>
    </row>
    <row r="34641" spans="30:30" x14ac:dyDescent="0.25">
      <c r="AD34641"/>
    </row>
    <row r="34642" spans="30:30" x14ac:dyDescent="0.25">
      <c r="AD34642"/>
    </row>
    <row r="34643" spans="30:30" x14ac:dyDescent="0.25">
      <c r="AD34643"/>
    </row>
    <row r="34644" spans="30:30" x14ac:dyDescent="0.25">
      <c r="AD34644"/>
    </row>
    <row r="34645" spans="30:30" x14ac:dyDescent="0.25">
      <c r="AD34645"/>
    </row>
    <row r="34646" spans="30:30" x14ac:dyDescent="0.25">
      <c r="AD34646"/>
    </row>
    <row r="34647" spans="30:30" x14ac:dyDescent="0.25">
      <c r="AD34647"/>
    </row>
    <row r="34648" spans="30:30" x14ac:dyDescent="0.25">
      <c r="AD34648"/>
    </row>
    <row r="34649" spans="30:30" x14ac:dyDescent="0.25">
      <c r="AD34649"/>
    </row>
    <row r="34650" spans="30:30" x14ac:dyDescent="0.25">
      <c r="AD34650"/>
    </row>
    <row r="34651" spans="30:30" x14ac:dyDescent="0.25">
      <c r="AD34651"/>
    </row>
    <row r="34652" spans="30:30" x14ac:dyDescent="0.25">
      <c r="AD34652"/>
    </row>
    <row r="34653" spans="30:30" x14ac:dyDescent="0.25">
      <c r="AD34653"/>
    </row>
    <row r="34654" spans="30:30" x14ac:dyDescent="0.25">
      <c r="AD34654"/>
    </row>
    <row r="34655" spans="30:30" x14ac:dyDescent="0.25">
      <c r="AD34655"/>
    </row>
    <row r="34656" spans="30:30" x14ac:dyDescent="0.25">
      <c r="AD34656"/>
    </row>
    <row r="34657" spans="30:30" x14ac:dyDescent="0.25">
      <c r="AD34657"/>
    </row>
    <row r="34658" spans="30:30" x14ac:dyDescent="0.25">
      <c r="AD34658"/>
    </row>
    <row r="34659" spans="30:30" x14ac:dyDescent="0.25">
      <c r="AD34659"/>
    </row>
    <row r="34660" spans="30:30" x14ac:dyDescent="0.25">
      <c r="AD34660"/>
    </row>
    <row r="34661" spans="30:30" x14ac:dyDescent="0.25">
      <c r="AD34661"/>
    </row>
    <row r="34662" spans="30:30" x14ac:dyDescent="0.25">
      <c r="AD34662"/>
    </row>
    <row r="34663" spans="30:30" x14ac:dyDescent="0.25">
      <c r="AD34663"/>
    </row>
    <row r="34664" spans="30:30" x14ac:dyDescent="0.25">
      <c r="AD34664"/>
    </row>
    <row r="34665" spans="30:30" x14ac:dyDescent="0.25">
      <c r="AD34665"/>
    </row>
    <row r="34666" spans="30:30" x14ac:dyDescent="0.25">
      <c r="AD34666"/>
    </row>
    <row r="34667" spans="30:30" x14ac:dyDescent="0.25">
      <c r="AD34667"/>
    </row>
    <row r="34668" spans="30:30" x14ac:dyDescent="0.25">
      <c r="AD34668"/>
    </row>
    <row r="34669" spans="30:30" x14ac:dyDescent="0.25">
      <c r="AD34669"/>
    </row>
    <row r="34670" spans="30:30" x14ac:dyDescent="0.25">
      <c r="AD34670"/>
    </row>
    <row r="34671" spans="30:30" x14ac:dyDescent="0.25">
      <c r="AD34671"/>
    </row>
    <row r="34672" spans="30:30" x14ac:dyDescent="0.25">
      <c r="AD34672"/>
    </row>
    <row r="34673" spans="30:30" x14ac:dyDescent="0.25">
      <c r="AD34673"/>
    </row>
    <row r="34674" spans="30:30" x14ac:dyDescent="0.25">
      <c r="AD34674"/>
    </row>
    <row r="34675" spans="30:30" x14ac:dyDescent="0.25">
      <c r="AD34675"/>
    </row>
    <row r="34676" spans="30:30" x14ac:dyDescent="0.25">
      <c r="AD34676"/>
    </row>
    <row r="34677" spans="30:30" x14ac:dyDescent="0.25">
      <c r="AD34677"/>
    </row>
    <row r="34678" spans="30:30" x14ac:dyDescent="0.25">
      <c r="AD34678"/>
    </row>
    <row r="34679" spans="30:30" x14ac:dyDescent="0.25">
      <c r="AD34679"/>
    </row>
    <row r="34680" spans="30:30" x14ac:dyDescent="0.25">
      <c r="AD34680"/>
    </row>
    <row r="34681" spans="30:30" x14ac:dyDescent="0.25">
      <c r="AD34681"/>
    </row>
    <row r="34682" spans="30:30" x14ac:dyDescent="0.25">
      <c r="AD34682"/>
    </row>
    <row r="34683" spans="30:30" x14ac:dyDescent="0.25">
      <c r="AD34683"/>
    </row>
    <row r="34684" spans="30:30" x14ac:dyDescent="0.25">
      <c r="AD34684"/>
    </row>
    <row r="34685" spans="30:30" x14ac:dyDescent="0.25">
      <c r="AD34685"/>
    </row>
    <row r="34686" spans="30:30" x14ac:dyDescent="0.25">
      <c r="AD34686"/>
    </row>
    <row r="34687" spans="30:30" x14ac:dyDescent="0.25">
      <c r="AD34687"/>
    </row>
    <row r="34688" spans="30:30" x14ac:dyDescent="0.25">
      <c r="AD34688"/>
    </row>
    <row r="34689" spans="30:30" x14ac:dyDescent="0.25">
      <c r="AD34689"/>
    </row>
    <row r="34690" spans="30:30" x14ac:dyDescent="0.25">
      <c r="AD34690"/>
    </row>
    <row r="34691" spans="30:30" x14ac:dyDescent="0.25">
      <c r="AD34691"/>
    </row>
    <row r="34692" spans="30:30" x14ac:dyDescent="0.25">
      <c r="AD34692"/>
    </row>
    <row r="34693" spans="30:30" x14ac:dyDescent="0.25">
      <c r="AD34693"/>
    </row>
    <row r="34694" spans="30:30" x14ac:dyDescent="0.25">
      <c r="AD34694"/>
    </row>
    <row r="34695" spans="30:30" x14ac:dyDescent="0.25">
      <c r="AD34695"/>
    </row>
    <row r="34696" spans="30:30" x14ac:dyDescent="0.25">
      <c r="AD34696"/>
    </row>
    <row r="34697" spans="30:30" x14ac:dyDescent="0.25">
      <c r="AD34697"/>
    </row>
    <row r="34698" spans="30:30" x14ac:dyDescent="0.25">
      <c r="AD34698"/>
    </row>
    <row r="34699" spans="30:30" x14ac:dyDescent="0.25">
      <c r="AD34699"/>
    </row>
    <row r="34700" spans="30:30" x14ac:dyDescent="0.25">
      <c r="AD34700"/>
    </row>
    <row r="34701" spans="30:30" x14ac:dyDescent="0.25">
      <c r="AD34701"/>
    </row>
    <row r="34702" spans="30:30" x14ac:dyDescent="0.25">
      <c r="AD34702"/>
    </row>
    <row r="34703" spans="30:30" x14ac:dyDescent="0.25">
      <c r="AD34703"/>
    </row>
    <row r="34704" spans="30:30" x14ac:dyDescent="0.25">
      <c r="AD34704"/>
    </row>
    <row r="34705" spans="30:30" x14ac:dyDescent="0.25">
      <c r="AD34705"/>
    </row>
    <row r="34706" spans="30:30" x14ac:dyDescent="0.25">
      <c r="AD34706"/>
    </row>
    <row r="34707" spans="30:30" x14ac:dyDescent="0.25">
      <c r="AD34707"/>
    </row>
    <row r="34708" spans="30:30" x14ac:dyDescent="0.25">
      <c r="AD34708"/>
    </row>
    <row r="34709" spans="30:30" x14ac:dyDescent="0.25">
      <c r="AD34709"/>
    </row>
    <row r="34710" spans="30:30" x14ac:dyDescent="0.25">
      <c r="AD34710"/>
    </row>
    <row r="34711" spans="30:30" x14ac:dyDescent="0.25">
      <c r="AD34711"/>
    </row>
    <row r="34712" spans="30:30" x14ac:dyDescent="0.25">
      <c r="AD34712"/>
    </row>
    <row r="34713" spans="30:30" x14ac:dyDescent="0.25">
      <c r="AD34713"/>
    </row>
    <row r="34714" spans="30:30" x14ac:dyDescent="0.25">
      <c r="AD34714"/>
    </row>
    <row r="34715" spans="30:30" x14ac:dyDescent="0.25">
      <c r="AD34715"/>
    </row>
    <row r="34716" spans="30:30" x14ac:dyDescent="0.25">
      <c r="AD34716"/>
    </row>
    <row r="34717" spans="30:30" x14ac:dyDescent="0.25">
      <c r="AD34717"/>
    </row>
    <row r="34718" spans="30:30" x14ac:dyDescent="0.25">
      <c r="AD34718"/>
    </row>
    <row r="34719" spans="30:30" x14ac:dyDescent="0.25">
      <c r="AD34719"/>
    </row>
    <row r="34720" spans="30:30" x14ac:dyDescent="0.25">
      <c r="AD34720"/>
    </row>
    <row r="34721" spans="30:30" x14ac:dyDescent="0.25">
      <c r="AD34721"/>
    </row>
    <row r="34722" spans="30:30" x14ac:dyDescent="0.25">
      <c r="AD34722"/>
    </row>
    <row r="34723" spans="30:30" x14ac:dyDescent="0.25">
      <c r="AD34723"/>
    </row>
    <row r="34724" spans="30:30" x14ac:dyDescent="0.25">
      <c r="AD34724"/>
    </row>
    <row r="34725" spans="30:30" x14ac:dyDescent="0.25">
      <c r="AD34725"/>
    </row>
    <row r="34726" spans="30:30" x14ac:dyDescent="0.25">
      <c r="AD34726"/>
    </row>
    <row r="34727" spans="30:30" x14ac:dyDescent="0.25">
      <c r="AD34727"/>
    </row>
    <row r="34728" spans="30:30" x14ac:dyDescent="0.25">
      <c r="AD34728"/>
    </row>
    <row r="34729" spans="30:30" x14ac:dyDescent="0.25">
      <c r="AD34729"/>
    </row>
    <row r="34730" spans="30:30" x14ac:dyDescent="0.25">
      <c r="AD34730"/>
    </row>
    <row r="34731" spans="30:30" x14ac:dyDescent="0.25">
      <c r="AD34731"/>
    </row>
    <row r="34732" spans="30:30" x14ac:dyDescent="0.25">
      <c r="AD34732"/>
    </row>
    <row r="34733" spans="30:30" x14ac:dyDescent="0.25">
      <c r="AD34733"/>
    </row>
    <row r="34734" spans="30:30" x14ac:dyDescent="0.25">
      <c r="AD34734"/>
    </row>
    <row r="34735" spans="30:30" x14ac:dyDescent="0.25">
      <c r="AD34735"/>
    </row>
    <row r="34736" spans="30:30" x14ac:dyDescent="0.25">
      <c r="AD34736"/>
    </row>
    <row r="34737" spans="30:30" x14ac:dyDescent="0.25">
      <c r="AD34737"/>
    </row>
    <row r="34738" spans="30:30" x14ac:dyDescent="0.25">
      <c r="AD34738"/>
    </row>
    <row r="34739" spans="30:30" x14ac:dyDescent="0.25">
      <c r="AD34739"/>
    </row>
    <row r="34740" spans="30:30" x14ac:dyDescent="0.25">
      <c r="AD34740"/>
    </row>
    <row r="34741" spans="30:30" x14ac:dyDescent="0.25">
      <c r="AD34741"/>
    </row>
    <row r="34742" spans="30:30" x14ac:dyDescent="0.25">
      <c r="AD34742"/>
    </row>
    <row r="34743" spans="30:30" x14ac:dyDescent="0.25">
      <c r="AD34743"/>
    </row>
    <row r="34744" spans="30:30" x14ac:dyDescent="0.25">
      <c r="AD34744"/>
    </row>
    <row r="34745" spans="30:30" x14ac:dyDescent="0.25">
      <c r="AD34745"/>
    </row>
    <row r="34746" spans="30:30" x14ac:dyDescent="0.25">
      <c r="AD34746"/>
    </row>
    <row r="34747" spans="30:30" x14ac:dyDescent="0.25">
      <c r="AD34747"/>
    </row>
    <row r="34748" spans="30:30" x14ac:dyDescent="0.25">
      <c r="AD34748"/>
    </row>
    <row r="34749" spans="30:30" x14ac:dyDescent="0.25">
      <c r="AD34749"/>
    </row>
    <row r="34750" spans="30:30" x14ac:dyDescent="0.25">
      <c r="AD34750"/>
    </row>
    <row r="34751" spans="30:30" x14ac:dyDescent="0.25">
      <c r="AD34751"/>
    </row>
    <row r="34752" spans="30:30" x14ac:dyDescent="0.25">
      <c r="AD34752"/>
    </row>
    <row r="34753" spans="30:30" x14ac:dyDescent="0.25">
      <c r="AD34753"/>
    </row>
    <row r="34754" spans="30:30" x14ac:dyDescent="0.25">
      <c r="AD34754"/>
    </row>
    <row r="34755" spans="30:30" x14ac:dyDescent="0.25">
      <c r="AD34755"/>
    </row>
    <row r="34756" spans="30:30" x14ac:dyDescent="0.25">
      <c r="AD34756"/>
    </row>
    <row r="34757" spans="30:30" x14ac:dyDescent="0.25">
      <c r="AD34757"/>
    </row>
    <row r="34758" spans="30:30" x14ac:dyDescent="0.25">
      <c r="AD34758"/>
    </row>
    <row r="34759" spans="30:30" x14ac:dyDescent="0.25">
      <c r="AD34759"/>
    </row>
    <row r="34760" spans="30:30" x14ac:dyDescent="0.25">
      <c r="AD34760"/>
    </row>
    <row r="34761" spans="30:30" x14ac:dyDescent="0.25">
      <c r="AD34761"/>
    </row>
    <row r="34762" spans="30:30" x14ac:dyDescent="0.25">
      <c r="AD34762"/>
    </row>
    <row r="34763" spans="30:30" x14ac:dyDescent="0.25">
      <c r="AD34763"/>
    </row>
    <row r="34764" spans="30:30" x14ac:dyDescent="0.25">
      <c r="AD34764"/>
    </row>
    <row r="34765" spans="30:30" x14ac:dyDescent="0.25">
      <c r="AD34765"/>
    </row>
    <row r="34766" spans="30:30" x14ac:dyDescent="0.25">
      <c r="AD34766"/>
    </row>
    <row r="34767" spans="30:30" x14ac:dyDescent="0.25">
      <c r="AD34767"/>
    </row>
    <row r="34768" spans="30:30" x14ac:dyDescent="0.25">
      <c r="AD34768"/>
    </row>
    <row r="34769" spans="30:30" x14ac:dyDescent="0.25">
      <c r="AD34769"/>
    </row>
    <row r="34770" spans="30:30" x14ac:dyDescent="0.25">
      <c r="AD34770"/>
    </row>
    <row r="34771" spans="30:30" x14ac:dyDescent="0.25">
      <c r="AD34771"/>
    </row>
    <row r="34772" spans="30:30" x14ac:dyDescent="0.25">
      <c r="AD34772"/>
    </row>
    <row r="34773" spans="30:30" x14ac:dyDescent="0.25">
      <c r="AD34773"/>
    </row>
    <row r="34774" spans="30:30" x14ac:dyDescent="0.25">
      <c r="AD34774"/>
    </row>
    <row r="34775" spans="30:30" x14ac:dyDescent="0.25">
      <c r="AD34775"/>
    </row>
    <row r="34776" spans="30:30" x14ac:dyDescent="0.25">
      <c r="AD34776"/>
    </row>
    <row r="34777" spans="30:30" x14ac:dyDescent="0.25">
      <c r="AD34777"/>
    </row>
    <row r="34778" spans="30:30" x14ac:dyDescent="0.25">
      <c r="AD34778"/>
    </row>
    <row r="34779" spans="30:30" x14ac:dyDescent="0.25">
      <c r="AD34779"/>
    </row>
    <row r="34780" spans="30:30" x14ac:dyDescent="0.25">
      <c r="AD34780"/>
    </row>
    <row r="34781" spans="30:30" x14ac:dyDescent="0.25">
      <c r="AD34781"/>
    </row>
    <row r="34782" spans="30:30" x14ac:dyDescent="0.25">
      <c r="AD34782"/>
    </row>
    <row r="34783" spans="30:30" x14ac:dyDescent="0.25">
      <c r="AD34783"/>
    </row>
    <row r="34784" spans="30:30" x14ac:dyDescent="0.25">
      <c r="AD34784"/>
    </row>
    <row r="34785" spans="30:30" x14ac:dyDescent="0.25">
      <c r="AD34785"/>
    </row>
    <row r="34786" spans="30:30" x14ac:dyDescent="0.25">
      <c r="AD34786"/>
    </row>
    <row r="34787" spans="30:30" x14ac:dyDescent="0.25">
      <c r="AD34787"/>
    </row>
    <row r="34788" spans="30:30" x14ac:dyDescent="0.25">
      <c r="AD34788"/>
    </row>
    <row r="34789" spans="30:30" x14ac:dyDescent="0.25">
      <c r="AD34789"/>
    </row>
    <row r="34790" spans="30:30" x14ac:dyDescent="0.25">
      <c r="AD34790"/>
    </row>
    <row r="34791" spans="30:30" x14ac:dyDescent="0.25">
      <c r="AD34791"/>
    </row>
    <row r="34792" spans="30:30" x14ac:dyDescent="0.25">
      <c r="AD34792"/>
    </row>
    <row r="34793" spans="30:30" x14ac:dyDescent="0.25">
      <c r="AD34793"/>
    </row>
    <row r="34794" spans="30:30" x14ac:dyDescent="0.25">
      <c r="AD34794"/>
    </row>
    <row r="34795" spans="30:30" x14ac:dyDescent="0.25">
      <c r="AD34795"/>
    </row>
    <row r="34796" spans="30:30" x14ac:dyDescent="0.25">
      <c r="AD34796"/>
    </row>
    <row r="34797" spans="30:30" x14ac:dyDescent="0.25">
      <c r="AD34797"/>
    </row>
    <row r="34798" spans="30:30" x14ac:dyDescent="0.25">
      <c r="AD34798"/>
    </row>
    <row r="34799" spans="30:30" x14ac:dyDescent="0.25">
      <c r="AD34799"/>
    </row>
    <row r="34800" spans="30:30" x14ac:dyDescent="0.25">
      <c r="AD34800"/>
    </row>
    <row r="34801" spans="30:30" x14ac:dyDescent="0.25">
      <c r="AD34801"/>
    </row>
    <row r="34802" spans="30:30" x14ac:dyDescent="0.25">
      <c r="AD34802"/>
    </row>
    <row r="34803" spans="30:30" x14ac:dyDescent="0.25">
      <c r="AD34803"/>
    </row>
    <row r="34804" spans="30:30" x14ac:dyDescent="0.25">
      <c r="AD34804"/>
    </row>
    <row r="34805" spans="30:30" x14ac:dyDescent="0.25">
      <c r="AD34805"/>
    </row>
    <row r="34806" spans="30:30" x14ac:dyDescent="0.25">
      <c r="AD34806"/>
    </row>
    <row r="34807" spans="30:30" x14ac:dyDescent="0.25">
      <c r="AD34807"/>
    </row>
    <row r="34808" spans="30:30" x14ac:dyDescent="0.25">
      <c r="AD34808"/>
    </row>
    <row r="34809" spans="30:30" x14ac:dyDescent="0.25">
      <c r="AD34809"/>
    </row>
    <row r="34810" spans="30:30" x14ac:dyDescent="0.25">
      <c r="AD34810"/>
    </row>
    <row r="34811" spans="30:30" x14ac:dyDescent="0.25">
      <c r="AD34811"/>
    </row>
    <row r="34812" spans="30:30" x14ac:dyDescent="0.25">
      <c r="AD34812"/>
    </row>
    <row r="34813" spans="30:30" x14ac:dyDescent="0.25">
      <c r="AD34813"/>
    </row>
    <row r="34814" spans="30:30" x14ac:dyDescent="0.25">
      <c r="AD34814"/>
    </row>
    <row r="34815" spans="30:30" x14ac:dyDescent="0.25">
      <c r="AD34815"/>
    </row>
    <row r="34816" spans="30:30" x14ac:dyDescent="0.25">
      <c r="AD34816"/>
    </row>
    <row r="34817" spans="30:30" x14ac:dyDescent="0.25">
      <c r="AD34817"/>
    </row>
    <row r="34818" spans="30:30" x14ac:dyDescent="0.25">
      <c r="AD34818"/>
    </row>
    <row r="34819" spans="30:30" x14ac:dyDescent="0.25">
      <c r="AD34819"/>
    </row>
    <row r="34820" spans="30:30" x14ac:dyDescent="0.25">
      <c r="AD34820"/>
    </row>
    <row r="34821" spans="30:30" x14ac:dyDescent="0.25">
      <c r="AD34821"/>
    </row>
    <row r="34822" spans="30:30" x14ac:dyDescent="0.25">
      <c r="AD34822"/>
    </row>
    <row r="34823" spans="30:30" x14ac:dyDescent="0.25">
      <c r="AD34823"/>
    </row>
    <row r="34824" spans="30:30" x14ac:dyDescent="0.25">
      <c r="AD34824"/>
    </row>
    <row r="34825" spans="30:30" x14ac:dyDescent="0.25">
      <c r="AD34825"/>
    </row>
    <row r="34826" spans="30:30" x14ac:dyDescent="0.25">
      <c r="AD34826"/>
    </row>
    <row r="34827" spans="30:30" x14ac:dyDescent="0.25">
      <c r="AD34827"/>
    </row>
    <row r="34828" spans="30:30" x14ac:dyDescent="0.25">
      <c r="AD34828"/>
    </row>
    <row r="34829" spans="30:30" x14ac:dyDescent="0.25">
      <c r="AD34829"/>
    </row>
    <row r="34830" spans="30:30" x14ac:dyDescent="0.25">
      <c r="AD34830"/>
    </row>
    <row r="34831" spans="30:30" x14ac:dyDescent="0.25">
      <c r="AD34831"/>
    </row>
    <row r="34832" spans="30:30" x14ac:dyDescent="0.25">
      <c r="AD34832"/>
    </row>
    <row r="34833" spans="30:30" x14ac:dyDescent="0.25">
      <c r="AD34833"/>
    </row>
    <row r="34834" spans="30:30" x14ac:dyDescent="0.25">
      <c r="AD34834"/>
    </row>
    <row r="34835" spans="30:30" x14ac:dyDescent="0.25">
      <c r="AD34835"/>
    </row>
    <row r="34836" spans="30:30" x14ac:dyDescent="0.25">
      <c r="AD34836"/>
    </row>
    <row r="34837" spans="30:30" x14ac:dyDescent="0.25">
      <c r="AD34837"/>
    </row>
    <row r="34838" spans="30:30" x14ac:dyDescent="0.25">
      <c r="AD34838"/>
    </row>
    <row r="34839" spans="30:30" x14ac:dyDescent="0.25">
      <c r="AD34839"/>
    </row>
    <row r="34840" spans="30:30" x14ac:dyDescent="0.25">
      <c r="AD34840"/>
    </row>
    <row r="34841" spans="30:30" x14ac:dyDescent="0.25">
      <c r="AD34841"/>
    </row>
    <row r="34842" spans="30:30" x14ac:dyDescent="0.25">
      <c r="AD34842"/>
    </row>
    <row r="34843" spans="30:30" x14ac:dyDescent="0.25">
      <c r="AD34843"/>
    </row>
    <row r="34844" spans="30:30" x14ac:dyDescent="0.25">
      <c r="AD34844"/>
    </row>
    <row r="34845" spans="30:30" x14ac:dyDescent="0.25">
      <c r="AD34845"/>
    </row>
    <row r="34846" spans="30:30" x14ac:dyDescent="0.25">
      <c r="AD34846"/>
    </row>
    <row r="34847" spans="30:30" x14ac:dyDescent="0.25">
      <c r="AD34847"/>
    </row>
    <row r="34848" spans="30:30" x14ac:dyDescent="0.25">
      <c r="AD34848"/>
    </row>
    <row r="34849" spans="30:30" x14ac:dyDescent="0.25">
      <c r="AD34849"/>
    </row>
    <row r="34850" spans="30:30" x14ac:dyDescent="0.25">
      <c r="AD34850"/>
    </row>
    <row r="34851" spans="30:30" x14ac:dyDescent="0.25">
      <c r="AD34851"/>
    </row>
    <row r="34852" spans="30:30" x14ac:dyDescent="0.25">
      <c r="AD34852"/>
    </row>
    <row r="34853" spans="30:30" x14ac:dyDescent="0.25">
      <c r="AD34853"/>
    </row>
    <row r="34854" spans="30:30" x14ac:dyDescent="0.25">
      <c r="AD34854"/>
    </row>
    <row r="34855" spans="30:30" x14ac:dyDescent="0.25">
      <c r="AD34855"/>
    </row>
    <row r="34856" spans="30:30" x14ac:dyDescent="0.25">
      <c r="AD34856"/>
    </row>
    <row r="34857" spans="30:30" x14ac:dyDescent="0.25">
      <c r="AD34857"/>
    </row>
    <row r="34858" spans="30:30" x14ac:dyDescent="0.25">
      <c r="AD34858"/>
    </row>
    <row r="34859" spans="30:30" x14ac:dyDescent="0.25">
      <c r="AD34859"/>
    </row>
    <row r="34860" spans="30:30" x14ac:dyDescent="0.25">
      <c r="AD34860"/>
    </row>
    <row r="34861" spans="30:30" x14ac:dyDescent="0.25">
      <c r="AD34861"/>
    </row>
    <row r="34862" spans="30:30" x14ac:dyDescent="0.25">
      <c r="AD34862"/>
    </row>
    <row r="34863" spans="30:30" x14ac:dyDescent="0.25">
      <c r="AD34863"/>
    </row>
    <row r="34864" spans="30:30" x14ac:dyDescent="0.25">
      <c r="AD34864"/>
    </row>
    <row r="34865" spans="30:30" x14ac:dyDescent="0.25">
      <c r="AD34865"/>
    </row>
    <row r="34866" spans="30:30" x14ac:dyDescent="0.25">
      <c r="AD34866"/>
    </row>
    <row r="34867" spans="30:30" x14ac:dyDescent="0.25">
      <c r="AD34867"/>
    </row>
    <row r="34868" spans="30:30" x14ac:dyDescent="0.25">
      <c r="AD34868"/>
    </row>
    <row r="34869" spans="30:30" x14ac:dyDescent="0.25">
      <c r="AD34869"/>
    </row>
    <row r="34870" spans="30:30" x14ac:dyDescent="0.25">
      <c r="AD34870"/>
    </row>
    <row r="34871" spans="30:30" x14ac:dyDescent="0.25">
      <c r="AD34871"/>
    </row>
    <row r="34872" spans="30:30" x14ac:dyDescent="0.25">
      <c r="AD34872"/>
    </row>
    <row r="34873" spans="30:30" x14ac:dyDescent="0.25">
      <c r="AD34873"/>
    </row>
    <row r="34874" spans="30:30" x14ac:dyDescent="0.25">
      <c r="AD34874"/>
    </row>
    <row r="34875" spans="30:30" x14ac:dyDescent="0.25">
      <c r="AD34875"/>
    </row>
    <row r="34876" spans="30:30" x14ac:dyDescent="0.25">
      <c r="AD34876"/>
    </row>
    <row r="34877" spans="30:30" x14ac:dyDescent="0.25">
      <c r="AD34877"/>
    </row>
    <row r="34878" spans="30:30" x14ac:dyDescent="0.25">
      <c r="AD34878"/>
    </row>
    <row r="34879" spans="30:30" x14ac:dyDescent="0.25">
      <c r="AD34879"/>
    </row>
    <row r="34880" spans="30:30" x14ac:dyDescent="0.25">
      <c r="AD34880"/>
    </row>
    <row r="34881" spans="30:30" x14ac:dyDescent="0.25">
      <c r="AD34881"/>
    </row>
    <row r="34882" spans="30:30" x14ac:dyDescent="0.25">
      <c r="AD34882"/>
    </row>
    <row r="34883" spans="30:30" x14ac:dyDescent="0.25">
      <c r="AD34883"/>
    </row>
    <row r="34884" spans="30:30" x14ac:dyDescent="0.25">
      <c r="AD34884"/>
    </row>
    <row r="34885" spans="30:30" x14ac:dyDescent="0.25">
      <c r="AD34885"/>
    </row>
    <row r="34886" spans="30:30" x14ac:dyDescent="0.25">
      <c r="AD34886"/>
    </row>
    <row r="34887" spans="30:30" x14ac:dyDescent="0.25">
      <c r="AD34887"/>
    </row>
    <row r="34888" spans="30:30" x14ac:dyDescent="0.25">
      <c r="AD34888"/>
    </row>
    <row r="34889" spans="30:30" x14ac:dyDescent="0.25">
      <c r="AD34889"/>
    </row>
    <row r="34890" spans="30:30" x14ac:dyDescent="0.25">
      <c r="AD34890"/>
    </row>
    <row r="34891" spans="30:30" x14ac:dyDescent="0.25">
      <c r="AD34891"/>
    </row>
    <row r="34892" spans="30:30" x14ac:dyDescent="0.25">
      <c r="AD34892"/>
    </row>
    <row r="34893" spans="30:30" x14ac:dyDescent="0.25">
      <c r="AD34893"/>
    </row>
    <row r="34894" spans="30:30" x14ac:dyDescent="0.25">
      <c r="AD34894"/>
    </row>
    <row r="34895" spans="30:30" x14ac:dyDescent="0.25">
      <c r="AD34895"/>
    </row>
    <row r="34896" spans="30:30" x14ac:dyDescent="0.25">
      <c r="AD34896"/>
    </row>
    <row r="34897" spans="30:30" x14ac:dyDescent="0.25">
      <c r="AD34897"/>
    </row>
    <row r="34898" spans="30:30" x14ac:dyDescent="0.25">
      <c r="AD34898"/>
    </row>
    <row r="34899" spans="30:30" x14ac:dyDescent="0.25">
      <c r="AD34899"/>
    </row>
    <row r="34900" spans="30:30" x14ac:dyDescent="0.25">
      <c r="AD34900"/>
    </row>
    <row r="34901" spans="30:30" x14ac:dyDescent="0.25">
      <c r="AD34901"/>
    </row>
    <row r="34902" spans="30:30" x14ac:dyDescent="0.25">
      <c r="AD34902"/>
    </row>
    <row r="34903" spans="30:30" x14ac:dyDescent="0.25">
      <c r="AD34903"/>
    </row>
    <row r="34904" spans="30:30" x14ac:dyDescent="0.25">
      <c r="AD34904"/>
    </row>
    <row r="34905" spans="30:30" x14ac:dyDescent="0.25">
      <c r="AD34905"/>
    </row>
    <row r="34906" spans="30:30" x14ac:dyDescent="0.25">
      <c r="AD34906"/>
    </row>
    <row r="34907" spans="30:30" x14ac:dyDescent="0.25">
      <c r="AD34907"/>
    </row>
    <row r="34908" spans="30:30" x14ac:dyDescent="0.25">
      <c r="AD34908"/>
    </row>
    <row r="34909" spans="30:30" x14ac:dyDescent="0.25">
      <c r="AD34909"/>
    </row>
    <row r="34910" spans="30:30" x14ac:dyDescent="0.25">
      <c r="AD34910"/>
    </row>
    <row r="34911" spans="30:30" x14ac:dyDescent="0.25">
      <c r="AD34911"/>
    </row>
    <row r="34912" spans="30:30" x14ac:dyDescent="0.25">
      <c r="AD34912"/>
    </row>
    <row r="34913" spans="30:30" x14ac:dyDescent="0.25">
      <c r="AD34913"/>
    </row>
    <row r="34914" spans="30:30" x14ac:dyDescent="0.25">
      <c r="AD34914"/>
    </row>
    <row r="34915" spans="30:30" x14ac:dyDescent="0.25">
      <c r="AD34915"/>
    </row>
    <row r="34916" spans="30:30" x14ac:dyDescent="0.25">
      <c r="AD34916"/>
    </row>
    <row r="34917" spans="30:30" x14ac:dyDescent="0.25">
      <c r="AD34917"/>
    </row>
    <row r="34918" spans="30:30" x14ac:dyDescent="0.25">
      <c r="AD34918"/>
    </row>
    <row r="34919" spans="30:30" x14ac:dyDescent="0.25">
      <c r="AD34919"/>
    </row>
    <row r="34920" spans="30:30" x14ac:dyDescent="0.25">
      <c r="AD34920"/>
    </row>
    <row r="34921" spans="30:30" x14ac:dyDescent="0.25">
      <c r="AD34921"/>
    </row>
    <row r="34922" spans="30:30" x14ac:dyDescent="0.25">
      <c r="AD34922"/>
    </row>
    <row r="34923" spans="30:30" x14ac:dyDescent="0.25">
      <c r="AD34923"/>
    </row>
    <row r="34924" spans="30:30" x14ac:dyDescent="0.25">
      <c r="AD34924"/>
    </row>
    <row r="34925" spans="30:30" x14ac:dyDescent="0.25">
      <c r="AD34925"/>
    </row>
    <row r="34926" spans="30:30" x14ac:dyDescent="0.25">
      <c r="AD34926"/>
    </row>
    <row r="34927" spans="30:30" x14ac:dyDescent="0.25">
      <c r="AD34927"/>
    </row>
    <row r="34928" spans="30:30" x14ac:dyDescent="0.25">
      <c r="AD34928"/>
    </row>
    <row r="34929" spans="30:30" x14ac:dyDescent="0.25">
      <c r="AD34929"/>
    </row>
    <row r="34930" spans="30:30" x14ac:dyDescent="0.25">
      <c r="AD34930"/>
    </row>
    <row r="34931" spans="30:30" x14ac:dyDescent="0.25">
      <c r="AD34931"/>
    </row>
    <row r="34932" spans="30:30" x14ac:dyDescent="0.25">
      <c r="AD34932"/>
    </row>
    <row r="34933" spans="30:30" x14ac:dyDescent="0.25">
      <c r="AD34933"/>
    </row>
    <row r="34934" spans="30:30" x14ac:dyDescent="0.25">
      <c r="AD34934"/>
    </row>
    <row r="34935" spans="30:30" x14ac:dyDescent="0.25">
      <c r="AD34935"/>
    </row>
    <row r="34936" spans="30:30" x14ac:dyDescent="0.25">
      <c r="AD34936"/>
    </row>
    <row r="34937" spans="30:30" x14ac:dyDescent="0.25">
      <c r="AD34937"/>
    </row>
    <row r="34938" spans="30:30" x14ac:dyDescent="0.25">
      <c r="AD34938"/>
    </row>
    <row r="34939" spans="30:30" x14ac:dyDescent="0.25">
      <c r="AD34939"/>
    </row>
    <row r="34940" spans="30:30" x14ac:dyDescent="0.25">
      <c r="AD34940"/>
    </row>
    <row r="34941" spans="30:30" x14ac:dyDescent="0.25">
      <c r="AD34941"/>
    </row>
    <row r="34942" spans="30:30" x14ac:dyDescent="0.25">
      <c r="AD34942"/>
    </row>
    <row r="34943" spans="30:30" x14ac:dyDescent="0.25">
      <c r="AD34943"/>
    </row>
    <row r="34944" spans="30:30" x14ac:dyDescent="0.25">
      <c r="AD34944"/>
    </row>
    <row r="34945" spans="30:30" x14ac:dyDescent="0.25">
      <c r="AD34945"/>
    </row>
    <row r="34946" spans="30:30" x14ac:dyDescent="0.25">
      <c r="AD34946"/>
    </row>
    <row r="34947" spans="30:30" x14ac:dyDescent="0.25">
      <c r="AD34947"/>
    </row>
    <row r="34948" spans="30:30" x14ac:dyDescent="0.25">
      <c r="AD34948"/>
    </row>
    <row r="34949" spans="30:30" x14ac:dyDescent="0.25">
      <c r="AD34949"/>
    </row>
    <row r="34950" spans="30:30" x14ac:dyDescent="0.25">
      <c r="AD34950"/>
    </row>
    <row r="34951" spans="30:30" x14ac:dyDescent="0.25">
      <c r="AD34951"/>
    </row>
    <row r="34952" spans="30:30" x14ac:dyDescent="0.25">
      <c r="AD34952"/>
    </row>
    <row r="34953" spans="30:30" x14ac:dyDescent="0.25">
      <c r="AD34953"/>
    </row>
    <row r="34954" spans="30:30" x14ac:dyDescent="0.25">
      <c r="AD34954"/>
    </row>
    <row r="34955" spans="30:30" x14ac:dyDescent="0.25">
      <c r="AD34955"/>
    </row>
    <row r="34956" spans="30:30" x14ac:dyDescent="0.25">
      <c r="AD34956"/>
    </row>
    <row r="34957" spans="30:30" x14ac:dyDescent="0.25">
      <c r="AD34957"/>
    </row>
    <row r="34958" spans="30:30" x14ac:dyDescent="0.25">
      <c r="AD34958"/>
    </row>
    <row r="34959" spans="30:30" x14ac:dyDescent="0.25">
      <c r="AD34959"/>
    </row>
    <row r="34960" spans="30:30" x14ac:dyDescent="0.25">
      <c r="AD34960"/>
    </row>
    <row r="34961" spans="30:30" x14ac:dyDescent="0.25">
      <c r="AD34961"/>
    </row>
    <row r="34962" spans="30:30" x14ac:dyDescent="0.25">
      <c r="AD34962"/>
    </row>
    <row r="34963" spans="30:30" x14ac:dyDescent="0.25">
      <c r="AD34963"/>
    </row>
    <row r="34964" spans="30:30" x14ac:dyDescent="0.25">
      <c r="AD34964"/>
    </row>
    <row r="34965" spans="30:30" x14ac:dyDescent="0.25">
      <c r="AD34965"/>
    </row>
    <row r="34966" spans="30:30" x14ac:dyDescent="0.25">
      <c r="AD34966"/>
    </row>
    <row r="34967" spans="30:30" x14ac:dyDescent="0.25">
      <c r="AD34967"/>
    </row>
    <row r="34968" spans="30:30" x14ac:dyDescent="0.25">
      <c r="AD34968"/>
    </row>
    <row r="34969" spans="30:30" x14ac:dyDescent="0.25">
      <c r="AD34969"/>
    </row>
    <row r="34970" spans="30:30" x14ac:dyDescent="0.25">
      <c r="AD34970"/>
    </row>
    <row r="34971" spans="30:30" x14ac:dyDescent="0.25">
      <c r="AD34971"/>
    </row>
    <row r="34972" spans="30:30" x14ac:dyDescent="0.25">
      <c r="AD34972"/>
    </row>
    <row r="34973" spans="30:30" x14ac:dyDescent="0.25">
      <c r="AD34973"/>
    </row>
    <row r="34974" spans="30:30" x14ac:dyDescent="0.25">
      <c r="AD34974"/>
    </row>
    <row r="34975" spans="30:30" x14ac:dyDescent="0.25">
      <c r="AD34975"/>
    </row>
    <row r="34976" spans="30:30" x14ac:dyDescent="0.25">
      <c r="AD34976"/>
    </row>
    <row r="34977" spans="30:30" x14ac:dyDescent="0.25">
      <c r="AD34977"/>
    </row>
    <row r="34978" spans="30:30" x14ac:dyDescent="0.25">
      <c r="AD34978"/>
    </row>
    <row r="34979" spans="30:30" x14ac:dyDescent="0.25">
      <c r="AD34979"/>
    </row>
    <row r="34980" spans="30:30" x14ac:dyDescent="0.25">
      <c r="AD34980"/>
    </row>
    <row r="34981" spans="30:30" x14ac:dyDescent="0.25">
      <c r="AD34981"/>
    </row>
    <row r="34982" spans="30:30" x14ac:dyDescent="0.25">
      <c r="AD34982"/>
    </row>
    <row r="34983" spans="30:30" x14ac:dyDescent="0.25">
      <c r="AD34983"/>
    </row>
    <row r="34984" spans="30:30" x14ac:dyDescent="0.25">
      <c r="AD34984"/>
    </row>
    <row r="34985" spans="30:30" x14ac:dyDescent="0.25">
      <c r="AD34985"/>
    </row>
    <row r="34986" spans="30:30" x14ac:dyDescent="0.25">
      <c r="AD34986"/>
    </row>
    <row r="34987" spans="30:30" x14ac:dyDescent="0.25">
      <c r="AD34987"/>
    </row>
    <row r="34988" spans="30:30" x14ac:dyDescent="0.25">
      <c r="AD34988"/>
    </row>
    <row r="34989" spans="30:30" x14ac:dyDescent="0.25">
      <c r="AD34989"/>
    </row>
    <row r="34990" spans="30:30" x14ac:dyDescent="0.25">
      <c r="AD34990"/>
    </row>
    <row r="34991" spans="30:30" x14ac:dyDescent="0.25">
      <c r="AD34991"/>
    </row>
    <row r="34992" spans="30:30" x14ac:dyDescent="0.25">
      <c r="AD34992"/>
    </row>
    <row r="34993" spans="30:30" x14ac:dyDescent="0.25">
      <c r="AD34993"/>
    </row>
    <row r="34994" spans="30:30" x14ac:dyDescent="0.25">
      <c r="AD34994"/>
    </row>
    <row r="34995" spans="30:30" x14ac:dyDescent="0.25">
      <c r="AD34995"/>
    </row>
    <row r="34996" spans="30:30" x14ac:dyDescent="0.25">
      <c r="AD34996"/>
    </row>
    <row r="34997" spans="30:30" x14ac:dyDescent="0.25">
      <c r="AD34997"/>
    </row>
    <row r="34998" spans="30:30" x14ac:dyDescent="0.25">
      <c r="AD34998"/>
    </row>
    <row r="34999" spans="30:30" x14ac:dyDescent="0.25">
      <c r="AD34999"/>
    </row>
    <row r="35000" spans="30:30" x14ac:dyDescent="0.25">
      <c r="AD35000"/>
    </row>
    <row r="35001" spans="30:30" x14ac:dyDescent="0.25">
      <c r="AD35001"/>
    </row>
    <row r="35002" spans="30:30" x14ac:dyDescent="0.25">
      <c r="AD35002"/>
    </row>
    <row r="35003" spans="30:30" x14ac:dyDescent="0.25">
      <c r="AD35003"/>
    </row>
    <row r="35004" spans="30:30" x14ac:dyDescent="0.25">
      <c r="AD35004"/>
    </row>
    <row r="35005" spans="30:30" x14ac:dyDescent="0.25">
      <c r="AD35005"/>
    </row>
    <row r="35006" spans="30:30" x14ac:dyDescent="0.25">
      <c r="AD35006"/>
    </row>
    <row r="35007" spans="30:30" x14ac:dyDescent="0.25">
      <c r="AD35007"/>
    </row>
    <row r="35008" spans="30:30" x14ac:dyDescent="0.25">
      <c r="AD35008"/>
    </row>
    <row r="35009" spans="30:30" x14ac:dyDescent="0.25">
      <c r="AD35009"/>
    </row>
    <row r="35010" spans="30:30" x14ac:dyDescent="0.25">
      <c r="AD35010"/>
    </row>
    <row r="35011" spans="30:30" x14ac:dyDescent="0.25">
      <c r="AD35011"/>
    </row>
    <row r="35012" spans="30:30" x14ac:dyDescent="0.25">
      <c r="AD35012"/>
    </row>
    <row r="35013" spans="30:30" x14ac:dyDescent="0.25">
      <c r="AD35013"/>
    </row>
    <row r="35014" spans="30:30" x14ac:dyDescent="0.25">
      <c r="AD35014"/>
    </row>
    <row r="35015" spans="30:30" x14ac:dyDescent="0.25">
      <c r="AD35015"/>
    </row>
    <row r="35016" spans="30:30" x14ac:dyDescent="0.25">
      <c r="AD35016"/>
    </row>
    <row r="35017" spans="30:30" x14ac:dyDescent="0.25">
      <c r="AD35017"/>
    </row>
    <row r="35018" spans="30:30" x14ac:dyDescent="0.25">
      <c r="AD35018"/>
    </row>
    <row r="35019" spans="30:30" x14ac:dyDescent="0.25">
      <c r="AD35019"/>
    </row>
    <row r="35020" spans="30:30" x14ac:dyDescent="0.25">
      <c r="AD35020"/>
    </row>
    <row r="35021" spans="30:30" x14ac:dyDescent="0.25">
      <c r="AD35021"/>
    </row>
    <row r="35022" spans="30:30" x14ac:dyDescent="0.25">
      <c r="AD35022"/>
    </row>
    <row r="35023" spans="30:30" x14ac:dyDescent="0.25">
      <c r="AD35023"/>
    </row>
    <row r="35024" spans="30:30" x14ac:dyDescent="0.25">
      <c r="AD35024"/>
    </row>
    <row r="35025" spans="30:30" x14ac:dyDescent="0.25">
      <c r="AD35025"/>
    </row>
    <row r="35026" spans="30:30" x14ac:dyDescent="0.25">
      <c r="AD35026"/>
    </row>
    <row r="35027" spans="30:30" x14ac:dyDescent="0.25">
      <c r="AD35027"/>
    </row>
    <row r="35028" spans="30:30" x14ac:dyDescent="0.25">
      <c r="AD35028"/>
    </row>
    <row r="35029" spans="30:30" x14ac:dyDescent="0.25">
      <c r="AD35029"/>
    </row>
    <row r="35030" spans="30:30" x14ac:dyDescent="0.25">
      <c r="AD35030"/>
    </row>
    <row r="35031" spans="30:30" x14ac:dyDescent="0.25">
      <c r="AD35031"/>
    </row>
    <row r="35032" spans="30:30" x14ac:dyDescent="0.25">
      <c r="AD35032"/>
    </row>
    <row r="35033" spans="30:30" x14ac:dyDescent="0.25">
      <c r="AD35033"/>
    </row>
    <row r="35034" spans="30:30" x14ac:dyDescent="0.25">
      <c r="AD35034"/>
    </row>
    <row r="35035" spans="30:30" x14ac:dyDescent="0.25">
      <c r="AD35035"/>
    </row>
    <row r="35036" spans="30:30" x14ac:dyDescent="0.25">
      <c r="AD35036"/>
    </row>
    <row r="35037" spans="30:30" x14ac:dyDescent="0.25">
      <c r="AD35037"/>
    </row>
    <row r="35038" spans="30:30" x14ac:dyDescent="0.25">
      <c r="AD35038"/>
    </row>
    <row r="35039" spans="30:30" x14ac:dyDescent="0.25">
      <c r="AD35039"/>
    </row>
    <row r="35040" spans="30:30" x14ac:dyDescent="0.25">
      <c r="AD35040"/>
    </row>
    <row r="35041" spans="30:30" x14ac:dyDescent="0.25">
      <c r="AD35041"/>
    </row>
    <row r="35042" spans="30:30" x14ac:dyDescent="0.25">
      <c r="AD35042"/>
    </row>
    <row r="35043" spans="30:30" x14ac:dyDescent="0.25">
      <c r="AD35043"/>
    </row>
    <row r="35044" spans="30:30" x14ac:dyDescent="0.25">
      <c r="AD35044"/>
    </row>
    <row r="35045" spans="30:30" x14ac:dyDescent="0.25">
      <c r="AD35045"/>
    </row>
    <row r="35046" spans="30:30" x14ac:dyDescent="0.25">
      <c r="AD35046"/>
    </row>
    <row r="35047" spans="30:30" x14ac:dyDescent="0.25">
      <c r="AD35047"/>
    </row>
    <row r="35048" spans="30:30" x14ac:dyDescent="0.25">
      <c r="AD35048"/>
    </row>
    <row r="35049" spans="30:30" x14ac:dyDescent="0.25">
      <c r="AD35049"/>
    </row>
    <row r="35050" spans="30:30" x14ac:dyDescent="0.25">
      <c r="AD35050"/>
    </row>
    <row r="35051" spans="30:30" x14ac:dyDescent="0.25">
      <c r="AD35051"/>
    </row>
    <row r="35052" spans="30:30" x14ac:dyDescent="0.25">
      <c r="AD35052"/>
    </row>
    <row r="35053" spans="30:30" x14ac:dyDescent="0.25">
      <c r="AD35053"/>
    </row>
    <row r="35054" spans="30:30" x14ac:dyDescent="0.25">
      <c r="AD35054"/>
    </row>
    <row r="35055" spans="30:30" x14ac:dyDescent="0.25">
      <c r="AD35055"/>
    </row>
    <row r="35056" spans="30:30" x14ac:dyDescent="0.25">
      <c r="AD35056"/>
    </row>
    <row r="35057" spans="30:30" x14ac:dyDescent="0.25">
      <c r="AD35057"/>
    </row>
    <row r="35058" spans="30:30" x14ac:dyDescent="0.25">
      <c r="AD35058"/>
    </row>
    <row r="35059" spans="30:30" x14ac:dyDescent="0.25">
      <c r="AD35059"/>
    </row>
    <row r="35060" spans="30:30" x14ac:dyDescent="0.25">
      <c r="AD35060"/>
    </row>
    <row r="35061" spans="30:30" x14ac:dyDescent="0.25">
      <c r="AD35061"/>
    </row>
    <row r="35062" spans="30:30" x14ac:dyDescent="0.25">
      <c r="AD35062"/>
    </row>
    <row r="35063" spans="30:30" x14ac:dyDescent="0.25">
      <c r="AD35063"/>
    </row>
    <row r="35064" spans="30:30" x14ac:dyDescent="0.25">
      <c r="AD35064"/>
    </row>
    <row r="35065" spans="30:30" x14ac:dyDescent="0.25">
      <c r="AD35065"/>
    </row>
    <row r="35066" spans="30:30" x14ac:dyDescent="0.25">
      <c r="AD35066"/>
    </row>
    <row r="35067" spans="30:30" x14ac:dyDescent="0.25">
      <c r="AD35067"/>
    </row>
    <row r="35068" spans="30:30" x14ac:dyDescent="0.25">
      <c r="AD35068"/>
    </row>
    <row r="35069" spans="30:30" x14ac:dyDescent="0.25">
      <c r="AD35069"/>
    </row>
    <row r="35070" spans="30:30" x14ac:dyDescent="0.25">
      <c r="AD35070"/>
    </row>
    <row r="35071" spans="30:30" x14ac:dyDescent="0.25">
      <c r="AD35071"/>
    </row>
    <row r="35072" spans="30:30" x14ac:dyDescent="0.25">
      <c r="AD35072"/>
    </row>
    <row r="35073" spans="30:30" x14ac:dyDescent="0.25">
      <c r="AD35073"/>
    </row>
    <row r="35074" spans="30:30" x14ac:dyDescent="0.25">
      <c r="AD35074"/>
    </row>
    <row r="35075" spans="30:30" x14ac:dyDescent="0.25">
      <c r="AD35075"/>
    </row>
    <row r="35076" spans="30:30" x14ac:dyDescent="0.25">
      <c r="AD35076"/>
    </row>
    <row r="35077" spans="30:30" x14ac:dyDescent="0.25">
      <c r="AD35077"/>
    </row>
    <row r="35078" spans="30:30" x14ac:dyDescent="0.25">
      <c r="AD35078"/>
    </row>
    <row r="35079" spans="30:30" x14ac:dyDescent="0.25">
      <c r="AD35079"/>
    </row>
    <row r="35080" spans="30:30" x14ac:dyDescent="0.25">
      <c r="AD35080"/>
    </row>
    <row r="35081" spans="30:30" x14ac:dyDescent="0.25">
      <c r="AD35081"/>
    </row>
    <row r="35082" spans="30:30" x14ac:dyDescent="0.25">
      <c r="AD35082"/>
    </row>
    <row r="35083" spans="30:30" x14ac:dyDescent="0.25">
      <c r="AD35083"/>
    </row>
    <row r="35084" spans="30:30" x14ac:dyDescent="0.25">
      <c r="AD35084"/>
    </row>
    <row r="35085" spans="30:30" x14ac:dyDescent="0.25">
      <c r="AD35085"/>
    </row>
    <row r="35086" spans="30:30" x14ac:dyDescent="0.25">
      <c r="AD35086"/>
    </row>
    <row r="35087" spans="30:30" x14ac:dyDescent="0.25">
      <c r="AD35087"/>
    </row>
    <row r="35088" spans="30:30" x14ac:dyDescent="0.25">
      <c r="AD35088"/>
    </row>
    <row r="35089" spans="30:30" x14ac:dyDescent="0.25">
      <c r="AD35089"/>
    </row>
    <row r="35090" spans="30:30" x14ac:dyDescent="0.25">
      <c r="AD35090"/>
    </row>
    <row r="35091" spans="30:30" x14ac:dyDescent="0.25">
      <c r="AD35091"/>
    </row>
    <row r="35092" spans="30:30" x14ac:dyDescent="0.25">
      <c r="AD35092"/>
    </row>
    <row r="35093" spans="30:30" x14ac:dyDescent="0.25">
      <c r="AD35093"/>
    </row>
    <row r="35094" spans="30:30" x14ac:dyDescent="0.25">
      <c r="AD35094"/>
    </row>
    <row r="35095" spans="30:30" x14ac:dyDescent="0.25">
      <c r="AD35095"/>
    </row>
    <row r="35096" spans="30:30" x14ac:dyDescent="0.25">
      <c r="AD35096"/>
    </row>
    <row r="35097" spans="30:30" x14ac:dyDescent="0.25">
      <c r="AD35097"/>
    </row>
    <row r="35098" spans="30:30" x14ac:dyDescent="0.25">
      <c r="AD35098"/>
    </row>
    <row r="35099" spans="30:30" x14ac:dyDescent="0.25">
      <c r="AD35099"/>
    </row>
    <row r="35100" spans="30:30" x14ac:dyDescent="0.25">
      <c r="AD35100"/>
    </row>
    <row r="35101" spans="30:30" x14ac:dyDescent="0.25">
      <c r="AD35101"/>
    </row>
    <row r="35102" spans="30:30" x14ac:dyDescent="0.25">
      <c r="AD35102"/>
    </row>
    <row r="35103" spans="30:30" x14ac:dyDescent="0.25">
      <c r="AD35103"/>
    </row>
    <row r="35104" spans="30:30" x14ac:dyDescent="0.25">
      <c r="AD35104"/>
    </row>
    <row r="35105" spans="30:30" x14ac:dyDescent="0.25">
      <c r="AD35105"/>
    </row>
    <row r="35106" spans="30:30" x14ac:dyDescent="0.25">
      <c r="AD35106"/>
    </row>
    <row r="35107" spans="30:30" x14ac:dyDescent="0.25">
      <c r="AD35107"/>
    </row>
    <row r="35108" spans="30:30" x14ac:dyDescent="0.25">
      <c r="AD35108"/>
    </row>
    <row r="35109" spans="30:30" x14ac:dyDescent="0.25">
      <c r="AD35109"/>
    </row>
    <row r="35110" spans="30:30" x14ac:dyDescent="0.25">
      <c r="AD35110"/>
    </row>
    <row r="35111" spans="30:30" x14ac:dyDescent="0.25">
      <c r="AD35111"/>
    </row>
    <row r="35112" spans="30:30" x14ac:dyDescent="0.25">
      <c r="AD35112"/>
    </row>
    <row r="35113" spans="30:30" x14ac:dyDescent="0.25">
      <c r="AD35113"/>
    </row>
    <row r="35114" spans="30:30" x14ac:dyDescent="0.25">
      <c r="AD35114"/>
    </row>
    <row r="35115" spans="30:30" x14ac:dyDescent="0.25">
      <c r="AD35115"/>
    </row>
    <row r="35116" spans="30:30" x14ac:dyDescent="0.25">
      <c r="AD35116"/>
    </row>
    <row r="35117" spans="30:30" x14ac:dyDescent="0.25">
      <c r="AD35117"/>
    </row>
    <row r="35118" spans="30:30" x14ac:dyDescent="0.25">
      <c r="AD35118"/>
    </row>
    <row r="35119" spans="30:30" x14ac:dyDescent="0.25">
      <c r="AD35119"/>
    </row>
    <row r="35120" spans="30:30" x14ac:dyDescent="0.25">
      <c r="AD35120"/>
    </row>
    <row r="35121" spans="30:30" x14ac:dyDescent="0.25">
      <c r="AD35121"/>
    </row>
    <row r="35122" spans="30:30" x14ac:dyDescent="0.25">
      <c r="AD35122"/>
    </row>
    <row r="35123" spans="30:30" x14ac:dyDescent="0.25">
      <c r="AD35123"/>
    </row>
    <row r="35124" spans="30:30" x14ac:dyDescent="0.25">
      <c r="AD35124"/>
    </row>
    <row r="35125" spans="30:30" x14ac:dyDescent="0.25">
      <c r="AD35125"/>
    </row>
    <row r="35126" spans="30:30" x14ac:dyDescent="0.25">
      <c r="AD35126"/>
    </row>
    <row r="35127" spans="30:30" x14ac:dyDescent="0.25">
      <c r="AD35127"/>
    </row>
    <row r="35128" spans="30:30" x14ac:dyDescent="0.25">
      <c r="AD35128"/>
    </row>
    <row r="35129" spans="30:30" x14ac:dyDescent="0.25">
      <c r="AD35129"/>
    </row>
    <row r="35130" spans="30:30" x14ac:dyDescent="0.25">
      <c r="AD35130"/>
    </row>
    <row r="35131" spans="30:30" x14ac:dyDescent="0.25">
      <c r="AD35131"/>
    </row>
    <row r="35132" spans="30:30" x14ac:dyDescent="0.25">
      <c r="AD35132"/>
    </row>
    <row r="35133" spans="30:30" x14ac:dyDescent="0.25">
      <c r="AD35133"/>
    </row>
    <row r="35134" spans="30:30" x14ac:dyDescent="0.25">
      <c r="AD35134"/>
    </row>
    <row r="35135" spans="30:30" x14ac:dyDescent="0.25">
      <c r="AD35135"/>
    </row>
    <row r="35136" spans="30:30" x14ac:dyDescent="0.25">
      <c r="AD35136"/>
    </row>
    <row r="35137" spans="30:30" x14ac:dyDescent="0.25">
      <c r="AD35137"/>
    </row>
    <row r="35138" spans="30:30" x14ac:dyDescent="0.25">
      <c r="AD35138"/>
    </row>
    <row r="35139" spans="30:30" x14ac:dyDescent="0.25">
      <c r="AD35139"/>
    </row>
    <row r="35140" spans="30:30" x14ac:dyDescent="0.25">
      <c r="AD35140"/>
    </row>
    <row r="35141" spans="30:30" x14ac:dyDescent="0.25">
      <c r="AD35141"/>
    </row>
    <row r="35142" spans="30:30" x14ac:dyDescent="0.25">
      <c r="AD35142"/>
    </row>
    <row r="35143" spans="30:30" x14ac:dyDescent="0.25">
      <c r="AD35143"/>
    </row>
    <row r="35144" spans="30:30" x14ac:dyDescent="0.25">
      <c r="AD35144"/>
    </row>
    <row r="35145" spans="30:30" x14ac:dyDescent="0.25">
      <c r="AD35145"/>
    </row>
    <row r="35146" spans="30:30" x14ac:dyDescent="0.25">
      <c r="AD35146"/>
    </row>
    <row r="35147" spans="30:30" x14ac:dyDescent="0.25">
      <c r="AD35147"/>
    </row>
    <row r="35148" spans="30:30" x14ac:dyDescent="0.25">
      <c r="AD35148"/>
    </row>
    <row r="35149" spans="30:30" x14ac:dyDescent="0.25">
      <c r="AD35149"/>
    </row>
    <row r="35150" spans="30:30" x14ac:dyDescent="0.25">
      <c r="AD35150"/>
    </row>
    <row r="35151" spans="30:30" x14ac:dyDescent="0.25">
      <c r="AD35151"/>
    </row>
    <row r="35152" spans="30:30" x14ac:dyDescent="0.25">
      <c r="AD35152"/>
    </row>
    <row r="35153" spans="30:30" x14ac:dyDescent="0.25">
      <c r="AD35153"/>
    </row>
    <row r="35154" spans="30:30" x14ac:dyDescent="0.25">
      <c r="AD35154"/>
    </row>
    <row r="35155" spans="30:30" x14ac:dyDescent="0.25">
      <c r="AD35155"/>
    </row>
    <row r="35156" spans="30:30" x14ac:dyDescent="0.25">
      <c r="AD35156"/>
    </row>
    <row r="35157" spans="30:30" x14ac:dyDescent="0.25">
      <c r="AD35157"/>
    </row>
    <row r="35158" spans="30:30" x14ac:dyDescent="0.25">
      <c r="AD35158"/>
    </row>
    <row r="35159" spans="30:30" x14ac:dyDescent="0.25">
      <c r="AD35159"/>
    </row>
    <row r="35160" spans="30:30" x14ac:dyDescent="0.25">
      <c r="AD35160"/>
    </row>
    <row r="35161" spans="30:30" x14ac:dyDescent="0.25">
      <c r="AD35161"/>
    </row>
    <row r="35162" spans="30:30" x14ac:dyDescent="0.25">
      <c r="AD35162"/>
    </row>
    <row r="35163" spans="30:30" x14ac:dyDescent="0.25">
      <c r="AD35163"/>
    </row>
    <row r="35164" spans="30:30" x14ac:dyDescent="0.25">
      <c r="AD35164"/>
    </row>
    <row r="35165" spans="30:30" x14ac:dyDescent="0.25">
      <c r="AD35165"/>
    </row>
    <row r="35166" spans="30:30" x14ac:dyDescent="0.25">
      <c r="AD35166"/>
    </row>
    <row r="35167" spans="30:30" x14ac:dyDescent="0.25">
      <c r="AD35167"/>
    </row>
    <row r="35168" spans="30:30" x14ac:dyDescent="0.25">
      <c r="AD35168"/>
    </row>
    <row r="35169" spans="30:30" x14ac:dyDescent="0.25">
      <c r="AD35169"/>
    </row>
    <row r="35170" spans="30:30" x14ac:dyDescent="0.25">
      <c r="AD35170"/>
    </row>
    <row r="35171" spans="30:30" x14ac:dyDescent="0.25">
      <c r="AD35171"/>
    </row>
    <row r="35172" spans="30:30" x14ac:dyDescent="0.25">
      <c r="AD35172"/>
    </row>
    <row r="35173" spans="30:30" x14ac:dyDescent="0.25">
      <c r="AD35173"/>
    </row>
    <row r="35174" spans="30:30" x14ac:dyDescent="0.25">
      <c r="AD35174"/>
    </row>
    <row r="35175" spans="30:30" x14ac:dyDescent="0.25">
      <c r="AD35175"/>
    </row>
    <row r="35176" spans="30:30" x14ac:dyDescent="0.25">
      <c r="AD35176"/>
    </row>
    <row r="35177" spans="30:30" x14ac:dyDescent="0.25">
      <c r="AD35177"/>
    </row>
    <row r="35178" spans="30:30" x14ac:dyDescent="0.25">
      <c r="AD35178"/>
    </row>
    <row r="35179" spans="30:30" x14ac:dyDescent="0.25">
      <c r="AD35179"/>
    </row>
    <row r="35180" spans="30:30" x14ac:dyDescent="0.25">
      <c r="AD35180"/>
    </row>
    <row r="35181" spans="30:30" x14ac:dyDescent="0.25">
      <c r="AD35181"/>
    </row>
    <row r="35182" spans="30:30" x14ac:dyDescent="0.25">
      <c r="AD35182"/>
    </row>
    <row r="35183" spans="30:30" x14ac:dyDescent="0.25">
      <c r="AD35183"/>
    </row>
    <row r="35184" spans="30:30" x14ac:dyDescent="0.25">
      <c r="AD35184"/>
    </row>
    <row r="35185" spans="30:30" x14ac:dyDescent="0.25">
      <c r="AD35185"/>
    </row>
    <row r="35186" spans="30:30" x14ac:dyDescent="0.25">
      <c r="AD35186"/>
    </row>
    <row r="35187" spans="30:30" x14ac:dyDescent="0.25">
      <c r="AD35187"/>
    </row>
    <row r="35188" spans="30:30" x14ac:dyDescent="0.25">
      <c r="AD35188"/>
    </row>
    <row r="35189" spans="30:30" x14ac:dyDescent="0.25">
      <c r="AD35189"/>
    </row>
    <row r="35190" spans="30:30" x14ac:dyDescent="0.25">
      <c r="AD35190"/>
    </row>
    <row r="35191" spans="30:30" x14ac:dyDescent="0.25">
      <c r="AD35191"/>
    </row>
    <row r="35192" spans="30:30" x14ac:dyDescent="0.25">
      <c r="AD35192"/>
    </row>
    <row r="35193" spans="30:30" x14ac:dyDescent="0.25">
      <c r="AD35193"/>
    </row>
    <row r="35194" spans="30:30" x14ac:dyDescent="0.25">
      <c r="AD35194"/>
    </row>
    <row r="35195" spans="30:30" x14ac:dyDescent="0.25">
      <c r="AD35195"/>
    </row>
    <row r="35196" spans="30:30" x14ac:dyDescent="0.25">
      <c r="AD35196"/>
    </row>
    <row r="35197" spans="30:30" x14ac:dyDescent="0.25">
      <c r="AD35197"/>
    </row>
    <row r="35198" spans="30:30" x14ac:dyDescent="0.25">
      <c r="AD35198"/>
    </row>
    <row r="35199" spans="30:30" x14ac:dyDescent="0.25">
      <c r="AD35199"/>
    </row>
    <row r="35200" spans="30:30" x14ac:dyDescent="0.25">
      <c r="AD35200"/>
    </row>
    <row r="35201" spans="30:30" x14ac:dyDescent="0.25">
      <c r="AD35201"/>
    </row>
    <row r="35202" spans="30:30" x14ac:dyDescent="0.25">
      <c r="AD35202"/>
    </row>
    <row r="35203" spans="30:30" x14ac:dyDescent="0.25">
      <c r="AD35203"/>
    </row>
    <row r="35204" spans="30:30" x14ac:dyDescent="0.25">
      <c r="AD35204"/>
    </row>
    <row r="35205" spans="30:30" x14ac:dyDescent="0.25">
      <c r="AD35205"/>
    </row>
    <row r="35206" spans="30:30" x14ac:dyDescent="0.25">
      <c r="AD35206"/>
    </row>
    <row r="35207" spans="30:30" x14ac:dyDescent="0.25">
      <c r="AD35207"/>
    </row>
    <row r="35208" spans="30:30" x14ac:dyDescent="0.25">
      <c r="AD35208"/>
    </row>
    <row r="35209" spans="30:30" x14ac:dyDescent="0.25">
      <c r="AD35209"/>
    </row>
    <row r="35210" spans="30:30" x14ac:dyDescent="0.25">
      <c r="AD35210"/>
    </row>
    <row r="35211" spans="30:30" x14ac:dyDescent="0.25">
      <c r="AD35211"/>
    </row>
    <row r="35212" spans="30:30" x14ac:dyDescent="0.25">
      <c r="AD35212"/>
    </row>
    <row r="35213" spans="30:30" x14ac:dyDescent="0.25">
      <c r="AD35213"/>
    </row>
    <row r="35214" spans="30:30" x14ac:dyDescent="0.25">
      <c r="AD35214"/>
    </row>
    <row r="35215" spans="30:30" x14ac:dyDescent="0.25">
      <c r="AD35215"/>
    </row>
    <row r="35216" spans="30:30" x14ac:dyDescent="0.25">
      <c r="AD35216"/>
    </row>
    <row r="35217" spans="30:30" x14ac:dyDescent="0.25">
      <c r="AD35217"/>
    </row>
    <row r="35218" spans="30:30" x14ac:dyDescent="0.25">
      <c r="AD35218"/>
    </row>
    <row r="35219" spans="30:30" x14ac:dyDescent="0.25">
      <c r="AD35219"/>
    </row>
    <row r="35220" spans="30:30" x14ac:dyDescent="0.25">
      <c r="AD35220"/>
    </row>
    <row r="35221" spans="30:30" x14ac:dyDescent="0.25">
      <c r="AD35221"/>
    </row>
    <row r="35222" spans="30:30" x14ac:dyDescent="0.25">
      <c r="AD35222"/>
    </row>
    <row r="35223" spans="30:30" x14ac:dyDescent="0.25">
      <c r="AD35223"/>
    </row>
    <row r="35224" spans="30:30" x14ac:dyDescent="0.25">
      <c r="AD35224"/>
    </row>
    <row r="35225" spans="30:30" x14ac:dyDescent="0.25">
      <c r="AD35225"/>
    </row>
    <row r="35226" spans="30:30" x14ac:dyDescent="0.25">
      <c r="AD35226"/>
    </row>
    <row r="35227" spans="30:30" x14ac:dyDescent="0.25">
      <c r="AD35227"/>
    </row>
    <row r="35228" spans="30:30" x14ac:dyDescent="0.25">
      <c r="AD35228"/>
    </row>
    <row r="35229" spans="30:30" x14ac:dyDescent="0.25">
      <c r="AD35229"/>
    </row>
    <row r="35230" spans="30:30" x14ac:dyDescent="0.25">
      <c r="AD35230"/>
    </row>
    <row r="35231" spans="30:30" x14ac:dyDescent="0.25">
      <c r="AD35231"/>
    </row>
    <row r="35232" spans="30:30" x14ac:dyDescent="0.25">
      <c r="AD35232"/>
    </row>
    <row r="35233" spans="30:30" x14ac:dyDescent="0.25">
      <c r="AD35233"/>
    </row>
    <row r="35234" spans="30:30" x14ac:dyDescent="0.25">
      <c r="AD35234"/>
    </row>
    <row r="35235" spans="30:30" x14ac:dyDescent="0.25">
      <c r="AD35235"/>
    </row>
    <row r="35236" spans="30:30" x14ac:dyDescent="0.25">
      <c r="AD35236"/>
    </row>
    <row r="35237" spans="30:30" x14ac:dyDescent="0.25">
      <c r="AD35237"/>
    </row>
    <row r="35238" spans="30:30" x14ac:dyDescent="0.25">
      <c r="AD35238"/>
    </row>
    <row r="35239" spans="30:30" x14ac:dyDescent="0.25">
      <c r="AD35239"/>
    </row>
    <row r="35240" spans="30:30" x14ac:dyDescent="0.25">
      <c r="AD35240"/>
    </row>
    <row r="35241" spans="30:30" x14ac:dyDescent="0.25">
      <c r="AD35241"/>
    </row>
    <row r="35242" spans="30:30" x14ac:dyDescent="0.25">
      <c r="AD35242"/>
    </row>
    <row r="35243" spans="30:30" x14ac:dyDescent="0.25">
      <c r="AD35243"/>
    </row>
    <row r="35244" spans="30:30" x14ac:dyDescent="0.25">
      <c r="AD35244"/>
    </row>
    <row r="35245" spans="30:30" x14ac:dyDescent="0.25">
      <c r="AD35245"/>
    </row>
    <row r="35246" spans="30:30" x14ac:dyDescent="0.25">
      <c r="AD35246"/>
    </row>
    <row r="35247" spans="30:30" x14ac:dyDescent="0.25">
      <c r="AD35247"/>
    </row>
    <row r="35248" spans="30:30" x14ac:dyDescent="0.25">
      <c r="AD35248"/>
    </row>
    <row r="35249" spans="30:30" x14ac:dyDescent="0.25">
      <c r="AD35249"/>
    </row>
    <row r="35250" spans="30:30" x14ac:dyDescent="0.25">
      <c r="AD35250"/>
    </row>
    <row r="35251" spans="30:30" x14ac:dyDescent="0.25">
      <c r="AD35251"/>
    </row>
    <row r="35252" spans="30:30" x14ac:dyDescent="0.25">
      <c r="AD35252"/>
    </row>
    <row r="35253" spans="30:30" x14ac:dyDescent="0.25">
      <c r="AD35253"/>
    </row>
    <row r="35254" spans="30:30" x14ac:dyDescent="0.25">
      <c r="AD35254"/>
    </row>
    <row r="35255" spans="30:30" x14ac:dyDescent="0.25">
      <c r="AD35255"/>
    </row>
    <row r="35256" spans="30:30" x14ac:dyDescent="0.25">
      <c r="AD35256"/>
    </row>
    <row r="35257" spans="30:30" x14ac:dyDescent="0.25">
      <c r="AD35257"/>
    </row>
    <row r="35258" spans="30:30" x14ac:dyDescent="0.25">
      <c r="AD35258"/>
    </row>
    <row r="35259" spans="30:30" x14ac:dyDescent="0.25">
      <c r="AD35259"/>
    </row>
    <row r="35260" spans="30:30" x14ac:dyDescent="0.25">
      <c r="AD35260"/>
    </row>
    <row r="35261" spans="30:30" x14ac:dyDescent="0.25">
      <c r="AD35261"/>
    </row>
    <row r="35262" spans="30:30" x14ac:dyDescent="0.25">
      <c r="AD35262"/>
    </row>
    <row r="35263" spans="30:30" x14ac:dyDescent="0.25">
      <c r="AD35263"/>
    </row>
    <row r="35264" spans="30:30" x14ac:dyDescent="0.25">
      <c r="AD35264"/>
    </row>
    <row r="35265" spans="30:30" x14ac:dyDescent="0.25">
      <c r="AD35265"/>
    </row>
    <row r="35266" spans="30:30" x14ac:dyDescent="0.25">
      <c r="AD35266"/>
    </row>
    <row r="35267" spans="30:30" x14ac:dyDescent="0.25">
      <c r="AD35267"/>
    </row>
    <row r="35268" spans="30:30" x14ac:dyDescent="0.25">
      <c r="AD35268"/>
    </row>
    <row r="35269" spans="30:30" x14ac:dyDescent="0.25">
      <c r="AD35269"/>
    </row>
    <row r="35270" spans="30:30" x14ac:dyDescent="0.25">
      <c r="AD35270"/>
    </row>
    <row r="35271" spans="30:30" x14ac:dyDescent="0.25">
      <c r="AD35271"/>
    </row>
    <row r="35272" spans="30:30" x14ac:dyDescent="0.25">
      <c r="AD35272"/>
    </row>
    <row r="35273" spans="30:30" x14ac:dyDescent="0.25">
      <c r="AD35273"/>
    </row>
    <row r="35274" spans="30:30" x14ac:dyDescent="0.25">
      <c r="AD35274"/>
    </row>
    <row r="35275" spans="30:30" x14ac:dyDescent="0.25">
      <c r="AD35275"/>
    </row>
    <row r="35276" spans="30:30" x14ac:dyDescent="0.25">
      <c r="AD35276"/>
    </row>
    <row r="35277" spans="30:30" x14ac:dyDescent="0.25">
      <c r="AD35277"/>
    </row>
    <row r="35278" spans="30:30" x14ac:dyDescent="0.25">
      <c r="AD35278"/>
    </row>
    <row r="35279" spans="30:30" x14ac:dyDescent="0.25">
      <c r="AD35279"/>
    </row>
    <row r="35280" spans="30:30" x14ac:dyDescent="0.25">
      <c r="AD35280"/>
    </row>
    <row r="35281" spans="30:30" x14ac:dyDescent="0.25">
      <c r="AD35281"/>
    </row>
    <row r="35282" spans="30:30" x14ac:dyDescent="0.25">
      <c r="AD35282"/>
    </row>
    <row r="35283" spans="30:30" x14ac:dyDescent="0.25">
      <c r="AD35283"/>
    </row>
    <row r="35284" spans="30:30" x14ac:dyDescent="0.25">
      <c r="AD35284"/>
    </row>
    <row r="35285" spans="30:30" x14ac:dyDescent="0.25">
      <c r="AD35285"/>
    </row>
    <row r="35286" spans="30:30" x14ac:dyDescent="0.25">
      <c r="AD35286"/>
    </row>
    <row r="35287" spans="30:30" x14ac:dyDescent="0.25">
      <c r="AD35287"/>
    </row>
    <row r="35288" spans="30:30" x14ac:dyDescent="0.25">
      <c r="AD35288"/>
    </row>
    <row r="35289" spans="30:30" x14ac:dyDescent="0.25">
      <c r="AD35289"/>
    </row>
    <row r="35290" spans="30:30" x14ac:dyDescent="0.25">
      <c r="AD35290"/>
    </row>
    <row r="35291" spans="30:30" x14ac:dyDescent="0.25">
      <c r="AD35291"/>
    </row>
    <row r="35292" spans="30:30" x14ac:dyDescent="0.25">
      <c r="AD35292"/>
    </row>
    <row r="35293" spans="30:30" x14ac:dyDescent="0.25">
      <c r="AD35293"/>
    </row>
    <row r="35294" spans="30:30" x14ac:dyDescent="0.25">
      <c r="AD35294"/>
    </row>
    <row r="35295" spans="30:30" x14ac:dyDescent="0.25">
      <c r="AD35295"/>
    </row>
    <row r="35296" spans="30:30" x14ac:dyDescent="0.25">
      <c r="AD35296"/>
    </row>
    <row r="35297" spans="30:30" x14ac:dyDescent="0.25">
      <c r="AD35297"/>
    </row>
    <row r="35298" spans="30:30" x14ac:dyDescent="0.25">
      <c r="AD35298"/>
    </row>
    <row r="35299" spans="30:30" x14ac:dyDescent="0.25">
      <c r="AD35299"/>
    </row>
    <row r="35300" spans="30:30" x14ac:dyDescent="0.25">
      <c r="AD35300"/>
    </row>
    <row r="35301" spans="30:30" x14ac:dyDescent="0.25">
      <c r="AD35301"/>
    </row>
    <row r="35302" spans="30:30" x14ac:dyDescent="0.25">
      <c r="AD35302"/>
    </row>
    <row r="35303" spans="30:30" x14ac:dyDescent="0.25">
      <c r="AD35303"/>
    </row>
    <row r="35304" spans="30:30" x14ac:dyDescent="0.25">
      <c r="AD35304"/>
    </row>
    <row r="35305" spans="30:30" x14ac:dyDescent="0.25">
      <c r="AD35305"/>
    </row>
    <row r="35306" spans="30:30" x14ac:dyDescent="0.25">
      <c r="AD35306"/>
    </row>
    <row r="35307" spans="30:30" x14ac:dyDescent="0.25">
      <c r="AD35307"/>
    </row>
    <row r="35308" spans="30:30" x14ac:dyDescent="0.25">
      <c r="AD35308"/>
    </row>
    <row r="35309" spans="30:30" x14ac:dyDescent="0.25">
      <c r="AD35309"/>
    </row>
    <row r="35310" spans="30:30" x14ac:dyDescent="0.25">
      <c r="AD35310"/>
    </row>
    <row r="35311" spans="30:30" x14ac:dyDescent="0.25">
      <c r="AD35311"/>
    </row>
    <row r="35312" spans="30:30" x14ac:dyDescent="0.25">
      <c r="AD35312"/>
    </row>
    <row r="35313" spans="30:30" x14ac:dyDescent="0.25">
      <c r="AD35313"/>
    </row>
    <row r="35314" spans="30:30" x14ac:dyDescent="0.25">
      <c r="AD35314"/>
    </row>
    <row r="35315" spans="30:30" x14ac:dyDescent="0.25">
      <c r="AD35315"/>
    </row>
    <row r="35316" spans="30:30" x14ac:dyDescent="0.25">
      <c r="AD35316"/>
    </row>
    <row r="35317" spans="30:30" x14ac:dyDescent="0.25">
      <c r="AD35317"/>
    </row>
    <row r="35318" spans="30:30" x14ac:dyDescent="0.25">
      <c r="AD35318"/>
    </row>
    <row r="35319" spans="30:30" x14ac:dyDescent="0.25">
      <c r="AD35319"/>
    </row>
    <row r="35320" spans="30:30" x14ac:dyDescent="0.25">
      <c r="AD35320"/>
    </row>
    <row r="35321" spans="30:30" x14ac:dyDescent="0.25">
      <c r="AD35321"/>
    </row>
    <row r="35322" spans="30:30" x14ac:dyDescent="0.25">
      <c r="AD35322"/>
    </row>
    <row r="35323" spans="30:30" x14ac:dyDescent="0.25">
      <c r="AD35323"/>
    </row>
    <row r="35324" spans="30:30" x14ac:dyDescent="0.25">
      <c r="AD35324"/>
    </row>
    <row r="35325" spans="30:30" x14ac:dyDescent="0.25">
      <c r="AD35325"/>
    </row>
    <row r="35326" spans="30:30" x14ac:dyDescent="0.25">
      <c r="AD35326"/>
    </row>
    <row r="35327" spans="30:30" x14ac:dyDescent="0.25">
      <c r="AD35327"/>
    </row>
    <row r="35328" spans="30:30" x14ac:dyDescent="0.25">
      <c r="AD35328"/>
    </row>
    <row r="35329" spans="30:30" x14ac:dyDescent="0.25">
      <c r="AD35329"/>
    </row>
    <row r="35330" spans="30:30" x14ac:dyDescent="0.25">
      <c r="AD35330"/>
    </row>
    <row r="35331" spans="30:30" x14ac:dyDescent="0.25">
      <c r="AD35331"/>
    </row>
    <row r="35332" spans="30:30" x14ac:dyDescent="0.25">
      <c r="AD35332"/>
    </row>
    <row r="35333" spans="30:30" x14ac:dyDescent="0.25">
      <c r="AD35333"/>
    </row>
    <row r="35334" spans="30:30" x14ac:dyDescent="0.25">
      <c r="AD35334"/>
    </row>
    <row r="35335" spans="30:30" x14ac:dyDescent="0.25">
      <c r="AD35335"/>
    </row>
    <row r="35336" spans="30:30" x14ac:dyDescent="0.25">
      <c r="AD35336"/>
    </row>
    <row r="35337" spans="30:30" x14ac:dyDescent="0.25">
      <c r="AD35337"/>
    </row>
    <row r="35338" spans="30:30" x14ac:dyDescent="0.25">
      <c r="AD35338"/>
    </row>
    <row r="35339" spans="30:30" x14ac:dyDescent="0.25">
      <c r="AD35339"/>
    </row>
    <row r="35340" spans="30:30" x14ac:dyDescent="0.25">
      <c r="AD35340"/>
    </row>
    <row r="35341" spans="30:30" x14ac:dyDescent="0.25">
      <c r="AD35341"/>
    </row>
    <row r="35342" spans="30:30" x14ac:dyDescent="0.25">
      <c r="AD35342"/>
    </row>
    <row r="35343" spans="30:30" x14ac:dyDescent="0.25">
      <c r="AD35343"/>
    </row>
    <row r="35344" spans="30:30" x14ac:dyDescent="0.25">
      <c r="AD35344"/>
    </row>
    <row r="35345" spans="30:30" x14ac:dyDescent="0.25">
      <c r="AD35345"/>
    </row>
    <row r="35346" spans="30:30" x14ac:dyDescent="0.25">
      <c r="AD35346"/>
    </row>
    <row r="35347" spans="30:30" x14ac:dyDescent="0.25">
      <c r="AD35347"/>
    </row>
    <row r="35348" spans="30:30" x14ac:dyDescent="0.25">
      <c r="AD35348"/>
    </row>
    <row r="35349" spans="30:30" x14ac:dyDescent="0.25">
      <c r="AD35349"/>
    </row>
    <row r="35350" spans="30:30" x14ac:dyDescent="0.25">
      <c r="AD35350"/>
    </row>
    <row r="35351" spans="30:30" x14ac:dyDescent="0.25">
      <c r="AD35351"/>
    </row>
    <row r="35352" spans="30:30" x14ac:dyDescent="0.25">
      <c r="AD35352"/>
    </row>
    <row r="35353" spans="30:30" x14ac:dyDescent="0.25">
      <c r="AD35353"/>
    </row>
    <row r="35354" spans="30:30" x14ac:dyDescent="0.25">
      <c r="AD35354"/>
    </row>
    <row r="35355" spans="30:30" x14ac:dyDescent="0.25">
      <c r="AD35355"/>
    </row>
    <row r="35356" spans="30:30" x14ac:dyDescent="0.25">
      <c r="AD35356"/>
    </row>
    <row r="35357" spans="30:30" x14ac:dyDescent="0.25">
      <c r="AD35357"/>
    </row>
    <row r="35358" spans="30:30" x14ac:dyDescent="0.25">
      <c r="AD35358"/>
    </row>
    <row r="35359" spans="30:30" x14ac:dyDescent="0.25">
      <c r="AD35359"/>
    </row>
    <row r="35360" spans="30:30" x14ac:dyDescent="0.25">
      <c r="AD35360"/>
    </row>
    <row r="35361" spans="30:30" x14ac:dyDescent="0.25">
      <c r="AD35361"/>
    </row>
    <row r="35362" spans="30:30" x14ac:dyDescent="0.25">
      <c r="AD35362"/>
    </row>
    <row r="35363" spans="30:30" x14ac:dyDescent="0.25">
      <c r="AD35363"/>
    </row>
    <row r="35364" spans="30:30" x14ac:dyDescent="0.25">
      <c r="AD35364"/>
    </row>
    <row r="35365" spans="30:30" x14ac:dyDescent="0.25">
      <c r="AD35365"/>
    </row>
    <row r="35366" spans="30:30" x14ac:dyDescent="0.25">
      <c r="AD35366"/>
    </row>
    <row r="35367" spans="30:30" x14ac:dyDescent="0.25">
      <c r="AD35367"/>
    </row>
    <row r="35368" spans="30:30" x14ac:dyDescent="0.25">
      <c r="AD35368"/>
    </row>
    <row r="35369" spans="30:30" x14ac:dyDescent="0.25">
      <c r="AD35369"/>
    </row>
    <row r="35370" spans="30:30" x14ac:dyDescent="0.25">
      <c r="AD35370"/>
    </row>
    <row r="35371" spans="30:30" x14ac:dyDescent="0.25">
      <c r="AD35371"/>
    </row>
    <row r="35372" spans="30:30" x14ac:dyDescent="0.25">
      <c r="AD35372"/>
    </row>
    <row r="35373" spans="30:30" x14ac:dyDescent="0.25">
      <c r="AD35373"/>
    </row>
    <row r="35374" spans="30:30" x14ac:dyDescent="0.25">
      <c r="AD35374"/>
    </row>
    <row r="35375" spans="30:30" x14ac:dyDescent="0.25">
      <c r="AD35375"/>
    </row>
    <row r="35376" spans="30:30" x14ac:dyDescent="0.25">
      <c r="AD35376"/>
    </row>
    <row r="35377" spans="30:30" x14ac:dyDescent="0.25">
      <c r="AD35377"/>
    </row>
    <row r="35378" spans="30:30" x14ac:dyDescent="0.25">
      <c r="AD35378"/>
    </row>
    <row r="35379" spans="30:30" x14ac:dyDescent="0.25">
      <c r="AD35379"/>
    </row>
    <row r="35380" spans="30:30" x14ac:dyDescent="0.25">
      <c r="AD35380"/>
    </row>
    <row r="35381" spans="30:30" x14ac:dyDescent="0.25">
      <c r="AD35381"/>
    </row>
    <row r="35382" spans="30:30" x14ac:dyDescent="0.25">
      <c r="AD35382"/>
    </row>
    <row r="35383" spans="30:30" x14ac:dyDescent="0.25">
      <c r="AD35383"/>
    </row>
    <row r="35384" spans="30:30" x14ac:dyDescent="0.25">
      <c r="AD35384"/>
    </row>
    <row r="35385" spans="30:30" x14ac:dyDescent="0.25">
      <c r="AD35385"/>
    </row>
    <row r="35386" spans="30:30" x14ac:dyDescent="0.25">
      <c r="AD35386"/>
    </row>
    <row r="35387" spans="30:30" x14ac:dyDescent="0.25">
      <c r="AD35387"/>
    </row>
    <row r="35388" spans="30:30" x14ac:dyDescent="0.25">
      <c r="AD35388"/>
    </row>
    <row r="35389" spans="30:30" x14ac:dyDescent="0.25">
      <c r="AD35389"/>
    </row>
    <row r="35390" spans="30:30" x14ac:dyDescent="0.25">
      <c r="AD35390"/>
    </row>
    <row r="35391" spans="30:30" x14ac:dyDescent="0.25">
      <c r="AD35391"/>
    </row>
    <row r="35392" spans="30:30" x14ac:dyDescent="0.25">
      <c r="AD35392"/>
    </row>
    <row r="35393" spans="30:30" x14ac:dyDescent="0.25">
      <c r="AD35393"/>
    </row>
    <row r="35394" spans="30:30" x14ac:dyDescent="0.25">
      <c r="AD35394"/>
    </row>
    <row r="35395" spans="30:30" x14ac:dyDescent="0.25">
      <c r="AD35395"/>
    </row>
    <row r="35396" spans="30:30" x14ac:dyDescent="0.25">
      <c r="AD35396"/>
    </row>
    <row r="35397" spans="30:30" x14ac:dyDescent="0.25">
      <c r="AD35397"/>
    </row>
    <row r="35398" spans="30:30" x14ac:dyDescent="0.25">
      <c r="AD35398"/>
    </row>
    <row r="35399" spans="30:30" x14ac:dyDescent="0.25">
      <c r="AD35399"/>
    </row>
    <row r="35400" spans="30:30" x14ac:dyDescent="0.25">
      <c r="AD35400"/>
    </row>
    <row r="35401" spans="30:30" x14ac:dyDescent="0.25">
      <c r="AD35401"/>
    </row>
    <row r="35402" spans="30:30" x14ac:dyDescent="0.25">
      <c r="AD35402"/>
    </row>
    <row r="35403" spans="30:30" x14ac:dyDescent="0.25">
      <c r="AD35403"/>
    </row>
    <row r="35404" spans="30:30" x14ac:dyDescent="0.25">
      <c r="AD35404"/>
    </row>
    <row r="35405" spans="30:30" x14ac:dyDescent="0.25">
      <c r="AD35405"/>
    </row>
    <row r="35406" spans="30:30" x14ac:dyDescent="0.25">
      <c r="AD35406"/>
    </row>
    <row r="35407" spans="30:30" x14ac:dyDescent="0.25">
      <c r="AD35407"/>
    </row>
    <row r="35408" spans="30:30" x14ac:dyDescent="0.25">
      <c r="AD35408"/>
    </row>
    <row r="35409" spans="30:30" x14ac:dyDescent="0.25">
      <c r="AD35409"/>
    </row>
    <row r="35410" spans="30:30" x14ac:dyDescent="0.25">
      <c r="AD35410"/>
    </row>
    <row r="35411" spans="30:30" x14ac:dyDescent="0.25">
      <c r="AD35411"/>
    </row>
    <row r="35412" spans="30:30" x14ac:dyDescent="0.25">
      <c r="AD35412"/>
    </row>
    <row r="35413" spans="30:30" x14ac:dyDescent="0.25">
      <c r="AD35413"/>
    </row>
    <row r="35414" spans="30:30" x14ac:dyDescent="0.25">
      <c r="AD35414"/>
    </row>
    <row r="35415" spans="30:30" x14ac:dyDescent="0.25">
      <c r="AD35415"/>
    </row>
    <row r="35416" spans="30:30" x14ac:dyDescent="0.25">
      <c r="AD35416"/>
    </row>
    <row r="35417" spans="30:30" x14ac:dyDescent="0.25">
      <c r="AD35417"/>
    </row>
    <row r="35418" spans="30:30" x14ac:dyDescent="0.25">
      <c r="AD35418"/>
    </row>
    <row r="35419" spans="30:30" x14ac:dyDescent="0.25">
      <c r="AD35419"/>
    </row>
    <row r="35420" spans="30:30" x14ac:dyDescent="0.25">
      <c r="AD35420"/>
    </row>
    <row r="35421" spans="30:30" x14ac:dyDescent="0.25">
      <c r="AD35421"/>
    </row>
    <row r="35422" spans="30:30" x14ac:dyDescent="0.25">
      <c r="AD35422"/>
    </row>
    <row r="35423" spans="30:30" x14ac:dyDescent="0.25">
      <c r="AD35423"/>
    </row>
    <row r="35424" spans="30:30" x14ac:dyDescent="0.25">
      <c r="AD35424"/>
    </row>
    <row r="35425" spans="30:30" x14ac:dyDescent="0.25">
      <c r="AD35425"/>
    </row>
    <row r="35426" spans="30:30" x14ac:dyDescent="0.25">
      <c r="AD35426"/>
    </row>
    <row r="35427" spans="30:30" x14ac:dyDescent="0.25">
      <c r="AD35427"/>
    </row>
    <row r="35428" spans="30:30" x14ac:dyDescent="0.25">
      <c r="AD35428"/>
    </row>
    <row r="35429" spans="30:30" x14ac:dyDescent="0.25">
      <c r="AD35429"/>
    </row>
    <row r="35430" spans="30:30" x14ac:dyDescent="0.25">
      <c r="AD35430"/>
    </row>
    <row r="35431" spans="30:30" x14ac:dyDescent="0.25">
      <c r="AD35431"/>
    </row>
    <row r="35432" spans="30:30" x14ac:dyDescent="0.25">
      <c r="AD35432"/>
    </row>
    <row r="35433" spans="30:30" x14ac:dyDescent="0.25">
      <c r="AD35433"/>
    </row>
    <row r="35434" spans="30:30" x14ac:dyDescent="0.25">
      <c r="AD35434"/>
    </row>
    <row r="35435" spans="30:30" x14ac:dyDescent="0.25">
      <c r="AD35435"/>
    </row>
    <row r="35436" spans="30:30" x14ac:dyDescent="0.25">
      <c r="AD35436"/>
    </row>
    <row r="35437" spans="30:30" x14ac:dyDescent="0.25">
      <c r="AD35437"/>
    </row>
    <row r="35438" spans="30:30" x14ac:dyDescent="0.25">
      <c r="AD35438"/>
    </row>
    <row r="35439" spans="30:30" x14ac:dyDescent="0.25">
      <c r="AD35439"/>
    </row>
    <row r="35440" spans="30:30" x14ac:dyDescent="0.25">
      <c r="AD35440"/>
    </row>
    <row r="35441" spans="30:30" x14ac:dyDescent="0.25">
      <c r="AD35441"/>
    </row>
    <row r="35442" spans="30:30" x14ac:dyDescent="0.25">
      <c r="AD35442"/>
    </row>
    <row r="35443" spans="30:30" x14ac:dyDescent="0.25">
      <c r="AD35443"/>
    </row>
    <row r="35444" spans="30:30" x14ac:dyDescent="0.25">
      <c r="AD35444"/>
    </row>
    <row r="35445" spans="30:30" x14ac:dyDescent="0.25">
      <c r="AD35445"/>
    </row>
    <row r="35446" spans="30:30" x14ac:dyDescent="0.25">
      <c r="AD35446"/>
    </row>
    <row r="35447" spans="30:30" x14ac:dyDescent="0.25">
      <c r="AD35447"/>
    </row>
    <row r="35448" spans="30:30" x14ac:dyDescent="0.25">
      <c r="AD35448"/>
    </row>
    <row r="35449" spans="30:30" x14ac:dyDescent="0.25">
      <c r="AD35449"/>
    </row>
    <row r="35450" spans="30:30" x14ac:dyDescent="0.25">
      <c r="AD35450"/>
    </row>
    <row r="35451" spans="30:30" x14ac:dyDescent="0.25">
      <c r="AD35451"/>
    </row>
    <row r="35452" spans="30:30" x14ac:dyDescent="0.25">
      <c r="AD35452"/>
    </row>
    <row r="35453" spans="30:30" x14ac:dyDescent="0.25">
      <c r="AD35453"/>
    </row>
    <row r="35454" spans="30:30" x14ac:dyDescent="0.25">
      <c r="AD35454"/>
    </row>
    <row r="35455" spans="30:30" x14ac:dyDescent="0.25">
      <c r="AD35455"/>
    </row>
    <row r="35456" spans="30:30" x14ac:dyDescent="0.25">
      <c r="AD35456"/>
    </row>
    <row r="35457" spans="30:30" x14ac:dyDescent="0.25">
      <c r="AD35457"/>
    </row>
    <row r="35458" spans="30:30" x14ac:dyDescent="0.25">
      <c r="AD35458"/>
    </row>
    <row r="35459" spans="30:30" x14ac:dyDescent="0.25">
      <c r="AD35459"/>
    </row>
    <row r="35460" spans="30:30" x14ac:dyDescent="0.25">
      <c r="AD35460"/>
    </row>
    <row r="35461" spans="30:30" x14ac:dyDescent="0.25">
      <c r="AD35461"/>
    </row>
    <row r="35462" spans="30:30" x14ac:dyDescent="0.25">
      <c r="AD35462"/>
    </row>
    <row r="35463" spans="30:30" x14ac:dyDescent="0.25">
      <c r="AD35463"/>
    </row>
    <row r="35464" spans="30:30" x14ac:dyDescent="0.25">
      <c r="AD35464"/>
    </row>
    <row r="35465" spans="30:30" x14ac:dyDescent="0.25">
      <c r="AD35465"/>
    </row>
    <row r="35466" spans="30:30" x14ac:dyDescent="0.25">
      <c r="AD35466"/>
    </row>
    <row r="35467" spans="30:30" x14ac:dyDescent="0.25">
      <c r="AD35467"/>
    </row>
    <row r="35468" spans="30:30" x14ac:dyDescent="0.25">
      <c r="AD35468"/>
    </row>
    <row r="35469" spans="30:30" x14ac:dyDescent="0.25">
      <c r="AD35469"/>
    </row>
    <row r="35470" spans="30:30" x14ac:dyDescent="0.25">
      <c r="AD35470"/>
    </row>
    <row r="35471" spans="30:30" x14ac:dyDescent="0.25">
      <c r="AD35471"/>
    </row>
    <row r="35472" spans="30:30" x14ac:dyDescent="0.25">
      <c r="AD35472"/>
    </row>
    <row r="35473" spans="30:30" x14ac:dyDescent="0.25">
      <c r="AD35473"/>
    </row>
    <row r="35474" spans="30:30" x14ac:dyDescent="0.25">
      <c r="AD35474"/>
    </row>
    <row r="35475" spans="30:30" x14ac:dyDescent="0.25">
      <c r="AD35475"/>
    </row>
    <row r="35476" spans="30:30" x14ac:dyDescent="0.25">
      <c r="AD35476"/>
    </row>
    <row r="35477" spans="30:30" x14ac:dyDescent="0.25">
      <c r="AD35477"/>
    </row>
    <row r="35478" spans="30:30" x14ac:dyDescent="0.25">
      <c r="AD35478"/>
    </row>
    <row r="35479" spans="30:30" x14ac:dyDescent="0.25">
      <c r="AD35479"/>
    </row>
    <row r="35480" spans="30:30" x14ac:dyDescent="0.25">
      <c r="AD35480"/>
    </row>
    <row r="35481" spans="30:30" x14ac:dyDescent="0.25">
      <c r="AD35481"/>
    </row>
    <row r="35482" spans="30:30" x14ac:dyDescent="0.25">
      <c r="AD35482"/>
    </row>
    <row r="35483" spans="30:30" x14ac:dyDescent="0.25">
      <c r="AD35483"/>
    </row>
    <row r="35484" spans="30:30" x14ac:dyDescent="0.25">
      <c r="AD35484"/>
    </row>
    <row r="35485" spans="30:30" x14ac:dyDescent="0.25">
      <c r="AD35485"/>
    </row>
    <row r="35486" spans="30:30" x14ac:dyDescent="0.25">
      <c r="AD35486"/>
    </row>
    <row r="35487" spans="30:30" x14ac:dyDescent="0.25">
      <c r="AD35487"/>
    </row>
    <row r="35488" spans="30:30" x14ac:dyDescent="0.25">
      <c r="AD35488"/>
    </row>
    <row r="35489" spans="30:30" x14ac:dyDescent="0.25">
      <c r="AD35489"/>
    </row>
    <row r="35490" spans="30:30" x14ac:dyDescent="0.25">
      <c r="AD35490"/>
    </row>
    <row r="35491" spans="30:30" x14ac:dyDescent="0.25">
      <c r="AD35491"/>
    </row>
    <row r="35492" spans="30:30" x14ac:dyDescent="0.25">
      <c r="AD35492"/>
    </row>
    <row r="35493" spans="30:30" x14ac:dyDescent="0.25">
      <c r="AD35493"/>
    </row>
    <row r="35494" spans="30:30" x14ac:dyDescent="0.25">
      <c r="AD35494"/>
    </row>
    <row r="35495" spans="30:30" x14ac:dyDescent="0.25">
      <c r="AD35495"/>
    </row>
    <row r="35496" spans="30:30" x14ac:dyDescent="0.25">
      <c r="AD35496"/>
    </row>
    <row r="35497" spans="30:30" x14ac:dyDescent="0.25">
      <c r="AD35497"/>
    </row>
    <row r="35498" spans="30:30" x14ac:dyDescent="0.25">
      <c r="AD35498"/>
    </row>
    <row r="35499" spans="30:30" x14ac:dyDescent="0.25">
      <c r="AD35499"/>
    </row>
    <row r="35500" spans="30:30" x14ac:dyDescent="0.25">
      <c r="AD35500"/>
    </row>
    <row r="35501" spans="30:30" x14ac:dyDescent="0.25">
      <c r="AD35501"/>
    </row>
    <row r="35502" spans="30:30" x14ac:dyDescent="0.25">
      <c r="AD35502"/>
    </row>
    <row r="35503" spans="30:30" x14ac:dyDescent="0.25">
      <c r="AD35503"/>
    </row>
    <row r="35504" spans="30:30" x14ac:dyDescent="0.25">
      <c r="AD35504"/>
    </row>
    <row r="35505" spans="30:30" x14ac:dyDescent="0.25">
      <c r="AD35505"/>
    </row>
    <row r="35506" spans="30:30" x14ac:dyDescent="0.25">
      <c r="AD35506"/>
    </row>
    <row r="35507" spans="30:30" x14ac:dyDescent="0.25">
      <c r="AD35507"/>
    </row>
    <row r="35508" spans="30:30" x14ac:dyDescent="0.25">
      <c r="AD35508"/>
    </row>
    <row r="35509" spans="30:30" x14ac:dyDescent="0.25">
      <c r="AD35509"/>
    </row>
    <row r="35510" spans="30:30" x14ac:dyDescent="0.25">
      <c r="AD35510"/>
    </row>
    <row r="35511" spans="30:30" x14ac:dyDescent="0.25">
      <c r="AD35511"/>
    </row>
    <row r="35512" spans="30:30" x14ac:dyDescent="0.25">
      <c r="AD35512"/>
    </row>
    <row r="35513" spans="30:30" x14ac:dyDescent="0.25">
      <c r="AD35513"/>
    </row>
    <row r="35514" spans="30:30" x14ac:dyDescent="0.25">
      <c r="AD35514"/>
    </row>
    <row r="35515" spans="30:30" x14ac:dyDescent="0.25">
      <c r="AD35515"/>
    </row>
    <row r="35516" spans="30:30" x14ac:dyDescent="0.25">
      <c r="AD35516"/>
    </row>
    <row r="35517" spans="30:30" x14ac:dyDescent="0.25">
      <c r="AD35517"/>
    </row>
    <row r="35518" spans="30:30" x14ac:dyDescent="0.25">
      <c r="AD35518"/>
    </row>
    <row r="35519" spans="30:30" x14ac:dyDescent="0.25">
      <c r="AD35519"/>
    </row>
    <row r="35520" spans="30:30" x14ac:dyDescent="0.25">
      <c r="AD35520"/>
    </row>
    <row r="35521" spans="30:30" x14ac:dyDescent="0.25">
      <c r="AD35521"/>
    </row>
    <row r="35522" spans="30:30" x14ac:dyDescent="0.25">
      <c r="AD35522"/>
    </row>
    <row r="35523" spans="30:30" x14ac:dyDescent="0.25">
      <c r="AD35523"/>
    </row>
    <row r="35524" spans="30:30" x14ac:dyDescent="0.25">
      <c r="AD35524"/>
    </row>
    <row r="35525" spans="30:30" x14ac:dyDescent="0.25">
      <c r="AD35525"/>
    </row>
    <row r="35526" spans="30:30" x14ac:dyDescent="0.25">
      <c r="AD35526"/>
    </row>
    <row r="35527" spans="30:30" x14ac:dyDescent="0.25">
      <c r="AD35527"/>
    </row>
    <row r="35528" spans="30:30" x14ac:dyDescent="0.25">
      <c r="AD35528"/>
    </row>
    <row r="35529" spans="30:30" x14ac:dyDescent="0.25">
      <c r="AD35529"/>
    </row>
    <row r="35530" spans="30:30" x14ac:dyDescent="0.25">
      <c r="AD35530"/>
    </row>
    <row r="35531" spans="30:30" x14ac:dyDescent="0.25">
      <c r="AD35531"/>
    </row>
    <row r="35532" spans="30:30" x14ac:dyDescent="0.25">
      <c r="AD35532"/>
    </row>
    <row r="35533" spans="30:30" x14ac:dyDescent="0.25">
      <c r="AD35533"/>
    </row>
    <row r="35534" spans="30:30" x14ac:dyDescent="0.25">
      <c r="AD35534"/>
    </row>
    <row r="35535" spans="30:30" x14ac:dyDescent="0.25">
      <c r="AD35535"/>
    </row>
    <row r="35536" spans="30:30" x14ac:dyDescent="0.25">
      <c r="AD35536"/>
    </row>
    <row r="35537" spans="30:30" x14ac:dyDescent="0.25">
      <c r="AD35537"/>
    </row>
    <row r="35538" spans="30:30" x14ac:dyDescent="0.25">
      <c r="AD35538"/>
    </row>
    <row r="35539" spans="30:30" x14ac:dyDescent="0.25">
      <c r="AD35539"/>
    </row>
    <row r="35540" spans="30:30" x14ac:dyDescent="0.25">
      <c r="AD35540"/>
    </row>
    <row r="35541" spans="30:30" x14ac:dyDescent="0.25">
      <c r="AD35541"/>
    </row>
    <row r="35542" spans="30:30" x14ac:dyDescent="0.25">
      <c r="AD35542"/>
    </row>
    <row r="35543" spans="30:30" x14ac:dyDescent="0.25">
      <c r="AD35543"/>
    </row>
    <row r="35544" spans="30:30" x14ac:dyDescent="0.25">
      <c r="AD35544"/>
    </row>
    <row r="35545" spans="30:30" x14ac:dyDescent="0.25">
      <c r="AD35545"/>
    </row>
    <row r="35546" spans="30:30" x14ac:dyDescent="0.25">
      <c r="AD35546"/>
    </row>
    <row r="35547" spans="30:30" x14ac:dyDescent="0.25">
      <c r="AD35547"/>
    </row>
    <row r="35548" spans="30:30" x14ac:dyDescent="0.25">
      <c r="AD35548"/>
    </row>
    <row r="35549" spans="30:30" x14ac:dyDescent="0.25">
      <c r="AD35549"/>
    </row>
    <row r="35550" spans="30:30" x14ac:dyDescent="0.25">
      <c r="AD35550"/>
    </row>
    <row r="35551" spans="30:30" x14ac:dyDescent="0.25">
      <c r="AD35551"/>
    </row>
    <row r="35552" spans="30:30" x14ac:dyDescent="0.25">
      <c r="AD35552"/>
    </row>
    <row r="35553" spans="30:30" x14ac:dyDescent="0.25">
      <c r="AD35553"/>
    </row>
    <row r="35554" spans="30:30" x14ac:dyDescent="0.25">
      <c r="AD35554"/>
    </row>
    <row r="35555" spans="30:30" x14ac:dyDescent="0.25">
      <c r="AD35555"/>
    </row>
    <row r="35556" spans="30:30" x14ac:dyDescent="0.25">
      <c r="AD35556"/>
    </row>
    <row r="35557" spans="30:30" x14ac:dyDescent="0.25">
      <c r="AD35557"/>
    </row>
    <row r="35558" spans="30:30" x14ac:dyDescent="0.25">
      <c r="AD35558"/>
    </row>
    <row r="35559" spans="30:30" x14ac:dyDescent="0.25">
      <c r="AD35559"/>
    </row>
    <row r="35560" spans="30:30" x14ac:dyDescent="0.25">
      <c r="AD35560"/>
    </row>
    <row r="35561" spans="30:30" x14ac:dyDescent="0.25">
      <c r="AD35561"/>
    </row>
    <row r="35562" spans="30:30" x14ac:dyDescent="0.25">
      <c r="AD35562"/>
    </row>
    <row r="35563" spans="30:30" x14ac:dyDescent="0.25">
      <c r="AD35563"/>
    </row>
    <row r="35564" spans="30:30" x14ac:dyDescent="0.25">
      <c r="AD35564"/>
    </row>
    <row r="35565" spans="30:30" x14ac:dyDescent="0.25">
      <c r="AD35565"/>
    </row>
    <row r="35566" spans="30:30" x14ac:dyDescent="0.25">
      <c r="AD35566"/>
    </row>
    <row r="35567" spans="30:30" x14ac:dyDescent="0.25">
      <c r="AD35567"/>
    </row>
    <row r="35568" spans="30:30" x14ac:dyDescent="0.25">
      <c r="AD35568"/>
    </row>
    <row r="35569" spans="30:30" x14ac:dyDescent="0.25">
      <c r="AD35569"/>
    </row>
    <row r="35570" spans="30:30" x14ac:dyDescent="0.25">
      <c r="AD35570"/>
    </row>
    <row r="35571" spans="30:30" x14ac:dyDescent="0.25">
      <c r="AD35571"/>
    </row>
    <row r="35572" spans="30:30" x14ac:dyDescent="0.25">
      <c r="AD35572"/>
    </row>
    <row r="35573" spans="30:30" x14ac:dyDescent="0.25">
      <c r="AD35573"/>
    </row>
    <row r="35574" spans="30:30" x14ac:dyDescent="0.25">
      <c r="AD35574"/>
    </row>
    <row r="35575" spans="30:30" x14ac:dyDescent="0.25">
      <c r="AD35575"/>
    </row>
    <row r="35576" spans="30:30" x14ac:dyDescent="0.25">
      <c r="AD35576"/>
    </row>
    <row r="35577" spans="30:30" x14ac:dyDescent="0.25">
      <c r="AD35577"/>
    </row>
    <row r="35578" spans="30:30" x14ac:dyDescent="0.25">
      <c r="AD35578"/>
    </row>
    <row r="35579" spans="30:30" x14ac:dyDescent="0.25">
      <c r="AD35579"/>
    </row>
    <row r="35580" spans="30:30" x14ac:dyDescent="0.25">
      <c r="AD35580"/>
    </row>
    <row r="35581" spans="30:30" x14ac:dyDescent="0.25">
      <c r="AD35581"/>
    </row>
    <row r="35582" spans="30:30" x14ac:dyDescent="0.25">
      <c r="AD35582"/>
    </row>
    <row r="35583" spans="30:30" x14ac:dyDescent="0.25">
      <c r="AD35583"/>
    </row>
    <row r="35584" spans="30:30" x14ac:dyDescent="0.25">
      <c r="AD35584"/>
    </row>
    <row r="35585" spans="30:30" x14ac:dyDescent="0.25">
      <c r="AD35585"/>
    </row>
    <row r="35586" spans="30:30" x14ac:dyDescent="0.25">
      <c r="AD35586"/>
    </row>
    <row r="35587" spans="30:30" x14ac:dyDescent="0.25">
      <c r="AD35587"/>
    </row>
    <row r="35588" spans="30:30" x14ac:dyDescent="0.25">
      <c r="AD35588"/>
    </row>
    <row r="35589" spans="30:30" x14ac:dyDescent="0.25">
      <c r="AD35589"/>
    </row>
    <row r="35590" spans="30:30" x14ac:dyDescent="0.25">
      <c r="AD35590"/>
    </row>
    <row r="35591" spans="30:30" x14ac:dyDescent="0.25">
      <c r="AD35591"/>
    </row>
    <row r="35592" spans="30:30" x14ac:dyDescent="0.25">
      <c r="AD35592"/>
    </row>
    <row r="35593" spans="30:30" x14ac:dyDescent="0.25">
      <c r="AD35593"/>
    </row>
    <row r="35594" spans="30:30" x14ac:dyDescent="0.25">
      <c r="AD35594"/>
    </row>
    <row r="35595" spans="30:30" x14ac:dyDescent="0.25">
      <c r="AD35595"/>
    </row>
    <row r="35596" spans="30:30" x14ac:dyDescent="0.25">
      <c r="AD35596"/>
    </row>
    <row r="35597" spans="30:30" x14ac:dyDescent="0.25">
      <c r="AD35597"/>
    </row>
    <row r="35598" spans="30:30" x14ac:dyDescent="0.25">
      <c r="AD35598"/>
    </row>
    <row r="35599" spans="30:30" x14ac:dyDescent="0.25">
      <c r="AD35599"/>
    </row>
    <row r="35600" spans="30:30" x14ac:dyDescent="0.25">
      <c r="AD35600"/>
    </row>
    <row r="35601" spans="30:30" x14ac:dyDescent="0.25">
      <c r="AD35601"/>
    </row>
    <row r="35602" spans="30:30" x14ac:dyDescent="0.25">
      <c r="AD35602"/>
    </row>
    <row r="35603" spans="30:30" x14ac:dyDescent="0.25">
      <c r="AD35603"/>
    </row>
    <row r="35604" spans="30:30" x14ac:dyDescent="0.25">
      <c r="AD35604"/>
    </row>
    <row r="35605" spans="30:30" x14ac:dyDescent="0.25">
      <c r="AD35605"/>
    </row>
    <row r="35606" spans="30:30" x14ac:dyDescent="0.25">
      <c r="AD35606"/>
    </row>
    <row r="35607" spans="30:30" x14ac:dyDescent="0.25">
      <c r="AD35607"/>
    </row>
    <row r="35608" spans="30:30" x14ac:dyDescent="0.25">
      <c r="AD35608"/>
    </row>
    <row r="35609" spans="30:30" x14ac:dyDescent="0.25">
      <c r="AD35609"/>
    </row>
    <row r="35610" spans="30:30" x14ac:dyDescent="0.25">
      <c r="AD35610"/>
    </row>
    <row r="35611" spans="30:30" x14ac:dyDescent="0.25">
      <c r="AD35611"/>
    </row>
    <row r="35612" spans="30:30" x14ac:dyDescent="0.25">
      <c r="AD35612"/>
    </row>
    <row r="35613" spans="30:30" x14ac:dyDescent="0.25">
      <c r="AD35613"/>
    </row>
    <row r="35614" spans="30:30" x14ac:dyDescent="0.25">
      <c r="AD35614"/>
    </row>
    <row r="35615" spans="30:30" x14ac:dyDescent="0.25">
      <c r="AD35615"/>
    </row>
    <row r="35616" spans="30:30" x14ac:dyDescent="0.25">
      <c r="AD35616"/>
    </row>
    <row r="35617" spans="30:30" x14ac:dyDescent="0.25">
      <c r="AD35617"/>
    </row>
    <row r="35618" spans="30:30" x14ac:dyDescent="0.25">
      <c r="AD35618"/>
    </row>
    <row r="35619" spans="30:30" x14ac:dyDescent="0.25">
      <c r="AD35619"/>
    </row>
    <row r="35620" spans="30:30" x14ac:dyDescent="0.25">
      <c r="AD35620"/>
    </row>
    <row r="35621" spans="30:30" x14ac:dyDescent="0.25">
      <c r="AD35621"/>
    </row>
    <row r="35622" spans="30:30" x14ac:dyDescent="0.25">
      <c r="AD35622"/>
    </row>
    <row r="35623" spans="30:30" x14ac:dyDescent="0.25">
      <c r="AD35623"/>
    </row>
    <row r="35624" spans="30:30" x14ac:dyDescent="0.25">
      <c r="AD35624"/>
    </row>
    <row r="35625" spans="30:30" x14ac:dyDescent="0.25">
      <c r="AD35625"/>
    </row>
    <row r="35626" spans="30:30" x14ac:dyDescent="0.25">
      <c r="AD35626"/>
    </row>
    <row r="35627" spans="30:30" x14ac:dyDescent="0.25">
      <c r="AD35627"/>
    </row>
    <row r="35628" spans="30:30" x14ac:dyDescent="0.25">
      <c r="AD35628"/>
    </row>
    <row r="35629" spans="30:30" x14ac:dyDescent="0.25">
      <c r="AD35629"/>
    </row>
    <row r="35630" spans="30:30" x14ac:dyDescent="0.25">
      <c r="AD35630"/>
    </row>
    <row r="35631" spans="30:30" x14ac:dyDescent="0.25">
      <c r="AD35631"/>
    </row>
    <row r="35632" spans="30:30" x14ac:dyDescent="0.25">
      <c r="AD35632"/>
    </row>
    <row r="35633" spans="30:30" x14ac:dyDescent="0.25">
      <c r="AD35633"/>
    </row>
    <row r="35634" spans="30:30" x14ac:dyDescent="0.25">
      <c r="AD35634"/>
    </row>
    <row r="35635" spans="30:30" x14ac:dyDescent="0.25">
      <c r="AD35635"/>
    </row>
    <row r="35636" spans="30:30" x14ac:dyDescent="0.25">
      <c r="AD35636"/>
    </row>
    <row r="35637" spans="30:30" x14ac:dyDescent="0.25">
      <c r="AD35637"/>
    </row>
    <row r="35638" spans="30:30" x14ac:dyDescent="0.25">
      <c r="AD35638"/>
    </row>
    <row r="35639" spans="30:30" x14ac:dyDescent="0.25">
      <c r="AD35639"/>
    </row>
    <row r="35640" spans="30:30" x14ac:dyDescent="0.25">
      <c r="AD35640"/>
    </row>
    <row r="35641" spans="30:30" x14ac:dyDescent="0.25">
      <c r="AD35641"/>
    </row>
    <row r="35642" spans="30:30" x14ac:dyDescent="0.25">
      <c r="AD35642"/>
    </row>
    <row r="35643" spans="30:30" x14ac:dyDescent="0.25">
      <c r="AD35643"/>
    </row>
    <row r="35644" spans="30:30" x14ac:dyDescent="0.25">
      <c r="AD35644"/>
    </row>
    <row r="35645" spans="30:30" x14ac:dyDescent="0.25">
      <c r="AD35645"/>
    </row>
    <row r="35646" spans="30:30" x14ac:dyDescent="0.25">
      <c r="AD35646"/>
    </row>
    <row r="35647" spans="30:30" x14ac:dyDescent="0.25">
      <c r="AD35647"/>
    </row>
    <row r="35648" spans="30:30" x14ac:dyDescent="0.25">
      <c r="AD35648"/>
    </row>
    <row r="35649" spans="30:30" x14ac:dyDescent="0.25">
      <c r="AD35649"/>
    </row>
    <row r="35650" spans="30:30" x14ac:dyDescent="0.25">
      <c r="AD35650"/>
    </row>
    <row r="35651" spans="30:30" x14ac:dyDescent="0.25">
      <c r="AD35651"/>
    </row>
    <row r="35652" spans="30:30" x14ac:dyDescent="0.25">
      <c r="AD35652"/>
    </row>
    <row r="35653" spans="30:30" x14ac:dyDescent="0.25">
      <c r="AD35653"/>
    </row>
    <row r="35654" spans="30:30" x14ac:dyDescent="0.25">
      <c r="AD35654"/>
    </row>
    <row r="35655" spans="30:30" x14ac:dyDescent="0.25">
      <c r="AD35655"/>
    </row>
    <row r="35656" spans="30:30" x14ac:dyDescent="0.25">
      <c r="AD35656"/>
    </row>
    <row r="35657" spans="30:30" x14ac:dyDescent="0.25">
      <c r="AD35657"/>
    </row>
    <row r="35658" spans="30:30" x14ac:dyDescent="0.25">
      <c r="AD35658"/>
    </row>
    <row r="35659" spans="30:30" x14ac:dyDescent="0.25">
      <c r="AD35659"/>
    </row>
    <row r="35660" spans="30:30" x14ac:dyDescent="0.25">
      <c r="AD35660"/>
    </row>
    <row r="35661" spans="30:30" x14ac:dyDescent="0.25">
      <c r="AD35661"/>
    </row>
    <row r="35662" spans="30:30" x14ac:dyDescent="0.25">
      <c r="AD35662"/>
    </row>
    <row r="35663" spans="30:30" x14ac:dyDescent="0.25">
      <c r="AD35663"/>
    </row>
    <row r="35664" spans="30:30" x14ac:dyDescent="0.25">
      <c r="AD35664"/>
    </row>
    <row r="35665" spans="30:30" x14ac:dyDescent="0.25">
      <c r="AD35665"/>
    </row>
    <row r="35666" spans="30:30" x14ac:dyDescent="0.25">
      <c r="AD35666"/>
    </row>
    <row r="35667" spans="30:30" x14ac:dyDescent="0.25">
      <c r="AD35667"/>
    </row>
    <row r="35668" spans="30:30" x14ac:dyDescent="0.25">
      <c r="AD35668"/>
    </row>
    <row r="35669" spans="30:30" x14ac:dyDescent="0.25">
      <c r="AD35669"/>
    </row>
    <row r="35670" spans="30:30" x14ac:dyDescent="0.25">
      <c r="AD35670"/>
    </row>
    <row r="35671" spans="30:30" x14ac:dyDescent="0.25">
      <c r="AD35671"/>
    </row>
    <row r="35672" spans="30:30" x14ac:dyDescent="0.25">
      <c r="AD35672"/>
    </row>
    <row r="35673" spans="30:30" x14ac:dyDescent="0.25">
      <c r="AD35673"/>
    </row>
    <row r="35674" spans="30:30" x14ac:dyDescent="0.25">
      <c r="AD35674"/>
    </row>
    <row r="35675" spans="30:30" x14ac:dyDescent="0.25">
      <c r="AD35675"/>
    </row>
    <row r="35676" spans="30:30" x14ac:dyDescent="0.25">
      <c r="AD35676"/>
    </row>
    <row r="35677" spans="30:30" x14ac:dyDescent="0.25">
      <c r="AD35677"/>
    </row>
    <row r="35678" spans="30:30" x14ac:dyDescent="0.25">
      <c r="AD35678"/>
    </row>
    <row r="35679" spans="30:30" x14ac:dyDescent="0.25">
      <c r="AD35679"/>
    </row>
    <row r="35680" spans="30:30" x14ac:dyDescent="0.25">
      <c r="AD35680"/>
    </row>
    <row r="35681" spans="30:30" x14ac:dyDescent="0.25">
      <c r="AD35681"/>
    </row>
    <row r="35682" spans="30:30" x14ac:dyDescent="0.25">
      <c r="AD35682"/>
    </row>
    <row r="35683" spans="30:30" x14ac:dyDescent="0.25">
      <c r="AD35683"/>
    </row>
    <row r="35684" spans="30:30" x14ac:dyDescent="0.25">
      <c r="AD35684"/>
    </row>
    <row r="35685" spans="30:30" x14ac:dyDescent="0.25">
      <c r="AD35685"/>
    </row>
    <row r="35686" spans="30:30" x14ac:dyDescent="0.25">
      <c r="AD35686"/>
    </row>
    <row r="35687" spans="30:30" x14ac:dyDescent="0.25">
      <c r="AD35687"/>
    </row>
    <row r="35688" spans="30:30" x14ac:dyDescent="0.25">
      <c r="AD35688"/>
    </row>
    <row r="35689" spans="30:30" x14ac:dyDescent="0.25">
      <c r="AD35689"/>
    </row>
    <row r="35690" spans="30:30" x14ac:dyDescent="0.25">
      <c r="AD35690"/>
    </row>
    <row r="35691" spans="30:30" x14ac:dyDescent="0.25">
      <c r="AD35691"/>
    </row>
    <row r="35692" spans="30:30" x14ac:dyDescent="0.25">
      <c r="AD35692"/>
    </row>
    <row r="35693" spans="30:30" x14ac:dyDescent="0.25">
      <c r="AD35693"/>
    </row>
    <row r="35694" spans="30:30" x14ac:dyDescent="0.25">
      <c r="AD35694"/>
    </row>
    <row r="35695" spans="30:30" x14ac:dyDescent="0.25">
      <c r="AD35695"/>
    </row>
    <row r="35696" spans="30:30" x14ac:dyDescent="0.25">
      <c r="AD35696"/>
    </row>
    <row r="35697" spans="30:30" x14ac:dyDescent="0.25">
      <c r="AD35697"/>
    </row>
    <row r="35698" spans="30:30" x14ac:dyDescent="0.25">
      <c r="AD35698"/>
    </row>
    <row r="35699" spans="30:30" x14ac:dyDescent="0.25">
      <c r="AD35699"/>
    </row>
    <row r="35700" spans="30:30" x14ac:dyDescent="0.25">
      <c r="AD35700"/>
    </row>
    <row r="35701" spans="30:30" x14ac:dyDescent="0.25">
      <c r="AD35701"/>
    </row>
    <row r="35702" spans="30:30" x14ac:dyDescent="0.25">
      <c r="AD35702"/>
    </row>
    <row r="35703" spans="30:30" x14ac:dyDescent="0.25">
      <c r="AD35703"/>
    </row>
    <row r="35704" spans="30:30" x14ac:dyDescent="0.25">
      <c r="AD35704"/>
    </row>
    <row r="35705" spans="30:30" x14ac:dyDescent="0.25">
      <c r="AD35705"/>
    </row>
    <row r="35706" spans="30:30" x14ac:dyDescent="0.25">
      <c r="AD35706"/>
    </row>
    <row r="35707" spans="30:30" x14ac:dyDescent="0.25">
      <c r="AD35707"/>
    </row>
    <row r="35708" spans="30:30" x14ac:dyDescent="0.25">
      <c r="AD35708"/>
    </row>
    <row r="35709" spans="30:30" x14ac:dyDescent="0.25">
      <c r="AD35709"/>
    </row>
    <row r="35710" spans="30:30" x14ac:dyDescent="0.25">
      <c r="AD35710"/>
    </row>
    <row r="35711" spans="30:30" x14ac:dyDescent="0.25">
      <c r="AD35711"/>
    </row>
    <row r="35712" spans="30:30" x14ac:dyDescent="0.25">
      <c r="AD35712"/>
    </row>
    <row r="35713" spans="30:30" x14ac:dyDescent="0.25">
      <c r="AD35713"/>
    </row>
    <row r="35714" spans="30:30" x14ac:dyDescent="0.25">
      <c r="AD35714"/>
    </row>
    <row r="35715" spans="30:30" x14ac:dyDescent="0.25">
      <c r="AD35715"/>
    </row>
    <row r="35716" spans="30:30" x14ac:dyDescent="0.25">
      <c r="AD35716"/>
    </row>
    <row r="35717" spans="30:30" x14ac:dyDescent="0.25">
      <c r="AD35717"/>
    </row>
    <row r="35718" spans="30:30" x14ac:dyDescent="0.25">
      <c r="AD35718"/>
    </row>
    <row r="35719" spans="30:30" x14ac:dyDescent="0.25">
      <c r="AD35719"/>
    </row>
    <row r="35720" spans="30:30" x14ac:dyDescent="0.25">
      <c r="AD35720"/>
    </row>
    <row r="35721" spans="30:30" x14ac:dyDescent="0.25">
      <c r="AD35721"/>
    </row>
    <row r="35722" spans="30:30" x14ac:dyDescent="0.25">
      <c r="AD35722"/>
    </row>
    <row r="35723" spans="30:30" x14ac:dyDescent="0.25">
      <c r="AD35723"/>
    </row>
    <row r="35724" spans="30:30" x14ac:dyDescent="0.25">
      <c r="AD35724"/>
    </row>
    <row r="35725" spans="30:30" x14ac:dyDescent="0.25">
      <c r="AD35725"/>
    </row>
    <row r="35726" spans="30:30" x14ac:dyDescent="0.25">
      <c r="AD35726"/>
    </row>
    <row r="35727" spans="30:30" x14ac:dyDescent="0.25">
      <c r="AD35727"/>
    </row>
    <row r="35728" spans="30:30" x14ac:dyDescent="0.25">
      <c r="AD35728"/>
    </row>
    <row r="35729" spans="30:30" x14ac:dyDescent="0.25">
      <c r="AD35729"/>
    </row>
    <row r="35730" spans="30:30" x14ac:dyDescent="0.25">
      <c r="AD35730"/>
    </row>
    <row r="35731" spans="30:30" x14ac:dyDescent="0.25">
      <c r="AD35731"/>
    </row>
    <row r="35732" spans="30:30" x14ac:dyDescent="0.25">
      <c r="AD35732"/>
    </row>
    <row r="35733" spans="30:30" x14ac:dyDescent="0.25">
      <c r="AD35733"/>
    </row>
    <row r="35734" spans="30:30" x14ac:dyDescent="0.25">
      <c r="AD35734"/>
    </row>
    <row r="35735" spans="30:30" x14ac:dyDescent="0.25">
      <c r="AD35735"/>
    </row>
    <row r="35736" spans="30:30" x14ac:dyDescent="0.25">
      <c r="AD35736"/>
    </row>
    <row r="35737" spans="30:30" x14ac:dyDescent="0.25">
      <c r="AD35737"/>
    </row>
    <row r="35738" spans="30:30" x14ac:dyDescent="0.25">
      <c r="AD35738"/>
    </row>
    <row r="35739" spans="30:30" x14ac:dyDescent="0.25">
      <c r="AD35739"/>
    </row>
    <row r="35740" spans="30:30" x14ac:dyDescent="0.25">
      <c r="AD35740"/>
    </row>
    <row r="35741" spans="30:30" x14ac:dyDescent="0.25">
      <c r="AD35741"/>
    </row>
    <row r="35742" spans="30:30" x14ac:dyDescent="0.25">
      <c r="AD35742"/>
    </row>
    <row r="35743" spans="30:30" x14ac:dyDescent="0.25">
      <c r="AD35743"/>
    </row>
    <row r="35744" spans="30:30" x14ac:dyDescent="0.25">
      <c r="AD35744"/>
    </row>
    <row r="35745" spans="30:30" x14ac:dyDescent="0.25">
      <c r="AD35745"/>
    </row>
    <row r="35746" spans="30:30" x14ac:dyDescent="0.25">
      <c r="AD35746"/>
    </row>
    <row r="35747" spans="30:30" x14ac:dyDescent="0.25">
      <c r="AD35747"/>
    </row>
    <row r="35748" spans="30:30" x14ac:dyDescent="0.25">
      <c r="AD35748"/>
    </row>
    <row r="35749" spans="30:30" x14ac:dyDescent="0.25">
      <c r="AD35749"/>
    </row>
    <row r="35750" spans="30:30" x14ac:dyDescent="0.25">
      <c r="AD35750"/>
    </row>
    <row r="35751" spans="30:30" x14ac:dyDescent="0.25">
      <c r="AD35751"/>
    </row>
    <row r="35752" spans="30:30" x14ac:dyDescent="0.25">
      <c r="AD35752"/>
    </row>
    <row r="35753" spans="30:30" x14ac:dyDescent="0.25">
      <c r="AD35753"/>
    </row>
    <row r="35754" spans="30:30" x14ac:dyDescent="0.25">
      <c r="AD35754"/>
    </row>
    <row r="35755" spans="30:30" x14ac:dyDescent="0.25">
      <c r="AD35755"/>
    </row>
    <row r="35756" spans="30:30" x14ac:dyDescent="0.25">
      <c r="AD35756"/>
    </row>
    <row r="35757" spans="30:30" x14ac:dyDescent="0.25">
      <c r="AD35757"/>
    </row>
    <row r="35758" spans="30:30" x14ac:dyDescent="0.25">
      <c r="AD35758"/>
    </row>
    <row r="35759" spans="30:30" x14ac:dyDescent="0.25">
      <c r="AD35759"/>
    </row>
    <row r="35760" spans="30:30" x14ac:dyDescent="0.25">
      <c r="AD35760"/>
    </row>
    <row r="35761" spans="30:30" x14ac:dyDescent="0.25">
      <c r="AD35761"/>
    </row>
    <row r="35762" spans="30:30" x14ac:dyDescent="0.25">
      <c r="AD35762"/>
    </row>
    <row r="35763" spans="30:30" x14ac:dyDescent="0.25">
      <c r="AD35763"/>
    </row>
    <row r="35764" spans="30:30" x14ac:dyDescent="0.25">
      <c r="AD35764"/>
    </row>
    <row r="35765" spans="30:30" x14ac:dyDescent="0.25">
      <c r="AD35765"/>
    </row>
    <row r="35766" spans="30:30" x14ac:dyDescent="0.25">
      <c r="AD35766"/>
    </row>
    <row r="35767" spans="30:30" x14ac:dyDescent="0.25">
      <c r="AD35767"/>
    </row>
    <row r="35768" spans="30:30" x14ac:dyDescent="0.25">
      <c r="AD35768"/>
    </row>
    <row r="35769" spans="30:30" x14ac:dyDescent="0.25">
      <c r="AD35769"/>
    </row>
    <row r="35770" spans="30:30" x14ac:dyDescent="0.25">
      <c r="AD35770"/>
    </row>
    <row r="35771" spans="30:30" x14ac:dyDescent="0.25">
      <c r="AD35771"/>
    </row>
    <row r="35772" spans="30:30" x14ac:dyDescent="0.25">
      <c r="AD35772"/>
    </row>
    <row r="35773" spans="30:30" x14ac:dyDescent="0.25">
      <c r="AD35773"/>
    </row>
    <row r="35774" spans="30:30" x14ac:dyDescent="0.25">
      <c r="AD35774"/>
    </row>
    <row r="35775" spans="30:30" x14ac:dyDescent="0.25">
      <c r="AD35775"/>
    </row>
    <row r="35776" spans="30:30" x14ac:dyDescent="0.25">
      <c r="AD35776"/>
    </row>
    <row r="35777" spans="30:30" x14ac:dyDescent="0.25">
      <c r="AD35777"/>
    </row>
    <row r="35778" spans="30:30" x14ac:dyDescent="0.25">
      <c r="AD35778"/>
    </row>
    <row r="35779" spans="30:30" x14ac:dyDescent="0.25">
      <c r="AD35779"/>
    </row>
    <row r="35780" spans="30:30" x14ac:dyDescent="0.25">
      <c r="AD35780"/>
    </row>
    <row r="35781" spans="30:30" x14ac:dyDescent="0.25">
      <c r="AD35781"/>
    </row>
    <row r="35782" spans="30:30" x14ac:dyDescent="0.25">
      <c r="AD35782"/>
    </row>
    <row r="35783" spans="30:30" x14ac:dyDescent="0.25">
      <c r="AD35783"/>
    </row>
    <row r="35784" spans="30:30" x14ac:dyDescent="0.25">
      <c r="AD35784"/>
    </row>
    <row r="35785" spans="30:30" x14ac:dyDescent="0.25">
      <c r="AD35785"/>
    </row>
    <row r="35786" spans="30:30" x14ac:dyDescent="0.25">
      <c r="AD35786"/>
    </row>
    <row r="35787" spans="30:30" x14ac:dyDescent="0.25">
      <c r="AD35787"/>
    </row>
    <row r="35788" spans="30:30" x14ac:dyDescent="0.25">
      <c r="AD35788"/>
    </row>
    <row r="35789" spans="30:30" x14ac:dyDescent="0.25">
      <c r="AD35789"/>
    </row>
    <row r="35790" spans="30:30" x14ac:dyDescent="0.25">
      <c r="AD35790"/>
    </row>
    <row r="35791" spans="30:30" x14ac:dyDescent="0.25">
      <c r="AD35791"/>
    </row>
    <row r="35792" spans="30:30" x14ac:dyDescent="0.25">
      <c r="AD35792"/>
    </row>
    <row r="35793" spans="30:30" x14ac:dyDescent="0.25">
      <c r="AD35793"/>
    </row>
    <row r="35794" spans="30:30" x14ac:dyDescent="0.25">
      <c r="AD35794"/>
    </row>
    <row r="35795" spans="30:30" x14ac:dyDescent="0.25">
      <c r="AD35795"/>
    </row>
    <row r="35796" spans="30:30" x14ac:dyDescent="0.25">
      <c r="AD35796"/>
    </row>
    <row r="35797" spans="30:30" x14ac:dyDescent="0.25">
      <c r="AD35797"/>
    </row>
    <row r="35798" spans="30:30" x14ac:dyDescent="0.25">
      <c r="AD35798"/>
    </row>
    <row r="35799" spans="30:30" x14ac:dyDescent="0.25">
      <c r="AD35799"/>
    </row>
    <row r="35800" spans="30:30" x14ac:dyDescent="0.25">
      <c r="AD35800"/>
    </row>
    <row r="35801" spans="30:30" x14ac:dyDescent="0.25">
      <c r="AD35801"/>
    </row>
    <row r="35802" spans="30:30" x14ac:dyDescent="0.25">
      <c r="AD35802"/>
    </row>
    <row r="35803" spans="30:30" x14ac:dyDescent="0.25">
      <c r="AD35803"/>
    </row>
    <row r="35804" spans="30:30" x14ac:dyDescent="0.25">
      <c r="AD35804"/>
    </row>
    <row r="35805" spans="30:30" x14ac:dyDescent="0.25">
      <c r="AD35805"/>
    </row>
    <row r="35806" spans="30:30" x14ac:dyDescent="0.25">
      <c r="AD35806"/>
    </row>
    <row r="35807" spans="30:30" x14ac:dyDescent="0.25">
      <c r="AD35807"/>
    </row>
    <row r="35808" spans="30:30" x14ac:dyDescent="0.25">
      <c r="AD35808"/>
    </row>
    <row r="35809" spans="30:30" x14ac:dyDescent="0.25">
      <c r="AD35809"/>
    </row>
    <row r="35810" spans="30:30" x14ac:dyDescent="0.25">
      <c r="AD35810"/>
    </row>
    <row r="35811" spans="30:30" x14ac:dyDescent="0.25">
      <c r="AD35811"/>
    </row>
    <row r="35812" spans="30:30" x14ac:dyDescent="0.25">
      <c r="AD35812"/>
    </row>
    <row r="35813" spans="30:30" x14ac:dyDescent="0.25">
      <c r="AD35813"/>
    </row>
    <row r="35814" spans="30:30" x14ac:dyDescent="0.25">
      <c r="AD35814"/>
    </row>
    <row r="35815" spans="30:30" x14ac:dyDescent="0.25">
      <c r="AD35815"/>
    </row>
    <row r="35816" spans="30:30" x14ac:dyDescent="0.25">
      <c r="AD35816"/>
    </row>
    <row r="35817" spans="30:30" x14ac:dyDescent="0.25">
      <c r="AD35817"/>
    </row>
    <row r="35818" spans="30:30" x14ac:dyDescent="0.25">
      <c r="AD35818"/>
    </row>
    <row r="35819" spans="30:30" x14ac:dyDescent="0.25">
      <c r="AD35819"/>
    </row>
    <row r="35820" spans="30:30" x14ac:dyDescent="0.25">
      <c r="AD35820"/>
    </row>
    <row r="35821" spans="30:30" x14ac:dyDescent="0.25">
      <c r="AD35821"/>
    </row>
    <row r="35822" spans="30:30" x14ac:dyDescent="0.25">
      <c r="AD35822"/>
    </row>
    <row r="35823" spans="30:30" x14ac:dyDescent="0.25">
      <c r="AD35823"/>
    </row>
    <row r="35824" spans="30:30" x14ac:dyDescent="0.25">
      <c r="AD35824"/>
    </row>
    <row r="35825" spans="30:30" x14ac:dyDescent="0.25">
      <c r="AD35825"/>
    </row>
    <row r="35826" spans="30:30" x14ac:dyDescent="0.25">
      <c r="AD35826"/>
    </row>
    <row r="35827" spans="30:30" x14ac:dyDescent="0.25">
      <c r="AD35827"/>
    </row>
    <row r="35828" spans="30:30" x14ac:dyDescent="0.25">
      <c r="AD35828"/>
    </row>
    <row r="35829" spans="30:30" x14ac:dyDescent="0.25">
      <c r="AD35829"/>
    </row>
    <row r="35830" spans="30:30" x14ac:dyDescent="0.25">
      <c r="AD35830"/>
    </row>
    <row r="35831" spans="30:30" x14ac:dyDescent="0.25">
      <c r="AD35831"/>
    </row>
    <row r="35832" spans="30:30" x14ac:dyDescent="0.25">
      <c r="AD35832"/>
    </row>
    <row r="35833" spans="30:30" x14ac:dyDescent="0.25">
      <c r="AD35833"/>
    </row>
    <row r="35834" spans="30:30" x14ac:dyDescent="0.25">
      <c r="AD35834"/>
    </row>
    <row r="35835" spans="30:30" x14ac:dyDescent="0.25">
      <c r="AD35835"/>
    </row>
    <row r="35836" spans="30:30" x14ac:dyDescent="0.25">
      <c r="AD35836"/>
    </row>
    <row r="35837" spans="30:30" x14ac:dyDescent="0.25">
      <c r="AD35837"/>
    </row>
    <row r="35838" spans="30:30" x14ac:dyDescent="0.25">
      <c r="AD35838"/>
    </row>
    <row r="35839" spans="30:30" x14ac:dyDescent="0.25">
      <c r="AD35839"/>
    </row>
    <row r="35840" spans="30:30" x14ac:dyDescent="0.25">
      <c r="AD35840"/>
    </row>
    <row r="35841" spans="30:30" x14ac:dyDescent="0.25">
      <c r="AD35841"/>
    </row>
    <row r="35842" spans="30:30" x14ac:dyDescent="0.25">
      <c r="AD35842"/>
    </row>
    <row r="35843" spans="30:30" x14ac:dyDescent="0.25">
      <c r="AD35843"/>
    </row>
    <row r="35844" spans="30:30" x14ac:dyDescent="0.25">
      <c r="AD35844"/>
    </row>
    <row r="35845" spans="30:30" x14ac:dyDescent="0.25">
      <c r="AD35845"/>
    </row>
    <row r="35846" spans="30:30" x14ac:dyDescent="0.25">
      <c r="AD35846"/>
    </row>
    <row r="35847" spans="30:30" x14ac:dyDescent="0.25">
      <c r="AD35847"/>
    </row>
    <row r="35848" spans="30:30" x14ac:dyDescent="0.25">
      <c r="AD35848"/>
    </row>
    <row r="35849" spans="30:30" x14ac:dyDescent="0.25">
      <c r="AD35849"/>
    </row>
    <row r="35850" spans="30:30" x14ac:dyDescent="0.25">
      <c r="AD35850"/>
    </row>
    <row r="35851" spans="30:30" x14ac:dyDescent="0.25">
      <c r="AD35851"/>
    </row>
    <row r="35852" spans="30:30" x14ac:dyDescent="0.25">
      <c r="AD35852"/>
    </row>
    <row r="35853" spans="30:30" x14ac:dyDescent="0.25">
      <c r="AD35853"/>
    </row>
    <row r="35854" spans="30:30" x14ac:dyDescent="0.25">
      <c r="AD35854"/>
    </row>
    <row r="35855" spans="30:30" x14ac:dyDescent="0.25">
      <c r="AD35855"/>
    </row>
    <row r="35856" spans="30:30" x14ac:dyDescent="0.25">
      <c r="AD35856"/>
    </row>
    <row r="35857" spans="30:30" x14ac:dyDescent="0.25">
      <c r="AD35857"/>
    </row>
    <row r="35858" spans="30:30" x14ac:dyDescent="0.25">
      <c r="AD35858"/>
    </row>
    <row r="35859" spans="30:30" x14ac:dyDescent="0.25">
      <c r="AD35859"/>
    </row>
    <row r="35860" spans="30:30" x14ac:dyDescent="0.25">
      <c r="AD35860"/>
    </row>
    <row r="35861" spans="30:30" x14ac:dyDescent="0.25">
      <c r="AD35861"/>
    </row>
    <row r="35862" spans="30:30" x14ac:dyDescent="0.25">
      <c r="AD35862"/>
    </row>
    <row r="35863" spans="30:30" x14ac:dyDescent="0.25">
      <c r="AD35863"/>
    </row>
    <row r="35864" spans="30:30" x14ac:dyDescent="0.25">
      <c r="AD35864"/>
    </row>
    <row r="35865" spans="30:30" x14ac:dyDescent="0.25">
      <c r="AD35865"/>
    </row>
    <row r="35866" spans="30:30" x14ac:dyDescent="0.25">
      <c r="AD35866"/>
    </row>
    <row r="35867" spans="30:30" x14ac:dyDescent="0.25">
      <c r="AD35867"/>
    </row>
    <row r="35868" spans="30:30" x14ac:dyDescent="0.25">
      <c r="AD35868"/>
    </row>
    <row r="35869" spans="30:30" x14ac:dyDescent="0.25">
      <c r="AD35869"/>
    </row>
    <row r="35870" spans="30:30" x14ac:dyDescent="0.25">
      <c r="AD35870"/>
    </row>
    <row r="35871" spans="30:30" x14ac:dyDescent="0.25">
      <c r="AD35871"/>
    </row>
    <row r="35872" spans="30:30" x14ac:dyDescent="0.25">
      <c r="AD35872"/>
    </row>
    <row r="35873" spans="30:30" x14ac:dyDescent="0.25">
      <c r="AD35873"/>
    </row>
    <row r="35874" spans="30:30" x14ac:dyDescent="0.25">
      <c r="AD35874"/>
    </row>
    <row r="35875" spans="30:30" x14ac:dyDescent="0.25">
      <c r="AD35875"/>
    </row>
    <row r="35876" spans="30:30" x14ac:dyDescent="0.25">
      <c r="AD35876"/>
    </row>
    <row r="35877" spans="30:30" x14ac:dyDescent="0.25">
      <c r="AD35877"/>
    </row>
    <row r="35878" spans="30:30" x14ac:dyDescent="0.25">
      <c r="AD35878"/>
    </row>
    <row r="35879" spans="30:30" x14ac:dyDescent="0.25">
      <c r="AD35879"/>
    </row>
    <row r="35880" spans="30:30" x14ac:dyDescent="0.25">
      <c r="AD35880"/>
    </row>
    <row r="35881" spans="30:30" x14ac:dyDescent="0.25">
      <c r="AD35881"/>
    </row>
    <row r="35882" spans="30:30" x14ac:dyDescent="0.25">
      <c r="AD35882"/>
    </row>
    <row r="35883" spans="30:30" x14ac:dyDescent="0.25">
      <c r="AD35883"/>
    </row>
    <row r="35884" spans="30:30" x14ac:dyDescent="0.25">
      <c r="AD35884"/>
    </row>
    <row r="35885" spans="30:30" x14ac:dyDescent="0.25">
      <c r="AD35885"/>
    </row>
    <row r="35886" spans="30:30" x14ac:dyDescent="0.25">
      <c r="AD35886"/>
    </row>
    <row r="35887" spans="30:30" x14ac:dyDescent="0.25">
      <c r="AD35887"/>
    </row>
    <row r="35888" spans="30:30" x14ac:dyDescent="0.25">
      <c r="AD35888"/>
    </row>
    <row r="35889" spans="30:30" x14ac:dyDescent="0.25">
      <c r="AD35889"/>
    </row>
    <row r="35890" spans="30:30" x14ac:dyDescent="0.25">
      <c r="AD35890"/>
    </row>
    <row r="35891" spans="30:30" x14ac:dyDescent="0.25">
      <c r="AD35891"/>
    </row>
    <row r="35892" spans="30:30" x14ac:dyDescent="0.25">
      <c r="AD35892"/>
    </row>
    <row r="35893" spans="30:30" x14ac:dyDescent="0.25">
      <c r="AD35893"/>
    </row>
    <row r="35894" spans="30:30" x14ac:dyDescent="0.25">
      <c r="AD35894"/>
    </row>
    <row r="35895" spans="30:30" x14ac:dyDescent="0.25">
      <c r="AD35895"/>
    </row>
    <row r="35896" spans="30:30" x14ac:dyDescent="0.25">
      <c r="AD35896"/>
    </row>
    <row r="35897" spans="30:30" x14ac:dyDescent="0.25">
      <c r="AD35897"/>
    </row>
    <row r="35898" spans="30:30" x14ac:dyDescent="0.25">
      <c r="AD35898"/>
    </row>
    <row r="35899" spans="30:30" x14ac:dyDescent="0.25">
      <c r="AD35899"/>
    </row>
    <row r="35900" spans="30:30" x14ac:dyDescent="0.25">
      <c r="AD35900"/>
    </row>
    <row r="35901" spans="30:30" x14ac:dyDescent="0.25">
      <c r="AD35901"/>
    </row>
    <row r="35902" spans="30:30" x14ac:dyDescent="0.25">
      <c r="AD35902"/>
    </row>
    <row r="35903" spans="30:30" x14ac:dyDescent="0.25">
      <c r="AD35903"/>
    </row>
    <row r="35904" spans="30:30" x14ac:dyDescent="0.25">
      <c r="AD35904"/>
    </row>
    <row r="35905" spans="30:30" x14ac:dyDescent="0.25">
      <c r="AD35905"/>
    </row>
    <row r="35906" spans="30:30" x14ac:dyDescent="0.25">
      <c r="AD35906"/>
    </row>
    <row r="35907" spans="30:30" x14ac:dyDescent="0.25">
      <c r="AD35907"/>
    </row>
    <row r="35908" spans="30:30" x14ac:dyDescent="0.25">
      <c r="AD35908"/>
    </row>
    <row r="35909" spans="30:30" x14ac:dyDescent="0.25">
      <c r="AD35909"/>
    </row>
    <row r="35910" spans="30:30" x14ac:dyDescent="0.25">
      <c r="AD35910"/>
    </row>
    <row r="35911" spans="30:30" x14ac:dyDescent="0.25">
      <c r="AD35911"/>
    </row>
    <row r="35912" spans="30:30" x14ac:dyDescent="0.25">
      <c r="AD35912"/>
    </row>
    <row r="35913" spans="30:30" x14ac:dyDescent="0.25">
      <c r="AD35913"/>
    </row>
    <row r="35914" spans="30:30" x14ac:dyDescent="0.25">
      <c r="AD35914"/>
    </row>
    <row r="35915" spans="30:30" x14ac:dyDescent="0.25">
      <c r="AD35915"/>
    </row>
    <row r="35916" spans="30:30" x14ac:dyDescent="0.25">
      <c r="AD35916"/>
    </row>
    <row r="35917" spans="30:30" x14ac:dyDescent="0.25">
      <c r="AD35917"/>
    </row>
    <row r="35918" spans="30:30" x14ac:dyDescent="0.25">
      <c r="AD35918"/>
    </row>
    <row r="35919" spans="30:30" x14ac:dyDescent="0.25">
      <c r="AD35919"/>
    </row>
    <row r="35920" spans="30:30" x14ac:dyDescent="0.25">
      <c r="AD35920"/>
    </row>
    <row r="35921" spans="30:30" x14ac:dyDescent="0.25">
      <c r="AD35921"/>
    </row>
    <row r="35922" spans="30:30" x14ac:dyDescent="0.25">
      <c r="AD35922"/>
    </row>
    <row r="35923" spans="30:30" x14ac:dyDescent="0.25">
      <c r="AD35923"/>
    </row>
    <row r="35924" spans="30:30" x14ac:dyDescent="0.25">
      <c r="AD35924"/>
    </row>
    <row r="35925" spans="30:30" x14ac:dyDescent="0.25">
      <c r="AD35925"/>
    </row>
    <row r="35926" spans="30:30" x14ac:dyDescent="0.25">
      <c r="AD35926"/>
    </row>
    <row r="35927" spans="30:30" x14ac:dyDescent="0.25">
      <c r="AD35927"/>
    </row>
    <row r="35928" spans="30:30" x14ac:dyDescent="0.25">
      <c r="AD35928"/>
    </row>
    <row r="35929" spans="30:30" x14ac:dyDescent="0.25">
      <c r="AD35929"/>
    </row>
    <row r="35930" spans="30:30" x14ac:dyDescent="0.25">
      <c r="AD35930"/>
    </row>
    <row r="35931" spans="30:30" x14ac:dyDescent="0.25">
      <c r="AD35931"/>
    </row>
    <row r="35932" spans="30:30" x14ac:dyDescent="0.25">
      <c r="AD35932"/>
    </row>
    <row r="35933" spans="30:30" x14ac:dyDescent="0.25">
      <c r="AD35933"/>
    </row>
    <row r="35934" spans="30:30" x14ac:dyDescent="0.25">
      <c r="AD35934"/>
    </row>
    <row r="35935" spans="30:30" x14ac:dyDescent="0.25">
      <c r="AD35935"/>
    </row>
    <row r="35936" spans="30:30" x14ac:dyDescent="0.25">
      <c r="AD35936"/>
    </row>
    <row r="35937" spans="30:30" x14ac:dyDescent="0.25">
      <c r="AD35937"/>
    </row>
    <row r="35938" spans="30:30" x14ac:dyDescent="0.25">
      <c r="AD35938"/>
    </row>
    <row r="35939" spans="30:30" x14ac:dyDescent="0.25">
      <c r="AD35939"/>
    </row>
    <row r="35940" spans="30:30" x14ac:dyDescent="0.25">
      <c r="AD35940"/>
    </row>
    <row r="35941" spans="30:30" x14ac:dyDescent="0.25">
      <c r="AD35941"/>
    </row>
    <row r="35942" spans="30:30" x14ac:dyDescent="0.25">
      <c r="AD35942"/>
    </row>
    <row r="35943" spans="30:30" x14ac:dyDescent="0.25">
      <c r="AD35943"/>
    </row>
    <row r="35944" spans="30:30" x14ac:dyDescent="0.25">
      <c r="AD35944"/>
    </row>
    <row r="35945" spans="30:30" x14ac:dyDescent="0.25">
      <c r="AD35945"/>
    </row>
    <row r="35946" spans="30:30" x14ac:dyDescent="0.25">
      <c r="AD35946"/>
    </row>
    <row r="35947" spans="30:30" x14ac:dyDescent="0.25">
      <c r="AD35947"/>
    </row>
    <row r="35948" spans="30:30" x14ac:dyDescent="0.25">
      <c r="AD35948"/>
    </row>
    <row r="35949" spans="30:30" x14ac:dyDescent="0.25">
      <c r="AD35949"/>
    </row>
    <row r="35950" spans="30:30" x14ac:dyDescent="0.25">
      <c r="AD35950"/>
    </row>
    <row r="35951" spans="30:30" x14ac:dyDescent="0.25">
      <c r="AD35951"/>
    </row>
    <row r="35952" spans="30:30" x14ac:dyDescent="0.25">
      <c r="AD35952"/>
    </row>
    <row r="35953" spans="30:30" x14ac:dyDescent="0.25">
      <c r="AD35953"/>
    </row>
    <row r="35954" spans="30:30" x14ac:dyDescent="0.25">
      <c r="AD35954"/>
    </row>
    <row r="35955" spans="30:30" x14ac:dyDescent="0.25">
      <c r="AD35955"/>
    </row>
    <row r="35956" spans="30:30" x14ac:dyDescent="0.25">
      <c r="AD35956"/>
    </row>
    <row r="35957" spans="30:30" x14ac:dyDescent="0.25">
      <c r="AD35957"/>
    </row>
    <row r="35958" spans="30:30" x14ac:dyDescent="0.25">
      <c r="AD35958"/>
    </row>
    <row r="35959" spans="30:30" x14ac:dyDescent="0.25">
      <c r="AD35959"/>
    </row>
    <row r="35960" spans="30:30" x14ac:dyDescent="0.25">
      <c r="AD35960"/>
    </row>
    <row r="35961" spans="30:30" x14ac:dyDescent="0.25">
      <c r="AD35961"/>
    </row>
    <row r="35962" spans="30:30" x14ac:dyDescent="0.25">
      <c r="AD35962"/>
    </row>
    <row r="35963" spans="30:30" x14ac:dyDescent="0.25">
      <c r="AD35963"/>
    </row>
    <row r="35964" spans="30:30" x14ac:dyDescent="0.25">
      <c r="AD35964"/>
    </row>
    <row r="35965" spans="30:30" x14ac:dyDescent="0.25">
      <c r="AD35965"/>
    </row>
    <row r="35966" spans="30:30" x14ac:dyDescent="0.25">
      <c r="AD35966"/>
    </row>
    <row r="35967" spans="30:30" x14ac:dyDescent="0.25">
      <c r="AD35967"/>
    </row>
    <row r="35968" spans="30:30" x14ac:dyDescent="0.25">
      <c r="AD35968"/>
    </row>
    <row r="35969" spans="30:30" x14ac:dyDescent="0.25">
      <c r="AD35969"/>
    </row>
    <row r="35970" spans="30:30" x14ac:dyDescent="0.25">
      <c r="AD35970"/>
    </row>
    <row r="35971" spans="30:30" x14ac:dyDescent="0.25">
      <c r="AD35971"/>
    </row>
    <row r="35972" spans="30:30" x14ac:dyDescent="0.25">
      <c r="AD35972"/>
    </row>
    <row r="35973" spans="30:30" x14ac:dyDescent="0.25">
      <c r="AD35973"/>
    </row>
    <row r="35974" spans="30:30" x14ac:dyDescent="0.25">
      <c r="AD35974"/>
    </row>
    <row r="35975" spans="30:30" x14ac:dyDescent="0.25">
      <c r="AD35975"/>
    </row>
    <row r="35976" spans="30:30" x14ac:dyDescent="0.25">
      <c r="AD35976"/>
    </row>
    <row r="35977" spans="30:30" x14ac:dyDescent="0.25">
      <c r="AD35977"/>
    </row>
    <row r="35978" spans="30:30" x14ac:dyDescent="0.25">
      <c r="AD35978"/>
    </row>
    <row r="35979" spans="30:30" x14ac:dyDescent="0.25">
      <c r="AD35979"/>
    </row>
    <row r="35980" spans="30:30" x14ac:dyDescent="0.25">
      <c r="AD35980"/>
    </row>
    <row r="35981" spans="30:30" x14ac:dyDescent="0.25">
      <c r="AD35981"/>
    </row>
    <row r="35982" spans="30:30" x14ac:dyDescent="0.25">
      <c r="AD35982"/>
    </row>
    <row r="35983" spans="30:30" x14ac:dyDescent="0.25">
      <c r="AD35983"/>
    </row>
    <row r="35984" spans="30:30" x14ac:dyDescent="0.25">
      <c r="AD35984"/>
    </row>
    <row r="35985" spans="30:30" x14ac:dyDescent="0.25">
      <c r="AD35985"/>
    </row>
    <row r="35986" spans="30:30" x14ac:dyDescent="0.25">
      <c r="AD35986"/>
    </row>
    <row r="35987" spans="30:30" x14ac:dyDescent="0.25">
      <c r="AD35987"/>
    </row>
    <row r="35988" spans="30:30" x14ac:dyDescent="0.25">
      <c r="AD35988"/>
    </row>
    <row r="35989" spans="30:30" x14ac:dyDescent="0.25">
      <c r="AD35989"/>
    </row>
    <row r="35990" spans="30:30" x14ac:dyDescent="0.25">
      <c r="AD35990"/>
    </row>
    <row r="35991" spans="30:30" x14ac:dyDescent="0.25">
      <c r="AD35991"/>
    </row>
    <row r="35992" spans="30:30" x14ac:dyDescent="0.25">
      <c r="AD35992"/>
    </row>
    <row r="35993" spans="30:30" x14ac:dyDescent="0.25">
      <c r="AD35993"/>
    </row>
    <row r="35994" spans="30:30" x14ac:dyDescent="0.25">
      <c r="AD35994"/>
    </row>
    <row r="35995" spans="30:30" x14ac:dyDescent="0.25">
      <c r="AD35995"/>
    </row>
    <row r="35996" spans="30:30" x14ac:dyDescent="0.25">
      <c r="AD35996"/>
    </row>
    <row r="35997" spans="30:30" x14ac:dyDescent="0.25">
      <c r="AD35997"/>
    </row>
    <row r="35998" spans="30:30" x14ac:dyDescent="0.25">
      <c r="AD35998"/>
    </row>
    <row r="35999" spans="30:30" x14ac:dyDescent="0.25">
      <c r="AD35999"/>
    </row>
    <row r="36000" spans="30:30" x14ac:dyDescent="0.25">
      <c r="AD36000"/>
    </row>
    <row r="36001" spans="30:30" x14ac:dyDescent="0.25">
      <c r="AD36001"/>
    </row>
    <row r="36002" spans="30:30" x14ac:dyDescent="0.25">
      <c r="AD36002"/>
    </row>
    <row r="36003" spans="30:30" x14ac:dyDescent="0.25">
      <c r="AD36003"/>
    </row>
    <row r="36004" spans="30:30" x14ac:dyDescent="0.25">
      <c r="AD36004"/>
    </row>
    <row r="36005" spans="30:30" x14ac:dyDescent="0.25">
      <c r="AD36005"/>
    </row>
    <row r="36006" spans="30:30" x14ac:dyDescent="0.25">
      <c r="AD36006"/>
    </row>
    <row r="36007" spans="30:30" x14ac:dyDescent="0.25">
      <c r="AD36007"/>
    </row>
    <row r="36008" spans="30:30" x14ac:dyDescent="0.25">
      <c r="AD36008"/>
    </row>
    <row r="36009" spans="30:30" x14ac:dyDescent="0.25">
      <c r="AD36009"/>
    </row>
    <row r="36010" spans="30:30" x14ac:dyDescent="0.25">
      <c r="AD36010"/>
    </row>
    <row r="36011" spans="30:30" x14ac:dyDescent="0.25">
      <c r="AD36011"/>
    </row>
    <row r="36012" spans="30:30" x14ac:dyDescent="0.25">
      <c r="AD36012"/>
    </row>
    <row r="36013" spans="30:30" x14ac:dyDescent="0.25">
      <c r="AD36013"/>
    </row>
    <row r="36014" spans="30:30" x14ac:dyDescent="0.25">
      <c r="AD36014"/>
    </row>
    <row r="36015" spans="30:30" x14ac:dyDescent="0.25">
      <c r="AD36015"/>
    </row>
    <row r="36016" spans="30:30" x14ac:dyDescent="0.25">
      <c r="AD36016"/>
    </row>
    <row r="36017" spans="30:30" x14ac:dyDescent="0.25">
      <c r="AD36017"/>
    </row>
    <row r="36018" spans="30:30" x14ac:dyDescent="0.25">
      <c r="AD36018"/>
    </row>
    <row r="36019" spans="30:30" x14ac:dyDescent="0.25">
      <c r="AD36019"/>
    </row>
    <row r="36020" spans="30:30" x14ac:dyDescent="0.25">
      <c r="AD36020"/>
    </row>
    <row r="36021" spans="30:30" x14ac:dyDescent="0.25">
      <c r="AD36021"/>
    </row>
    <row r="36022" spans="30:30" x14ac:dyDescent="0.25">
      <c r="AD36022"/>
    </row>
    <row r="36023" spans="30:30" x14ac:dyDescent="0.25">
      <c r="AD36023"/>
    </row>
    <row r="36024" spans="30:30" x14ac:dyDescent="0.25">
      <c r="AD36024"/>
    </row>
    <row r="36025" spans="30:30" x14ac:dyDescent="0.25">
      <c r="AD36025"/>
    </row>
    <row r="36026" spans="30:30" x14ac:dyDescent="0.25">
      <c r="AD36026"/>
    </row>
    <row r="36027" spans="30:30" x14ac:dyDescent="0.25">
      <c r="AD36027"/>
    </row>
    <row r="36028" spans="30:30" x14ac:dyDescent="0.25">
      <c r="AD36028"/>
    </row>
    <row r="36029" spans="30:30" x14ac:dyDescent="0.25">
      <c r="AD36029"/>
    </row>
    <row r="36030" spans="30:30" x14ac:dyDescent="0.25">
      <c r="AD36030"/>
    </row>
    <row r="36031" spans="30:30" x14ac:dyDescent="0.25">
      <c r="AD36031"/>
    </row>
    <row r="36032" spans="30:30" x14ac:dyDescent="0.25">
      <c r="AD36032"/>
    </row>
    <row r="36033" spans="30:30" x14ac:dyDescent="0.25">
      <c r="AD36033"/>
    </row>
    <row r="36034" spans="30:30" x14ac:dyDescent="0.25">
      <c r="AD36034"/>
    </row>
    <row r="36035" spans="30:30" x14ac:dyDescent="0.25">
      <c r="AD36035"/>
    </row>
    <row r="36036" spans="30:30" x14ac:dyDescent="0.25">
      <c r="AD36036"/>
    </row>
    <row r="36037" spans="30:30" x14ac:dyDescent="0.25">
      <c r="AD36037"/>
    </row>
    <row r="36038" spans="30:30" x14ac:dyDescent="0.25">
      <c r="AD36038"/>
    </row>
    <row r="36039" spans="30:30" x14ac:dyDescent="0.25">
      <c r="AD36039"/>
    </row>
    <row r="36040" spans="30:30" x14ac:dyDescent="0.25">
      <c r="AD36040"/>
    </row>
    <row r="36041" spans="30:30" x14ac:dyDescent="0.25">
      <c r="AD36041"/>
    </row>
    <row r="36042" spans="30:30" x14ac:dyDescent="0.25">
      <c r="AD36042"/>
    </row>
    <row r="36043" spans="30:30" x14ac:dyDescent="0.25">
      <c r="AD36043"/>
    </row>
    <row r="36044" spans="30:30" x14ac:dyDescent="0.25">
      <c r="AD36044"/>
    </row>
    <row r="36045" spans="30:30" x14ac:dyDescent="0.25">
      <c r="AD36045"/>
    </row>
    <row r="36046" spans="30:30" x14ac:dyDescent="0.25">
      <c r="AD36046"/>
    </row>
    <row r="36047" spans="30:30" x14ac:dyDescent="0.25">
      <c r="AD36047"/>
    </row>
    <row r="36048" spans="30:30" x14ac:dyDescent="0.25">
      <c r="AD36048"/>
    </row>
    <row r="36049" spans="30:30" x14ac:dyDescent="0.25">
      <c r="AD36049"/>
    </row>
    <row r="36050" spans="30:30" x14ac:dyDescent="0.25">
      <c r="AD36050"/>
    </row>
    <row r="36051" spans="30:30" x14ac:dyDescent="0.25">
      <c r="AD36051"/>
    </row>
    <row r="36052" spans="30:30" x14ac:dyDescent="0.25">
      <c r="AD36052"/>
    </row>
    <row r="36053" spans="30:30" x14ac:dyDescent="0.25">
      <c r="AD36053"/>
    </row>
    <row r="36054" spans="30:30" x14ac:dyDescent="0.25">
      <c r="AD36054"/>
    </row>
    <row r="36055" spans="30:30" x14ac:dyDescent="0.25">
      <c r="AD36055"/>
    </row>
    <row r="36056" spans="30:30" x14ac:dyDescent="0.25">
      <c r="AD36056"/>
    </row>
    <row r="36057" spans="30:30" x14ac:dyDescent="0.25">
      <c r="AD36057"/>
    </row>
    <row r="36058" spans="30:30" x14ac:dyDescent="0.25">
      <c r="AD36058"/>
    </row>
    <row r="36059" spans="30:30" x14ac:dyDescent="0.25">
      <c r="AD36059"/>
    </row>
    <row r="36060" spans="30:30" x14ac:dyDescent="0.25">
      <c r="AD36060"/>
    </row>
    <row r="36061" spans="30:30" x14ac:dyDescent="0.25">
      <c r="AD36061"/>
    </row>
    <row r="36062" spans="30:30" x14ac:dyDescent="0.25">
      <c r="AD36062"/>
    </row>
    <row r="36063" spans="30:30" x14ac:dyDescent="0.25">
      <c r="AD36063"/>
    </row>
    <row r="36064" spans="30:30" x14ac:dyDescent="0.25">
      <c r="AD36064"/>
    </row>
    <row r="36065" spans="30:30" x14ac:dyDescent="0.25">
      <c r="AD36065"/>
    </row>
    <row r="36066" spans="30:30" x14ac:dyDescent="0.25">
      <c r="AD36066"/>
    </row>
    <row r="36067" spans="30:30" x14ac:dyDescent="0.25">
      <c r="AD36067"/>
    </row>
    <row r="36068" spans="30:30" x14ac:dyDescent="0.25">
      <c r="AD36068"/>
    </row>
    <row r="36069" spans="30:30" x14ac:dyDescent="0.25">
      <c r="AD36069"/>
    </row>
    <row r="36070" spans="30:30" x14ac:dyDescent="0.25">
      <c r="AD36070"/>
    </row>
    <row r="36071" spans="30:30" x14ac:dyDescent="0.25">
      <c r="AD36071"/>
    </row>
    <row r="36072" spans="30:30" x14ac:dyDescent="0.25">
      <c r="AD36072"/>
    </row>
    <row r="36073" spans="30:30" x14ac:dyDescent="0.25">
      <c r="AD36073"/>
    </row>
    <row r="36074" spans="30:30" x14ac:dyDescent="0.25">
      <c r="AD36074"/>
    </row>
    <row r="36075" spans="30:30" x14ac:dyDescent="0.25">
      <c r="AD36075"/>
    </row>
    <row r="36076" spans="30:30" x14ac:dyDescent="0.25">
      <c r="AD36076"/>
    </row>
    <row r="36077" spans="30:30" x14ac:dyDescent="0.25">
      <c r="AD36077"/>
    </row>
    <row r="36078" spans="30:30" x14ac:dyDescent="0.25">
      <c r="AD36078"/>
    </row>
    <row r="36079" spans="30:30" x14ac:dyDescent="0.25">
      <c r="AD36079"/>
    </row>
    <row r="36080" spans="30:30" x14ac:dyDescent="0.25">
      <c r="AD36080"/>
    </row>
    <row r="36081" spans="30:30" x14ac:dyDescent="0.25">
      <c r="AD36081"/>
    </row>
    <row r="36082" spans="30:30" x14ac:dyDescent="0.25">
      <c r="AD36082"/>
    </row>
    <row r="36083" spans="30:30" x14ac:dyDescent="0.25">
      <c r="AD36083"/>
    </row>
    <row r="36084" spans="30:30" x14ac:dyDescent="0.25">
      <c r="AD36084"/>
    </row>
    <row r="36085" spans="30:30" x14ac:dyDescent="0.25">
      <c r="AD36085"/>
    </row>
    <row r="36086" spans="30:30" x14ac:dyDescent="0.25">
      <c r="AD36086"/>
    </row>
    <row r="36087" spans="30:30" x14ac:dyDescent="0.25">
      <c r="AD36087"/>
    </row>
    <row r="36088" spans="30:30" x14ac:dyDescent="0.25">
      <c r="AD36088"/>
    </row>
    <row r="36089" spans="30:30" x14ac:dyDescent="0.25">
      <c r="AD36089"/>
    </row>
    <row r="36090" spans="30:30" x14ac:dyDescent="0.25">
      <c r="AD36090"/>
    </row>
    <row r="36091" spans="30:30" x14ac:dyDescent="0.25">
      <c r="AD36091"/>
    </row>
    <row r="36092" spans="30:30" x14ac:dyDescent="0.25">
      <c r="AD36092"/>
    </row>
    <row r="36093" spans="30:30" x14ac:dyDescent="0.25">
      <c r="AD36093"/>
    </row>
    <row r="36094" spans="30:30" x14ac:dyDescent="0.25">
      <c r="AD36094"/>
    </row>
    <row r="36095" spans="30:30" x14ac:dyDescent="0.25">
      <c r="AD36095"/>
    </row>
    <row r="36096" spans="30:30" x14ac:dyDescent="0.25">
      <c r="AD36096"/>
    </row>
    <row r="36097" spans="30:30" x14ac:dyDescent="0.25">
      <c r="AD36097"/>
    </row>
    <row r="36098" spans="30:30" x14ac:dyDescent="0.25">
      <c r="AD36098"/>
    </row>
    <row r="36099" spans="30:30" x14ac:dyDescent="0.25">
      <c r="AD36099"/>
    </row>
    <row r="36100" spans="30:30" x14ac:dyDescent="0.25">
      <c r="AD36100"/>
    </row>
    <row r="36101" spans="30:30" x14ac:dyDescent="0.25">
      <c r="AD36101"/>
    </row>
    <row r="36102" spans="30:30" x14ac:dyDescent="0.25">
      <c r="AD36102"/>
    </row>
    <row r="36103" spans="30:30" x14ac:dyDescent="0.25">
      <c r="AD36103"/>
    </row>
    <row r="36104" spans="30:30" x14ac:dyDescent="0.25">
      <c r="AD36104"/>
    </row>
    <row r="36105" spans="30:30" x14ac:dyDescent="0.25">
      <c r="AD36105"/>
    </row>
    <row r="36106" spans="30:30" x14ac:dyDescent="0.25">
      <c r="AD36106"/>
    </row>
    <row r="36107" spans="30:30" x14ac:dyDescent="0.25">
      <c r="AD36107"/>
    </row>
    <row r="36108" spans="30:30" x14ac:dyDescent="0.25">
      <c r="AD36108"/>
    </row>
    <row r="36109" spans="30:30" x14ac:dyDescent="0.25">
      <c r="AD36109"/>
    </row>
    <row r="36110" spans="30:30" x14ac:dyDescent="0.25">
      <c r="AD36110"/>
    </row>
    <row r="36111" spans="30:30" x14ac:dyDescent="0.25">
      <c r="AD36111"/>
    </row>
    <row r="36112" spans="30:30" x14ac:dyDescent="0.25">
      <c r="AD36112"/>
    </row>
    <row r="36113" spans="30:30" x14ac:dyDescent="0.25">
      <c r="AD36113"/>
    </row>
    <row r="36114" spans="30:30" x14ac:dyDescent="0.25">
      <c r="AD36114"/>
    </row>
    <row r="36115" spans="30:30" x14ac:dyDescent="0.25">
      <c r="AD36115"/>
    </row>
    <row r="36116" spans="30:30" x14ac:dyDescent="0.25">
      <c r="AD36116"/>
    </row>
    <row r="36117" spans="30:30" x14ac:dyDescent="0.25">
      <c r="AD36117"/>
    </row>
    <row r="36118" spans="30:30" x14ac:dyDescent="0.25">
      <c r="AD36118"/>
    </row>
    <row r="36119" spans="30:30" x14ac:dyDescent="0.25">
      <c r="AD36119"/>
    </row>
    <row r="36120" spans="30:30" x14ac:dyDescent="0.25">
      <c r="AD36120"/>
    </row>
    <row r="36121" spans="30:30" x14ac:dyDescent="0.25">
      <c r="AD36121"/>
    </row>
    <row r="36122" spans="30:30" x14ac:dyDescent="0.25">
      <c r="AD36122"/>
    </row>
    <row r="36123" spans="30:30" x14ac:dyDescent="0.25">
      <c r="AD36123"/>
    </row>
    <row r="36124" spans="30:30" x14ac:dyDescent="0.25">
      <c r="AD36124"/>
    </row>
    <row r="36125" spans="30:30" x14ac:dyDescent="0.25">
      <c r="AD36125"/>
    </row>
    <row r="36126" spans="30:30" x14ac:dyDescent="0.25">
      <c r="AD36126"/>
    </row>
    <row r="36127" spans="30:30" x14ac:dyDescent="0.25">
      <c r="AD36127"/>
    </row>
    <row r="36128" spans="30:30" x14ac:dyDescent="0.25">
      <c r="AD36128"/>
    </row>
    <row r="36129" spans="30:30" x14ac:dyDescent="0.25">
      <c r="AD36129"/>
    </row>
    <row r="36130" spans="30:30" x14ac:dyDescent="0.25">
      <c r="AD36130"/>
    </row>
    <row r="36131" spans="30:30" x14ac:dyDescent="0.25">
      <c r="AD36131"/>
    </row>
    <row r="36132" spans="30:30" x14ac:dyDescent="0.25">
      <c r="AD36132"/>
    </row>
    <row r="36133" spans="30:30" x14ac:dyDescent="0.25">
      <c r="AD36133"/>
    </row>
    <row r="36134" spans="30:30" x14ac:dyDescent="0.25">
      <c r="AD36134"/>
    </row>
    <row r="36135" spans="30:30" x14ac:dyDescent="0.25">
      <c r="AD36135"/>
    </row>
    <row r="36136" spans="30:30" x14ac:dyDescent="0.25">
      <c r="AD36136"/>
    </row>
    <row r="36137" spans="30:30" x14ac:dyDescent="0.25">
      <c r="AD36137"/>
    </row>
    <row r="36138" spans="30:30" x14ac:dyDescent="0.25">
      <c r="AD36138"/>
    </row>
    <row r="36139" spans="30:30" x14ac:dyDescent="0.25">
      <c r="AD36139"/>
    </row>
    <row r="36140" spans="30:30" x14ac:dyDescent="0.25">
      <c r="AD36140"/>
    </row>
    <row r="36141" spans="30:30" x14ac:dyDescent="0.25">
      <c r="AD36141"/>
    </row>
    <row r="36142" spans="30:30" x14ac:dyDescent="0.25">
      <c r="AD36142"/>
    </row>
    <row r="36143" spans="30:30" x14ac:dyDescent="0.25">
      <c r="AD36143"/>
    </row>
    <row r="36144" spans="30:30" x14ac:dyDescent="0.25">
      <c r="AD36144"/>
    </row>
    <row r="36145" spans="30:30" x14ac:dyDescent="0.25">
      <c r="AD36145"/>
    </row>
    <row r="36146" spans="30:30" x14ac:dyDescent="0.25">
      <c r="AD36146"/>
    </row>
    <row r="36147" spans="30:30" x14ac:dyDescent="0.25">
      <c r="AD36147"/>
    </row>
    <row r="36148" spans="30:30" x14ac:dyDescent="0.25">
      <c r="AD36148"/>
    </row>
    <row r="36149" spans="30:30" x14ac:dyDescent="0.25">
      <c r="AD36149"/>
    </row>
    <row r="36150" spans="30:30" x14ac:dyDescent="0.25">
      <c r="AD36150"/>
    </row>
    <row r="36151" spans="30:30" x14ac:dyDescent="0.25">
      <c r="AD36151"/>
    </row>
    <row r="36152" spans="30:30" x14ac:dyDescent="0.25">
      <c r="AD36152"/>
    </row>
    <row r="36153" spans="30:30" x14ac:dyDescent="0.25">
      <c r="AD36153"/>
    </row>
    <row r="36154" spans="30:30" x14ac:dyDescent="0.25">
      <c r="AD36154"/>
    </row>
    <row r="36155" spans="30:30" x14ac:dyDescent="0.25">
      <c r="AD36155"/>
    </row>
    <row r="36156" spans="30:30" x14ac:dyDescent="0.25">
      <c r="AD36156"/>
    </row>
    <row r="36157" spans="30:30" x14ac:dyDescent="0.25">
      <c r="AD36157"/>
    </row>
    <row r="36158" spans="30:30" x14ac:dyDescent="0.25">
      <c r="AD36158"/>
    </row>
    <row r="36159" spans="30:30" x14ac:dyDescent="0.25">
      <c r="AD36159"/>
    </row>
    <row r="36160" spans="30:30" x14ac:dyDescent="0.25">
      <c r="AD36160"/>
    </row>
    <row r="36161" spans="30:30" x14ac:dyDescent="0.25">
      <c r="AD36161"/>
    </row>
    <row r="36162" spans="30:30" x14ac:dyDescent="0.25">
      <c r="AD36162"/>
    </row>
    <row r="36163" spans="30:30" x14ac:dyDescent="0.25">
      <c r="AD36163"/>
    </row>
    <row r="36164" spans="30:30" x14ac:dyDescent="0.25">
      <c r="AD36164"/>
    </row>
    <row r="36165" spans="30:30" x14ac:dyDescent="0.25">
      <c r="AD36165"/>
    </row>
    <row r="36166" spans="30:30" x14ac:dyDescent="0.25">
      <c r="AD36166"/>
    </row>
    <row r="36167" spans="30:30" x14ac:dyDescent="0.25">
      <c r="AD36167"/>
    </row>
    <row r="36168" spans="30:30" x14ac:dyDescent="0.25">
      <c r="AD36168"/>
    </row>
    <row r="36169" spans="30:30" x14ac:dyDescent="0.25">
      <c r="AD36169"/>
    </row>
    <row r="36170" spans="30:30" x14ac:dyDescent="0.25">
      <c r="AD36170"/>
    </row>
    <row r="36171" spans="30:30" x14ac:dyDescent="0.25">
      <c r="AD36171"/>
    </row>
    <row r="36172" spans="30:30" x14ac:dyDescent="0.25">
      <c r="AD36172"/>
    </row>
    <row r="36173" spans="30:30" x14ac:dyDescent="0.25">
      <c r="AD36173"/>
    </row>
    <row r="36174" spans="30:30" x14ac:dyDescent="0.25">
      <c r="AD36174"/>
    </row>
    <row r="36175" spans="30:30" x14ac:dyDescent="0.25">
      <c r="AD36175"/>
    </row>
    <row r="36176" spans="30:30" x14ac:dyDescent="0.25">
      <c r="AD36176"/>
    </row>
    <row r="36177" spans="30:30" x14ac:dyDescent="0.25">
      <c r="AD36177"/>
    </row>
    <row r="36178" spans="30:30" x14ac:dyDescent="0.25">
      <c r="AD36178"/>
    </row>
    <row r="36179" spans="30:30" x14ac:dyDescent="0.25">
      <c r="AD36179"/>
    </row>
    <row r="36180" spans="30:30" x14ac:dyDescent="0.25">
      <c r="AD36180"/>
    </row>
    <row r="36181" spans="30:30" x14ac:dyDescent="0.25">
      <c r="AD36181"/>
    </row>
    <row r="36182" spans="30:30" x14ac:dyDescent="0.25">
      <c r="AD36182"/>
    </row>
    <row r="36183" spans="30:30" x14ac:dyDescent="0.25">
      <c r="AD36183"/>
    </row>
    <row r="36184" spans="30:30" x14ac:dyDescent="0.25">
      <c r="AD36184"/>
    </row>
    <row r="36185" spans="30:30" x14ac:dyDescent="0.25">
      <c r="AD36185"/>
    </row>
    <row r="36186" spans="30:30" x14ac:dyDescent="0.25">
      <c r="AD36186"/>
    </row>
    <row r="36187" spans="30:30" x14ac:dyDescent="0.25">
      <c r="AD36187"/>
    </row>
    <row r="36188" spans="30:30" x14ac:dyDescent="0.25">
      <c r="AD36188"/>
    </row>
    <row r="36189" spans="30:30" x14ac:dyDescent="0.25">
      <c r="AD36189"/>
    </row>
    <row r="36190" spans="30:30" x14ac:dyDescent="0.25">
      <c r="AD36190"/>
    </row>
    <row r="36191" spans="30:30" x14ac:dyDescent="0.25">
      <c r="AD36191"/>
    </row>
    <row r="36192" spans="30:30" x14ac:dyDescent="0.25">
      <c r="AD36192"/>
    </row>
    <row r="36193" spans="30:30" x14ac:dyDescent="0.25">
      <c r="AD36193"/>
    </row>
    <row r="36194" spans="30:30" x14ac:dyDescent="0.25">
      <c r="AD36194"/>
    </row>
    <row r="36195" spans="30:30" x14ac:dyDescent="0.25">
      <c r="AD36195"/>
    </row>
    <row r="36196" spans="30:30" x14ac:dyDescent="0.25">
      <c r="AD36196"/>
    </row>
    <row r="36197" spans="30:30" x14ac:dyDescent="0.25">
      <c r="AD36197"/>
    </row>
    <row r="36198" spans="30:30" x14ac:dyDescent="0.25">
      <c r="AD36198"/>
    </row>
    <row r="36199" spans="30:30" x14ac:dyDescent="0.25">
      <c r="AD36199"/>
    </row>
    <row r="36200" spans="30:30" x14ac:dyDescent="0.25">
      <c r="AD36200"/>
    </row>
    <row r="36201" spans="30:30" x14ac:dyDescent="0.25">
      <c r="AD36201"/>
    </row>
    <row r="36202" spans="30:30" x14ac:dyDescent="0.25">
      <c r="AD36202"/>
    </row>
    <row r="36203" spans="30:30" x14ac:dyDescent="0.25">
      <c r="AD36203"/>
    </row>
    <row r="36204" spans="30:30" x14ac:dyDescent="0.25">
      <c r="AD36204"/>
    </row>
    <row r="36205" spans="30:30" x14ac:dyDescent="0.25">
      <c r="AD36205"/>
    </row>
    <row r="36206" spans="30:30" x14ac:dyDescent="0.25">
      <c r="AD36206"/>
    </row>
    <row r="36207" spans="30:30" x14ac:dyDescent="0.25">
      <c r="AD36207"/>
    </row>
    <row r="36208" spans="30:30" x14ac:dyDescent="0.25">
      <c r="AD36208"/>
    </row>
    <row r="36209" spans="30:30" x14ac:dyDescent="0.25">
      <c r="AD36209"/>
    </row>
    <row r="36210" spans="30:30" x14ac:dyDescent="0.25">
      <c r="AD36210"/>
    </row>
    <row r="36211" spans="30:30" x14ac:dyDescent="0.25">
      <c r="AD36211"/>
    </row>
    <row r="36212" spans="30:30" x14ac:dyDescent="0.25">
      <c r="AD36212"/>
    </row>
    <row r="36213" spans="30:30" x14ac:dyDescent="0.25">
      <c r="AD36213"/>
    </row>
    <row r="36214" spans="30:30" x14ac:dyDescent="0.25">
      <c r="AD36214"/>
    </row>
    <row r="36215" spans="30:30" x14ac:dyDescent="0.25">
      <c r="AD36215"/>
    </row>
    <row r="36216" spans="30:30" x14ac:dyDescent="0.25">
      <c r="AD36216"/>
    </row>
    <row r="36217" spans="30:30" x14ac:dyDescent="0.25">
      <c r="AD36217"/>
    </row>
    <row r="36218" spans="30:30" x14ac:dyDescent="0.25">
      <c r="AD36218"/>
    </row>
    <row r="36219" spans="30:30" x14ac:dyDescent="0.25">
      <c r="AD36219"/>
    </row>
    <row r="36220" spans="30:30" x14ac:dyDescent="0.25">
      <c r="AD36220"/>
    </row>
    <row r="36221" spans="30:30" x14ac:dyDescent="0.25">
      <c r="AD36221"/>
    </row>
    <row r="36222" spans="30:30" x14ac:dyDescent="0.25">
      <c r="AD36222"/>
    </row>
    <row r="36223" spans="30:30" x14ac:dyDescent="0.25">
      <c r="AD36223"/>
    </row>
    <row r="36224" spans="30:30" x14ac:dyDescent="0.25">
      <c r="AD36224"/>
    </row>
    <row r="36225" spans="30:30" x14ac:dyDescent="0.25">
      <c r="AD36225"/>
    </row>
    <row r="36226" spans="30:30" x14ac:dyDescent="0.25">
      <c r="AD36226"/>
    </row>
    <row r="36227" spans="30:30" x14ac:dyDescent="0.25">
      <c r="AD36227"/>
    </row>
    <row r="36228" spans="30:30" x14ac:dyDescent="0.25">
      <c r="AD36228"/>
    </row>
    <row r="36229" spans="30:30" x14ac:dyDescent="0.25">
      <c r="AD36229"/>
    </row>
    <row r="36230" spans="30:30" x14ac:dyDescent="0.25">
      <c r="AD36230"/>
    </row>
    <row r="36231" spans="30:30" x14ac:dyDescent="0.25">
      <c r="AD36231"/>
    </row>
    <row r="36232" spans="30:30" x14ac:dyDescent="0.25">
      <c r="AD36232"/>
    </row>
    <row r="36233" spans="30:30" x14ac:dyDescent="0.25">
      <c r="AD36233"/>
    </row>
    <row r="36234" spans="30:30" x14ac:dyDescent="0.25">
      <c r="AD36234"/>
    </row>
    <row r="36235" spans="30:30" x14ac:dyDescent="0.25">
      <c r="AD36235"/>
    </row>
    <row r="36236" spans="30:30" x14ac:dyDescent="0.25">
      <c r="AD36236"/>
    </row>
    <row r="36237" spans="30:30" x14ac:dyDescent="0.25">
      <c r="AD36237"/>
    </row>
    <row r="36238" spans="30:30" x14ac:dyDescent="0.25">
      <c r="AD36238"/>
    </row>
    <row r="36239" spans="30:30" x14ac:dyDescent="0.25">
      <c r="AD36239"/>
    </row>
    <row r="36240" spans="30:30" x14ac:dyDescent="0.25">
      <c r="AD36240"/>
    </row>
    <row r="36241" spans="30:30" x14ac:dyDescent="0.25">
      <c r="AD36241"/>
    </row>
    <row r="36242" spans="30:30" x14ac:dyDescent="0.25">
      <c r="AD36242"/>
    </row>
    <row r="36243" spans="30:30" x14ac:dyDescent="0.25">
      <c r="AD36243"/>
    </row>
    <row r="36244" spans="30:30" x14ac:dyDescent="0.25">
      <c r="AD36244"/>
    </row>
    <row r="36245" spans="30:30" x14ac:dyDescent="0.25">
      <c r="AD36245"/>
    </row>
    <row r="36246" spans="30:30" x14ac:dyDescent="0.25">
      <c r="AD36246"/>
    </row>
    <row r="36247" spans="30:30" x14ac:dyDescent="0.25">
      <c r="AD36247"/>
    </row>
    <row r="36248" spans="30:30" x14ac:dyDescent="0.25">
      <c r="AD36248"/>
    </row>
    <row r="36249" spans="30:30" x14ac:dyDescent="0.25">
      <c r="AD36249"/>
    </row>
    <row r="36250" spans="30:30" x14ac:dyDescent="0.25">
      <c r="AD36250"/>
    </row>
    <row r="36251" spans="30:30" x14ac:dyDescent="0.25">
      <c r="AD36251"/>
    </row>
    <row r="36252" spans="30:30" x14ac:dyDescent="0.25">
      <c r="AD36252"/>
    </row>
    <row r="36253" spans="30:30" x14ac:dyDescent="0.25">
      <c r="AD36253"/>
    </row>
    <row r="36254" spans="30:30" x14ac:dyDescent="0.25">
      <c r="AD36254"/>
    </row>
    <row r="36255" spans="30:30" x14ac:dyDescent="0.25">
      <c r="AD36255"/>
    </row>
    <row r="36256" spans="30:30" x14ac:dyDescent="0.25">
      <c r="AD36256"/>
    </row>
    <row r="36257" spans="30:30" x14ac:dyDescent="0.25">
      <c r="AD36257"/>
    </row>
    <row r="36258" spans="30:30" x14ac:dyDescent="0.25">
      <c r="AD36258"/>
    </row>
    <row r="36259" spans="30:30" x14ac:dyDescent="0.25">
      <c r="AD36259"/>
    </row>
    <row r="36260" spans="30:30" x14ac:dyDescent="0.25">
      <c r="AD36260"/>
    </row>
    <row r="36261" spans="30:30" x14ac:dyDescent="0.25">
      <c r="AD36261"/>
    </row>
    <row r="36262" spans="30:30" x14ac:dyDescent="0.25">
      <c r="AD36262"/>
    </row>
    <row r="36263" spans="30:30" x14ac:dyDescent="0.25">
      <c r="AD36263"/>
    </row>
    <row r="36264" spans="30:30" x14ac:dyDescent="0.25">
      <c r="AD36264"/>
    </row>
    <row r="36265" spans="30:30" x14ac:dyDescent="0.25">
      <c r="AD36265"/>
    </row>
    <row r="36266" spans="30:30" x14ac:dyDescent="0.25">
      <c r="AD36266"/>
    </row>
    <row r="36267" spans="30:30" x14ac:dyDescent="0.25">
      <c r="AD36267"/>
    </row>
    <row r="36268" spans="30:30" x14ac:dyDescent="0.25">
      <c r="AD36268"/>
    </row>
    <row r="36269" spans="30:30" x14ac:dyDescent="0.25">
      <c r="AD36269"/>
    </row>
    <row r="36270" spans="30:30" x14ac:dyDescent="0.25">
      <c r="AD36270"/>
    </row>
    <row r="36271" spans="30:30" x14ac:dyDescent="0.25">
      <c r="AD36271"/>
    </row>
    <row r="36272" spans="30:30" x14ac:dyDescent="0.25">
      <c r="AD36272"/>
    </row>
    <row r="36273" spans="30:30" x14ac:dyDescent="0.25">
      <c r="AD36273"/>
    </row>
    <row r="36274" spans="30:30" x14ac:dyDescent="0.25">
      <c r="AD36274"/>
    </row>
    <row r="36275" spans="30:30" x14ac:dyDescent="0.25">
      <c r="AD36275"/>
    </row>
    <row r="36276" spans="30:30" x14ac:dyDescent="0.25">
      <c r="AD36276"/>
    </row>
    <row r="36277" spans="30:30" x14ac:dyDescent="0.25">
      <c r="AD36277"/>
    </row>
    <row r="36278" spans="30:30" x14ac:dyDescent="0.25">
      <c r="AD36278"/>
    </row>
    <row r="36279" spans="30:30" x14ac:dyDescent="0.25">
      <c r="AD36279"/>
    </row>
    <row r="36280" spans="30:30" x14ac:dyDescent="0.25">
      <c r="AD36280"/>
    </row>
    <row r="36281" spans="30:30" x14ac:dyDescent="0.25">
      <c r="AD36281"/>
    </row>
    <row r="36282" spans="30:30" x14ac:dyDescent="0.25">
      <c r="AD36282"/>
    </row>
    <row r="36283" spans="30:30" x14ac:dyDescent="0.25">
      <c r="AD36283"/>
    </row>
    <row r="36284" spans="30:30" x14ac:dyDescent="0.25">
      <c r="AD36284"/>
    </row>
    <row r="36285" spans="30:30" x14ac:dyDescent="0.25">
      <c r="AD36285"/>
    </row>
    <row r="36286" spans="30:30" x14ac:dyDescent="0.25">
      <c r="AD36286"/>
    </row>
    <row r="36287" spans="30:30" x14ac:dyDescent="0.25">
      <c r="AD36287"/>
    </row>
    <row r="36288" spans="30:30" x14ac:dyDescent="0.25">
      <c r="AD36288"/>
    </row>
    <row r="36289" spans="30:30" x14ac:dyDescent="0.25">
      <c r="AD36289"/>
    </row>
    <row r="36290" spans="30:30" x14ac:dyDescent="0.25">
      <c r="AD36290"/>
    </row>
    <row r="36291" spans="30:30" x14ac:dyDescent="0.25">
      <c r="AD36291"/>
    </row>
    <row r="36292" spans="30:30" x14ac:dyDescent="0.25">
      <c r="AD36292"/>
    </row>
    <row r="36293" spans="30:30" x14ac:dyDescent="0.25">
      <c r="AD36293"/>
    </row>
    <row r="36294" spans="30:30" x14ac:dyDescent="0.25">
      <c r="AD36294"/>
    </row>
    <row r="36295" spans="30:30" x14ac:dyDescent="0.25">
      <c r="AD36295"/>
    </row>
    <row r="36296" spans="30:30" x14ac:dyDescent="0.25">
      <c r="AD36296"/>
    </row>
    <row r="36297" spans="30:30" x14ac:dyDescent="0.25">
      <c r="AD36297"/>
    </row>
    <row r="36298" spans="30:30" x14ac:dyDescent="0.25">
      <c r="AD36298"/>
    </row>
    <row r="36299" spans="30:30" x14ac:dyDescent="0.25">
      <c r="AD36299"/>
    </row>
    <row r="36300" spans="30:30" x14ac:dyDescent="0.25">
      <c r="AD36300"/>
    </row>
    <row r="36301" spans="30:30" x14ac:dyDescent="0.25">
      <c r="AD36301"/>
    </row>
    <row r="36302" spans="30:30" x14ac:dyDescent="0.25">
      <c r="AD36302"/>
    </row>
    <row r="36303" spans="30:30" x14ac:dyDescent="0.25">
      <c r="AD36303"/>
    </row>
    <row r="36304" spans="30:30" x14ac:dyDescent="0.25">
      <c r="AD36304"/>
    </row>
    <row r="36305" spans="30:30" x14ac:dyDescent="0.25">
      <c r="AD36305"/>
    </row>
    <row r="36306" spans="30:30" x14ac:dyDescent="0.25">
      <c r="AD36306"/>
    </row>
    <row r="36307" spans="30:30" x14ac:dyDescent="0.25">
      <c r="AD36307"/>
    </row>
    <row r="36308" spans="30:30" x14ac:dyDescent="0.25">
      <c r="AD36308"/>
    </row>
    <row r="36309" spans="30:30" x14ac:dyDescent="0.25">
      <c r="AD36309"/>
    </row>
    <row r="36310" spans="30:30" x14ac:dyDescent="0.25">
      <c r="AD36310"/>
    </row>
    <row r="36311" spans="30:30" x14ac:dyDescent="0.25">
      <c r="AD36311"/>
    </row>
    <row r="36312" spans="30:30" x14ac:dyDescent="0.25">
      <c r="AD36312"/>
    </row>
    <row r="36313" spans="30:30" x14ac:dyDescent="0.25">
      <c r="AD36313"/>
    </row>
    <row r="36314" spans="30:30" x14ac:dyDescent="0.25">
      <c r="AD36314"/>
    </row>
    <row r="36315" spans="30:30" x14ac:dyDescent="0.25">
      <c r="AD36315"/>
    </row>
    <row r="36316" spans="30:30" x14ac:dyDescent="0.25">
      <c r="AD36316"/>
    </row>
    <row r="36317" spans="30:30" x14ac:dyDescent="0.25">
      <c r="AD36317"/>
    </row>
    <row r="36318" spans="30:30" x14ac:dyDescent="0.25">
      <c r="AD36318"/>
    </row>
    <row r="36319" spans="30:30" x14ac:dyDescent="0.25">
      <c r="AD36319"/>
    </row>
    <row r="36320" spans="30:30" x14ac:dyDescent="0.25">
      <c r="AD36320"/>
    </row>
    <row r="36321" spans="30:30" x14ac:dyDescent="0.25">
      <c r="AD36321"/>
    </row>
    <row r="36322" spans="30:30" x14ac:dyDescent="0.25">
      <c r="AD36322"/>
    </row>
    <row r="36323" spans="30:30" x14ac:dyDescent="0.25">
      <c r="AD36323"/>
    </row>
    <row r="36324" spans="30:30" x14ac:dyDescent="0.25">
      <c r="AD36324"/>
    </row>
    <row r="36325" spans="30:30" x14ac:dyDescent="0.25">
      <c r="AD36325"/>
    </row>
    <row r="36326" spans="30:30" x14ac:dyDescent="0.25">
      <c r="AD36326"/>
    </row>
    <row r="36327" spans="30:30" x14ac:dyDescent="0.25">
      <c r="AD36327"/>
    </row>
    <row r="36328" spans="30:30" x14ac:dyDescent="0.25">
      <c r="AD36328"/>
    </row>
    <row r="36329" spans="30:30" x14ac:dyDescent="0.25">
      <c r="AD36329"/>
    </row>
    <row r="36330" spans="30:30" x14ac:dyDescent="0.25">
      <c r="AD36330"/>
    </row>
    <row r="36331" spans="30:30" x14ac:dyDescent="0.25">
      <c r="AD36331"/>
    </row>
    <row r="36332" spans="30:30" x14ac:dyDescent="0.25">
      <c r="AD36332"/>
    </row>
    <row r="36333" spans="30:30" x14ac:dyDescent="0.25">
      <c r="AD36333"/>
    </row>
    <row r="36334" spans="30:30" x14ac:dyDescent="0.25">
      <c r="AD36334"/>
    </row>
    <row r="36335" spans="30:30" x14ac:dyDescent="0.25">
      <c r="AD36335"/>
    </row>
    <row r="36336" spans="30:30" x14ac:dyDescent="0.25">
      <c r="AD36336"/>
    </row>
    <row r="36337" spans="30:30" x14ac:dyDescent="0.25">
      <c r="AD36337"/>
    </row>
    <row r="36338" spans="30:30" x14ac:dyDescent="0.25">
      <c r="AD36338"/>
    </row>
    <row r="36339" spans="30:30" x14ac:dyDescent="0.25">
      <c r="AD36339"/>
    </row>
    <row r="36340" spans="30:30" x14ac:dyDescent="0.25">
      <c r="AD36340"/>
    </row>
    <row r="36341" spans="30:30" x14ac:dyDescent="0.25">
      <c r="AD36341"/>
    </row>
    <row r="36342" spans="30:30" x14ac:dyDescent="0.25">
      <c r="AD36342"/>
    </row>
    <row r="36343" spans="30:30" x14ac:dyDescent="0.25">
      <c r="AD36343"/>
    </row>
    <row r="36344" spans="30:30" x14ac:dyDescent="0.25">
      <c r="AD36344"/>
    </row>
    <row r="36345" spans="30:30" x14ac:dyDescent="0.25">
      <c r="AD36345"/>
    </row>
    <row r="36346" spans="30:30" x14ac:dyDescent="0.25">
      <c r="AD36346"/>
    </row>
    <row r="36347" spans="30:30" x14ac:dyDescent="0.25">
      <c r="AD36347"/>
    </row>
    <row r="36348" spans="30:30" x14ac:dyDescent="0.25">
      <c r="AD36348"/>
    </row>
    <row r="36349" spans="30:30" x14ac:dyDescent="0.25">
      <c r="AD36349"/>
    </row>
    <row r="36350" spans="30:30" x14ac:dyDescent="0.25">
      <c r="AD36350"/>
    </row>
    <row r="36351" spans="30:30" x14ac:dyDescent="0.25">
      <c r="AD36351"/>
    </row>
    <row r="36352" spans="30:30" x14ac:dyDescent="0.25">
      <c r="AD36352"/>
    </row>
    <row r="36353" spans="30:30" x14ac:dyDescent="0.25">
      <c r="AD36353"/>
    </row>
    <row r="36354" spans="30:30" x14ac:dyDescent="0.25">
      <c r="AD36354"/>
    </row>
    <row r="36355" spans="30:30" x14ac:dyDescent="0.25">
      <c r="AD36355"/>
    </row>
    <row r="36356" spans="30:30" x14ac:dyDescent="0.25">
      <c r="AD36356"/>
    </row>
    <row r="36357" spans="30:30" x14ac:dyDescent="0.25">
      <c r="AD36357"/>
    </row>
    <row r="36358" spans="30:30" x14ac:dyDescent="0.25">
      <c r="AD36358"/>
    </row>
    <row r="36359" spans="30:30" x14ac:dyDescent="0.25">
      <c r="AD36359"/>
    </row>
    <row r="36360" spans="30:30" x14ac:dyDescent="0.25">
      <c r="AD36360"/>
    </row>
    <row r="36361" spans="30:30" x14ac:dyDescent="0.25">
      <c r="AD36361"/>
    </row>
    <row r="36362" spans="30:30" x14ac:dyDescent="0.25">
      <c r="AD36362"/>
    </row>
    <row r="36363" spans="30:30" x14ac:dyDescent="0.25">
      <c r="AD36363"/>
    </row>
    <row r="36364" spans="30:30" x14ac:dyDescent="0.25">
      <c r="AD36364"/>
    </row>
    <row r="36365" spans="30:30" x14ac:dyDescent="0.25">
      <c r="AD36365"/>
    </row>
    <row r="36366" spans="30:30" x14ac:dyDescent="0.25">
      <c r="AD36366"/>
    </row>
    <row r="36367" spans="30:30" x14ac:dyDescent="0.25">
      <c r="AD36367"/>
    </row>
    <row r="36368" spans="30:30" x14ac:dyDescent="0.25">
      <c r="AD36368"/>
    </row>
    <row r="36369" spans="30:30" x14ac:dyDescent="0.25">
      <c r="AD36369"/>
    </row>
    <row r="36370" spans="30:30" x14ac:dyDescent="0.25">
      <c r="AD36370"/>
    </row>
    <row r="36371" spans="30:30" x14ac:dyDescent="0.25">
      <c r="AD36371"/>
    </row>
    <row r="36372" spans="30:30" x14ac:dyDescent="0.25">
      <c r="AD36372"/>
    </row>
    <row r="36373" spans="30:30" x14ac:dyDescent="0.25">
      <c r="AD36373"/>
    </row>
    <row r="36374" spans="30:30" x14ac:dyDescent="0.25">
      <c r="AD36374"/>
    </row>
    <row r="36375" spans="30:30" x14ac:dyDescent="0.25">
      <c r="AD36375"/>
    </row>
    <row r="36376" spans="30:30" x14ac:dyDescent="0.25">
      <c r="AD36376"/>
    </row>
    <row r="36377" spans="30:30" x14ac:dyDescent="0.25">
      <c r="AD36377"/>
    </row>
    <row r="36378" spans="30:30" x14ac:dyDescent="0.25">
      <c r="AD36378"/>
    </row>
    <row r="36379" spans="30:30" x14ac:dyDescent="0.25">
      <c r="AD36379"/>
    </row>
    <row r="36380" spans="30:30" x14ac:dyDescent="0.25">
      <c r="AD36380"/>
    </row>
    <row r="36381" spans="30:30" x14ac:dyDescent="0.25">
      <c r="AD36381"/>
    </row>
    <row r="36382" spans="30:30" x14ac:dyDescent="0.25">
      <c r="AD36382"/>
    </row>
    <row r="36383" spans="30:30" x14ac:dyDescent="0.25">
      <c r="AD36383"/>
    </row>
    <row r="36384" spans="30:30" x14ac:dyDescent="0.25">
      <c r="AD36384"/>
    </row>
    <row r="36385" spans="30:30" x14ac:dyDescent="0.25">
      <c r="AD36385"/>
    </row>
    <row r="36386" spans="30:30" x14ac:dyDescent="0.25">
      <c r="AD36386"/>
    </row>
    <row r="36387" spans="30:30" x14ac:dyDescent="0.25">
      <c r="AD36387"/>
    </row>
    <row r="36388" spans="30:30" x14ac:dyDescent="0.25">
      <c r="AD36388"/>
    </row>
    <row r="36389" spans="30:30" x14ac:dyDescent="0.25">
      <c r="AD36389"/>
    </row>
    <row r="36390" spans="30:30" x14ac:dyDescent="0.25">
      <c r="AD36390"/>
    </row>
    <row r="36391" spans="30:30" x14ac:dyDescent="0.25">
      <c r="AD36391"/>
    </row>
    <row r="36392" spans="30:30" x14ac:dyDescent="0.25">
      <c r="AD36392"/>
    </row>
    <row r="36393" spans="30:30" x14ac:dyDescent="0.25">
      <c r="AD36393"/>
    </row>
    <row r="36394" spans="30:30" x14ac:dyDescent="0.25">
      <c r="AD36394"/>
    </row>
    <row r="36395" spans="30:30" x14ac:dyDescent="0.25">
      <c r="AD36395"/>
    </row>
    <row r="36396" spans="30:30" x14ac:dyDescent="0.25">
      <c r="AD36396"/>
    </row>
    <row r="36397" spans="30:30" x14ac:dyDescent="0.25">
      <c r="AD36397"/>
    </row>
    <row r="36398" spans="30:30" x14ac:dyDescent="0.25">
      <c r="AD36398"/>
    </row>
    <row r="36399" spans="30:30" x14ac:dyDescent="0.25">
      <c r="AD36399"/>
    </row>
    <row r="36400" spans="30:30" x14ac:dyDescent="0.25">
      <c r="AD36400"/>
    </row>
    <row r="36401" spans="30:30" x14ac:dyDescent="0.25">
      <c r="AD36401"/>
    </row>
    <row r="36402" spans="30:30" x14ac:dyDescent="0.25">
      <c r="AD36402"/>
    </row>
    <row r="36403" spans="30:30" x14ac:dyDescent="0.25">
      <c r="AD36403"/>
    </row>
    <row r="36404" spans="30:30" x14ac:dyDescent="0.25">
      <c r="AD36404"/>
    </row>
    <row r="36405" spans="30:30" x14ac:dyDescent="0.25">
      <c r="AD36405"/>
    </row>
    <row r="36406" spans="30:30" x14ac:dyDescent="0.25">
      <c r="AD36406"/>
    </row>
    <row r="36407" spans="30:30" x14ac:dyDescent="0.25">
      <c r="AD36407"/>
    </row>
    <row r="36408" spans="30:30" x14ac:dyDescent="0.25">
      <c r="AD36408"/>
    </row>
    <row r="36409" spans="30:30" x14ac:dyDescent="0.25">
      <c r="AD36409"/>
    </row>
    <row r="36410" spans="30:30" x14ac:dyDescent="0.25">
      <c r="AD36410"/>
    </row>
    <row r="36411" spans="30:30" x14ac:dyDescent="0.25">
      <c r="AD36411"/>
    </row>
    <row r="36412" spans="30:30" x14ac:dyDescent="0.25">
      <c r="AD36412"/>
    </row>
    <row r="36413" spans="30:30" x14ac:dyDescent="0.25">
      <c r="AD36413"/>
    </row>
    <row r="36414" spans="30:30" x14ac:dyDescent="0.25">
      <c r="AD36414"/>
    </row>
    <row r="36415" spans="30:30" x14ac:dyDescent="0.25">
      <c r="AD36415"/>
    </row>
    <row r="36416" spans="30:30" x14ac:dyDescent="0.25">
      <c r="AD36416"/>
    </row>
    <row r="36417" spans="30:30" x14ac:dyDescent="0.25">
      <c r="AD36417"/>
    </row>
    <row r="36418" spans="30:30" x14ac:dyDescent="0.25">
      <c r="AD36418"/>
    </row>
    <row r="36419" spans="30:30" x14ac:dyDescent="0.25">
      <c r="AD36419"/>
    </row>
    <row r="36420" spans="30:30" x14ac:dyDescent="0.25">
      <c r="AD36420"/>
    </row>
    <row r="36421" spans="30:30" x14ac:dyDescent="0.25">
      <c r="AD36421"/>
    </row>
    <row r="36422" spans="30:30" x14ac:dyDescent="0.25">
      <c r="AD36422"/>
    </row>
    <row r="36423" spans="30:30" x14ac:dyDescent="0.25">
      <c r="AD36423"/>
    </row>
    <row r="36424" spans="30:30" x14ac:dyDescent="0.25">
      <c r="AD36424"/>
    </row>
    <row r="36425" spans="30:30" x14ac:dyDescent="0.25">
      <c r="AD36425"/>
    </row>
    <row r="36426" spans="30:30" x14ac:dyDescent="0.25">
      <c r="AD36426"/>
    </row>
    <row r="36427" spans="30:30" x14ac:dyDescent="0.25">
      <c r="AD36427"/>
    </row>
    <row r="36428" spans="30:30" x14ac:dyDescent="0.25">
      <c r="AD36428"/>
    </row>
    <row r="36429" spans="30:30" x14ac:dyDescent="0.25">
      <c r="AD36429"/>
    </row>
    <row r="36430" spans="30:30" x14ac:dyDescent="0.25">
      <c r="AD36430"/>
    </row>
    <row r="36431" spans="30:30" x14ac:dyDescent="0.25">
      <c r="AD36431"/>
    </row>
    <row r="36432" spans="30:30" x14ac:dyDescent="0.25">
      <c r="AD36432"/>
    </row>
    <row r="36433" spans="30:30" x14ac:dyDescent="0.25">
      <c r="AD36433"/>
    </row>
    <row r="36434" spans="30:30" x14ac:dyDescent="0.25">
      <c r="AD36434"/>
    </row>
    <row r="36435" spans="30:30" x14ac:dyDescent="0.25">
      <c r="AD36435"/>
    </row>
    <row r="36436" spans="30:30" x14ac:dyDescent="0.25">
      <c r="AD36436"/>
    </row>
    <row r="36437" spans="30:30" x14ac:dyDescent="0.25">
      <c r="AD36437"/>
    </row>
    <row r="36438" spans="30:30" x14ac:dyDescent="0.25">
      <c r="AD36438"/>
    </row>
    <row r="36439" spans="30:30" x14ac:dyDescent="0.25">
      <c r="AD36439"/>
    </row>
    <row r="36440" spans="30:30" x14ac:dyDescent="0.25">
      <c r="AD36440"/>
    </row>
    <row r="36441" spans="30:30" x14ac:dyDescent="0.25">
      <c r="AD36441"/>
    </row>
    <row r="36442" spans="30:30" x14ac:dyDescent="0.25">
      <c r="AD36442"/>
    </row>
    <row r="36443" spans="30:30" x14ac:dyDescent="0.25">
      <c r="AD36443"/>
    </row>
    <row r="36444" spans="30:30" x14ac:dyDescent="0.25">
      <c r="AD36444"/>
    </row>
    <row r="36445" spans="30:30" x14ac:dyDescent="0.25">
      <c r="AD36445"/>
    </row>
    <row r="36446" spans="30:30" x14ac:dyDescent="0.25">
      <c r="AD36446"/>
    </row>
    <row r="36447" spans="30:30" x14ac:dyDescent="0.25">
      <c r="AD36447"/>
    </row>
    <row r="36448" spans="30:30" x14ac:dyDescent="0.25">
      <c r="AD36448"/>
    </row>
    <row r="36449" spans="30:30" x14ac:dyDescent="0.25">
      <c r="AD36449"/>
    </row>
    <row r="36450" spans="30:30" x14ac:dyDescent="0.25">
      <c r="AD36450"/>
    </row>
    <row r="36451" spans="30:30" x14ac:dyDescent="0.25">
      <c r="AD36451"/>
    </row>
    <row r="36452" spans="30:30" x14ac:dyDescent="0.25">
      <c r="AD36452"/>
    </row>
    <row r="36453" spans="30:30" x14ac:dyDescent="0.25">
      <c r="AD36453"/>
    </row>
    <row r="36454" spans="30:30" x14ac:dyDescent="0.25">
      <c r="AD36454"/>
    </row>
    <row r="36455" spans="30:30" x14ac:dyDescent="0.25">
      <c r="AD36455"/>
    </row>
    <row r="36456" spans="30:30" x14ac:dyDescent="0.25">
      <c r="AD36456"/>
    </row>
    <row r="36457" spans="30:30" x14ac:dyDescent="0.25">
      <c r="AD36457"/>
    </row>
    <row r="36458" spans="30:30" x14ac:dyDescent="0.25">
      <c r="AD36458"/>
    </row>
    <row r="36459" spans="30:30" x14ac:dyDescent="0.25">
      <c r="AD36459"/>
    </row>
    <row r="36460" spans="30:30" x14ac:dyDescent="0.25">
      <c r="AD36460"/>
    </row>
    <row r="36461" spans="30:30" x14ac:dyDescent="0.25">
      <c r="AD36461"/>
    </row>
    <row r="36462" spans="30:30" x14ac:dyDescent="0.25">
      <c r="AD36462"/>
    </row>
    <row r="36463" spans="30:30" x14ac:dyDescent="0.25">
      <c r="AD36463"/>
    </row>
    <row r="36464" spans="30:30" x14ac:dyDescent="0.25">
      <c r="AD36464"/>
    </row>
    <row r="36465" spans="30:30" x14ac:dyDescent="0.25">
      <c r="AD36465"/>
    </row>
    <row r="36466" spans="30:30" x14ac:dyDescent="0.25">
      <c r="AD36466"/>
    </row>
    <row r="36467" spans="30:30" x14ac:dyDescent="0.25">
      <c r="AD36467"/>
    </row>
    <row r="36468" spans="30:30" x14ac:dyDescent="0.25">
      <c r="AD36468"/>
    </row>
    <row r="36469" spans="30:30" x14ac:dyDescent="0.25">
      <c r="AD36469"/>
    </row>
    <row r="36470" spans="30:30" x14ac:dyDescent="0.25">
      <c r="AD36470"/>
    </row>
    <row r="36471" spans="30:30" x14ac:dyDescent="0.25">
      <c r="AD36471"/>
    </row>
    <row r="36472" spans="30:30" x14ac:dyDescent="0.25">
      <c r="AD36472"/>
    </row>
    <row r="36473" spans="30:30" x14ac:dyDescent="0.25">
      <c r="AD36473"/>
    </row>
    <row r="36474" spans="30:30" x14ac:dyDescent="0.25">
      <c r="AD36474"/>
    </row>
    <row r="36475" spans="30:30" x14ac:dyDescent="0.25">
      <c r="AD36475"/>
    </row>
    <row r="36476" spans="30:30" x14ac:dyDescent="0.25">
      <c r="AD36476"/>
    </row>
    <row r="36477" spans="30:30" x14ac:dyDescent="0.25">
      <c r="AD36477"/>
    </row>
    <row r="36478" spans="30:30" x14ac:dyDescent="0.25">
      <c r="AD36478"/>
    </row>
    <row r="36479" spans="30:30" x14ac:dyDescent="0.25">
      <c r="AD36479"/>
    </row>
    <row r="36480" spans="30:30" x14ac:dyDescent="0.25">
      <c r="AD36480"/>
    </row>
    <row r="36481" spans="30:30" x14ac:dyDescent="0.25">
      <c r="AD36481"/>
    </row>
    <row r="36482" spans="30:30" x14ac:dyDescent="0.25">
      <c r="AD36482"/>
    </row>
    <row r="36483" spans="30:30" x14ac:dyDescent="0.25">
      <c r="AD36483"/>
    </row>
    <row r="36484" spans="30:30" x14ac:dyDescent="0.25">
      <c r="AD36484"/>
    </row>
    <row r="36485" spans="30:30" x14ac:dyDescent="0.25">
      <c r="AD36485"/>
    </row>
    <row r="36486" spans="30:30" x14ac:dyDescent="0.25">
      <c r="AD36486"/>
    </row>
    <row r="36487" spans="30:30" x14ac:dyDescent="0.25">
      <c r="AD36487"/>
    </row>
    <row r="36488" spans="30:30" x14ac:dyDescent="0.25">
      <c r="AD36488"/>
    </row>
    <row r="36489" spans="30:30" x14ac:dyDescent="0.25">
      <c r="AD36489"/>
    </row>
    <row r="36490" spans="30:30" x14ac:dyDescent="0.25">
      <c r="AD36490"/>
    </row>
    <row r="36491" spans="30:30" x14ac:dyDescent="0.25">
      <c r="AD36491"/>
    </row>
    <row r="36492" spans="30:30" x14ac:dyDescent="0.25">
      <c r="AD36492"/>
    </row>
    <row r="36493" spans="30:30" x14ac:dyDescent="0.25">
      <c r="AD36493"/>
    </row>
    <row r="36494" spans="30:30" x14ac:dyDescent="0.25">
      <c r="AD36494"/>
    </row>
    <row r="36495" spans="30:30" x14ac:dyDescent="0.25">
      <c r="AD36495"/>
    </row>
    <row r="36496" spans="30:30" x14ac:dyDescent="0.25">
      <c r="AD36496"/>
    </row>
    <row r="36497" spans="30:30" x14ac:dyDescent="0.25">
      <c r="AD36497"/>
    </row>
    <row r="36498" spans="30:30" x14ac:dyDescent="0.25">
      <c r="AD36498"/>
    </row>
    <row r="36499" spans="30:30" x14ac:dyDescent="0.25">
      <c r="AD36499"/>
    </row>
    <row r="36500" spans="30:30" x14ac:dyDescent="0.25">
      <c r="AD36500"/>
    </row>
    <row r="36501" spans="30:30" x14ac:dyDescent="0.25">
      <c r="AD36501"/>
    </row>
    <row r="36502" spans="30:30" x14ac:dyDescent="0.25">
      <c r="AD36502"/>
    </row>
    <row r="36503" spans="30:30" x14ac:dyDescent="0.25">
      <c r="AD36503"/>
    </row>
    <row r="36504" spans="30:30" x14ac:dyDescent="0.25">
      <c r="AD36504"/>
    </row>
    <row r="36505" spans="30:30" x14ac:dyDescent="0.25">
      <c r="AD36505"/>
    </row>
    <row r="36506" spans="30:30" x14ac:dyDescent="0.25">
      <c r="AD36506"/>
    </row>
    <row r="36507" spans="30:30" x14ac:dyDescent="0.25">
      <c r="AD36507"/>
    </row>
    <row r="36508" spans="30:30" x14ac:dyDescent="0.25">
      <c r="AD36508"/>
    </row>
    <row r="36509" spans="30:30" x14ac:dyDescent="0.25">
      <c r="AD36509"/>
    </row>
    <row r="36510" spans="30:30" x14ac:dyDescent="0.25">
      <c r="AD36510"/>
    </row>
    <row r="36511" spans="30:30" x14ac:dyDescent="0.25">
      <c r="AD36511"/>
    </row>
    <row r="36512" spans="30:30" x14ac:dyDescent="0.25">
      <c r="AD36512"/>
    </row>
    <row r="36513" spans="30:30" x14ac:dyDescent="0.25">
      <c r="AD36513"/>
    </row>
    <row r="36514" spans="30:30" x14ac:dyDescent="0.25">
      <c r="AD36514"/>
    </row>
    <row r="36515" spans="30:30" x14ac:dyDescent="0.25">
      <c r="AD36515"/>
    </row>
    <row r="36516" spans="30:30" x14ac:dyDescent="0.25">
      <c r="AD36516"/>
    </row>
    <row r="36517" spans="30:30" x14ac:dyDescent="0.25">
      <c r="AD36517"/>
    </row>
    <row r="36518" spans="30:30" x14ac:dyDescent="0.25">
      <c r="AD36518"/>
    </row>
    <row r="36519" spans="30:30" x14ac:dyDescent="0.25">
      <c r="AD36519"/>
    </row>
    <row r="36520" spans="30:30" x14ac:dyDescent="0.25">
      <c r="AD36520"/>
    </row>
    <row r="36521" spans="30:30" x14ac:dyDescent="0.25">
      <c r="AD36521"/>
    </row>
    <row r="36522" spans="30:30" x14ac:dyDescent="0.25">
      <c r="AD36522"/>
    </row>
    <row r="36523" spans="30:30" x14ac:dyDescent="0.25">
      <c r="AD36523"/>
    </row>
    <row r="36524" spans="30:30" x14ac:dyDescent="0.25">
      <c r="AD36524"/>
    </row>
    <row r="36525" spans="30:30" x14ac:dyDescent="0.25">
      <c r="AD36525"/>
    </row>
    <row r="36526" spans="30:30" x14ac:dyDescent="0.25">
      <c r="AD36526"/>
    </row>
    <row r="36527" spans="30:30" x14ac:dyDescent="0.25">
      <c r="AD36527"/>
    </row>
    <row r="36528" spans="30:30" x14ac:dyDescent="0.25">
      <c r="AD36528"/>
    </row>
    <row r="36529" spans="30:30" x14ac:dyDescent="0.25">
      <c r="AD36529"/>
    </row>
    <row r="36530" spans="30:30" x14ac:dyDescent="0.25">
      <c r="AD36530"/>
    </row>
    <row r="36531" spans="30:30" x14ac:dyDescent="0.25">
      <c r="AD36531"/>
    </row>
    <row r="36532" spans="30:30" x14ac:dyDescent="0.25">
      <c r="AD36532"/>
    </row>
    <row r="36533" spans="30:30" x14ac:dyDescent="0.25">
      <c r="AD36533"/>
    </row>
    <row r="36534" spans="30:30" x14ac:dyDescent="0.25">
      <c r="AD36534"/>
    </row>
    <row r="36535" spans="30:30" x14ac:dyDescent="0.25">
      <c r="AD36535"/>
    </row>
    <row r="36536" spans="30:30" x14ac:dyDescent="0.25">
      <c r="AD36536"/>
    </row>
    <row r="36537" spans="30:30" x14ac:dyDescent="0.25">
      <c r="AD36537"/>
    </row>
    <row r="36538" spans="30:30" x14ac:dyDescent="0.25">
      <c r="AD36538"/>
    </row>
    <row r="36539" spans="30:30" x14ac:dyDescent="0.25">
      <c r="AD36539"/>
    </row>
    <row r="36540" spans="30:30" x14ac:dyDescent="0.25">
      <c r="AD36540"/>
    </row>
    <row r="36541" spans="30:30" x14ac:dyDescent="0.25">
      <c r="AD36541"/>
    </row>
    <row r="36542" spans="30:30" x14ac:dyDescent="0.25">
      <c r="AD36542"/>
    </row>
    <row r="36543" spans="30:30" x14ac:dyDescent="0.25">
      <c r="AD36543"/>
    </row>
    <row r="36544" spans="30:30" x14ac:dyDescent="0.25">
      <c r="AD36544"/>
    </row>
    <row r="36545" spans="30:30" x14ac:dyDescent="0.25">
      <c r="AD36545"/>
    </row>
    <row r="36546" spans="30:30" x14ac:dyDescent="0.25">
      <c r="AD36546"/>
    </row>
    <row r="36547" spans="30:30" x14ac:dyDescent="0.25">
      <c r="AD36547"/>
    </row>
    <row r="36548" spans="30:30" x14ac:dyDescent="0.25">
      <c r="AD36548"/>
    </row>
    <row r="36549" spans="30:30" x14ac:dyDescent="0.25">
      <c r="AD36549"/>
    </row>
    <row r="36550" spans="30:30" x14ac:dyDescent="0.25">
      <c r="AD36550"/>
    </row>
    <row r="36551" spans="30:30" x14ac:dyDescent="0.25">
      <c r="AD36551"/>
    </row>
    <row r="36552" spans="30:30" x14ac:dyDescent="0.25">
      <c r="AD36552"/>
    </row>
    <row r="36553" spans="30:30" x14ac:dyDescent="0.25">
      <c r="AD36553"/>
    </row>
    <row r="36554" spans="30:30" x14ac:dyDescent="0.25">
      <c r="AD36554"/>
    </row>
    <row r="36555" spans="30:30" x14ac:dyDescent="0.25">
      <c r="AD36555"/>
    </row>
    <row r="36556" spans="30:30" x14ac:dyDescent="0.25">
      <c r="AD36556"/>
    </row>
    <row r="36557" spans="30:30" x14ac:dyDescent="0.25">
      <c r="AD36557"/>
    </row>
    <row r="36558" spans="30:30" x14ac:dyDescent="0.25">
      <c r="AD36558"/>
    </row>
    <row r="36559" spans="30:30" x14ac:dyDescent="0.25">
      <c r="AD36559"/>
    </row>
    <row r="36560" spans="30:30" x14ac:dyDescent="0.25">
      <c r="AD36560"/>
    </row>
    <row r="36561" spans="30:30" x14ac:dyDescent="0.25">
      <c r="AD36561"/>
    </row>
    <row r="36562" spans="30:30" x14ac:dyDescent="0.25">
      <c r="AD36562"/>
    </row>
    <row r="36563" spans="30:30" x14ac:dyDescent="0.25">
      <c r="AD36563"/>
    </row>
    <row r="36564" spans="30:30" x14ac:dyDescent="0.25">
      <c r="AD36564"/>
    </row>
    <row r="36565" spans="30:30" x14ac:dyDescent="0.25">
      <c r="AD36565"/>
    </row>
    <row r="36566" spans="30:30" x14ac:dyDescent="0.25">
      <c r="AD36566"/>
    </row>
    <row r="36567" spans="30:30" x14ac:dyDescent="0.25">
      <c r="AD36567"/>
    </row>
    <row r="36568" spans="30:30" x14ac:dyDescent="0.25">
      <c r="AD36568"/>
    </row>
    <row r="36569" spans="30:30" x14ac:dyDescent="0.25">
      <c r="AD36569"/>
    </row>
    <row r="36570" spans="30:30" x14ac:dyDescent="0.25">
      <c r="AD36570"/>
    </row>
    <row r="36571" spans="30:30" x14ac:dyDescent="0.25">
      <c r="AD36571"/>
    </row>
    <row r="36572" spans="30:30" x14ac:dyDescent="0.25">
      <c r="AD36572"/>
    </row>
    <row r="36573" spans="30:30" x14ac:dyDescent="0.25">
      <c r="AD36573"/>
    </row>
    <row r="36574" spans="30:30" x14ac:dyDescent="0.25">
      <c r="AD36574"/>
    </row>
    <row r="36575" spans="30:30" x14ac:dyDescent="0.25">
      <c r="AD36575"/>
    </row>
    <row r="36576" spans="30:30" x14ac:dyDescent="0.25">
      <c r="AD36576"/>
    </row>
    <row r="36577" spans="30:30" x14ac:dyDescent="0.25">
      <c r="AD36577"/>
    </row>
    <row r="36578" spans="30:30" x14ac:dyDescent="0.25">
      <c r="AD36578"/>
    </row>
    <row r="36579" spans="30:30" x14ac:dyDescent="0.25">
      <c r="AD36579"/>
    </row>
    <row r="36580" spans="30:30" x14ac:dyDescent="0.25">
      <c r="AD36580"/>
    </row>
    <row r="36581" spans="30:30" x14ac:dyDescent="0.25">
      <c r="AD36581"/>
    </row>
    <row r="36582" spans="30:30" x14ac:dyDescent="0.25">
      <c r="AD36582"/>
    </row>
    <row r="36583" spans="30:30" x14ac:dyDescent="0.25">
      <c r="AD36583"/>
    </row>
    <row r="36584" spans="30:30" x14ac:dyDescent="0.25">
      <c r="AD36584"/>
    </row>
    <row r="36585" spans="30:30" x14ac:dyDescent="0.25">
      <c r="AD36585"/>
    </row>
    <row r="36586" spans="30:30" x14ac:dyDescent="0.25">
      <c r="AD36586"/>
    </row>
    <row r="36587" spans="30:30" x14ac:dyDescent="0.25">
      <c r="AD36587"/>
    </row>
    <row r="36588" spans="30:30" x14ac:dyDescent="0.25">
      <c r="AD36588"/>
    </row>
    <row r="36589" spans="30:30" x14ac:dyDescent="0.25">
      <c r="AD36589"/>
    </row>
    <row r="36590" spans="30:30" x14ac:dyDescent="0.25">
      <c r="AD36590"/>
    </row>
    <row r="36591" spans="30:30" x14ac:dyDescent="0.25">
      <c r="AD36591"/>
    </row>
    <row r="36592" spans="30:30" x14ac:dyDescent="0.25">
      <c r="AD36592"/>
    </row>
    <row r="36593" spans="30:30" x14ac:dyDescent="0.25">
      <c r="AD36593"/>
    </row>
    <row r="36594" spans="30:30" x14ac:dyDescent="0.25">
      <c r="AD36594"/>
    </row>
    <row r="36595" spans="30:30" x14ac:dyDescent="0.25">
      <c r="AD36595"/>
    </row>
    <row r="36596" spans="30:30" x14ac:dyDescent="0.25">
      <c r="AD36596"/>
    </row>
    <row r="36597" spans="30:30" x14ac:dyDescent="0.25">
      <c r="AD36597"/>
    </row>
    <row r="36598" spans="30:30" x14ac:dyDescent="0.25">
      <c r="AD36598"/>
    </row>
    <row r="36599" spans="30:30" x14ac:dyDescent="0.25">
      <c r="AD36599"/>
    </row>
    <row r="36600" spans="30:30" x14ac:dyDescent="0.25">
      <c r="AD36600"/>
    </row>
    <row r="36601" spans="30:30" x14ac:dyDescent="0.25">
      <c r="AD36601"/>
    </row>
    <row r="36602" spans="30:30" x14ac:dyDescent="0.25">
      <c r="AD36602"/>
    </row>
    <row r="36603" spans="30:30" x14ac:dyDescent="0.25">
      <c r="AD36603"/>
    </row>
    <row r="36604" spans="30:30" x14ac:dyDescent="0.25">
      <c r="AD36604"/>
    </row>
    <row r="36605" spans="30:30" x14ac:dyDescent="0.25">
      <c r="AD36605"/>
    </row>
    <row r="36606" spans="30:30" x14ac:dyDescent="0.25">
      <c r="AD36606"/>
    </row>
    <row r="36607" spans="30:30" x14ac:dyDescent="0.25">
      <c r="AD36607"/>
    </row>
    <row r="36608" spans="30:30" x14ac:dyDescent="0.25">
      <c r="AD36608"/>
    </row>
    <row r="36609" spans="30:30" x14ac:dyDescent="0.25">
      <c r="AD36609"/>
    </row>
    <row r="36610" spans="30:30" x14ac:dyDescent="0.25">
      <c r="AD36610"/>
    </row>
    <row r="36611" spans="30:30" x14ac:dyDescent="0.25">
      <c r="AD36611"/>
    </row>
    <row r="36612" spans="30:30" x14ac:dyDescent="0.25">
      <c r="AD36612"/>
    </row>
    <row r="36613" spans="30:30" x14ac:dyDescent="0.25">
      <c r="AD36613"/>
    </row>
    <row r="36614" spans="30:30" x14ac:dyDescent="0.25">
      <c r="AD36614"/>
    </row>
    <row r="36615" spans="30:30" x14ac:dyDescent="0.25">
      <c r="AD36615"/>
    </row>
    <row r="36616" spans="30:30" x14ac:dyDescent="0.25">
      <c r="AD36616"/>
    </row>
    <row r="36617" spans="30:30" x14ac:dyDescent="0.25">
      <c r="AD36617"/>
    </row>
    <row r="36618" spans="30:30" x14ac:dyDescent="0.25">
      <c r="AD36618"/>
    </row>
    <row r="36619" spans="30:30" x14ac:dyDescent="0.25">
      <c r="AD36619"/>
    </row>
    <row r="36620" spans="30:30" x14ac:dyDescent="0.25">
      <c r="AD36620"/>
    </row>
    <row r="36621" spans="30:30" x14ac:dyDescent="0.25">
      <c r="AD36621"/>
    </row>
    <row r="36622" spans="30:30" x14ac:dyDescent="0.25">
      <c r="AD36622"/>
    </row>
    <row r="36623" spans="30:30" x14ac:dyDescent="0.25">
      <c r="AD36623"/>
    </row>
    <row r="36624" spans="30:30" x14ac:dyDescent="0.25">
      <c r="AD36624"/>
    </row>
    <row r="36625" spans="30:30" x14ac:dyDescent="0.25">
      <c r="AD36625"/>
    </row>
    <row r="36626" spans="30:30" x14ac:dyDescent="0.25">
      <c r="AD36626"/>
    </row>
    <row r="36627" spans="30:30" x14ac:dyDescent="0.25">
      <c r="AD36627"/>
    </row>
    <row r="36628" spans="30:30" x14ac:dyDescent="0.25">
      <c r="AD36628"/>
    </row>
    <row r="36629" spans="30:30" x14ac:dyDescent="0.25">
      <c r="AD36629"/>
    </row>
    <row r="36630" spans="30:30" x14ac:dyDescent="0.25">
      <c r="AD36630"/>
    </row>
    <row r="36631" spans="30:30" x14ac:dyDescent="0.25">
      <c r="AD36631"/>
    </row>
    <row r="36632" spans="30:30" x14ac:dyDescent="0.25">
      <c r="AD36632"/>
    </row>
    <row r="36633" spans="30:30" x14ac:dyDescent="0.25">
      <c r="AD36633"/>
    </row>
    <row r="36634" spans="30:30" x14ac:dyDescent="0.25">
      <c r="AD36634"/>
    </row>
    <row r="36635" spans="30:30" x14ac:dyDescent="0.25">
      <c r="AD36635"/>
    </row>
    <row r="36636" spans="30:30" x14ac:dyDescent="0.25">
      <c r="AD36636"/>
    </row>
    <row r="36637" spans="30:30" x14ac:dyDescent="0.25">
      <c r="AD36637"/>
    </row>
    <row r="36638" spans="30:30" x14ac:dyDescent="0.25">
      <c r="AD36638"/>
    </row>
    <row r="36639" spans="30:30" x14ac:dyDescent="0.25">
      <c r="AD36639"/>
    </row>
    <row r="36640" spans="30:30" x14ac:dyDescent="0.25">
      <c r="AD36640"/>
    </row>
    <row r="36641" spans="30:30" x14ac:dyDescent="0.25">
      <c r="AD36641"/>
    </row>
    <row r="36642" spans="30:30" x14ac:dyDescent="0.25">
      <c r="AD36642"/>
    </row>
    <row r="36643" spans="30:30" x14ac:dyDescent="0.25">
      <c r="AD36643"/>
    </row>
    <row r="36644" spans="30:30" x14ac:dyDescent="0.25">
      <c r="AD36644"/>
    </row>
    <row r="36645" spans="30:30" x14ac:dyDescent="0.25">
      <c r="AD36645"/>
    </row>
    <row r="36646" spans="30:30" x14ac:dyDescent="0.25">
      <c r="AD36646"/>
    </row>
    <row r="36647" spans="30:30" x14ac:dyDescent="0.25">
      <c r="AD36647"/>
    </row>
    <row r="36648" spans="30:30" x14ac:dyDescent="0.25">
      <c r="AD36648"/>
    </row>
    <row r="36649" spans="30:30" x14ac:dyDescent="0.25">
      <c r="AD36649"/>
    </row>
    <row r="36650" spans="30:30" x14ac:dyDescent="0.25">
      <c r="AD36650"/>
    </row>
    <row r="36651" spans="30:30" x14ac:dyDescent="0.25">
      <c r="AD36651"/>
    </row>
    <row r="36652" spans="30:30" x14ac:dyDescent="0.25">
      <c r="AD36652"/>
    </row>
    <row r="36653" spans="30:30" x14ac:dyDescent="0.25">
      <c r="AD36653"/>
    </row>
    <row r="36654" spans="30:30" x14ac:dyDescent="0.25">
      <c r="AD36654"/>
    </row>
    <row r="36655" spans="30:30" x14ac:dyDescent="0.25">
      <c r="AD36655"/>
    </row>
    <row r="36656" spans="30:30" x14ac:dyDescent="0.25">
      <c r="AD36656"/>
    </row>
    <row r="36657" spans="30:30" x14ac:dyDescent="0.25">
      <c r="AD36657"/>
    </row>
    <row r="36658" spans="30:30" x14ac:dyDescent="0.25">
      <c r="AD36658"/>
    </row>
    <row r="36659" spans="30:30" x14ac:dyDescent="0.25">
      <c r="AD36659"/>
    </row>
    <row r="36660" spans="30:30" x14ac:dyDescent="0.25">
      <c r="AD36660"/>
    </row>
    <row r="36661" spans="30:30" x14ac:dyDescent="0.25">
      <c r="AD36661"/>
    </row>
    <row r="36662" spans="30:30" x14ac:dyDescent="0.25">
      <c r="AD36662"/>
    </row>
    <row r="36663" spans="30:30" x14ac:dyDescent="0.25">
      <c r="AD36663"/>
    </row>
    <row r="36664" spans="30:30" x14ac:dyDescent="0.25">
      <c r="AD36664"/>
    </row>
    <row r="36665" spans="30:30" x14ac:dyDescent="0.25">
      <c r="AD36665"/>
    </row>
    <row r="36666" spans="30:30" x14ac:dyDescent="0.25">
      <c r="AD36666"/>
    </row>
    <row r="36667" spans="30:30" x14ac:dyDescent="0.25">
      <c r="AD36667"/>
    </row>
    <row r="36668" spans="30:30" x14ac:dyDescent="0.25">
      <c r="AD36668"/>
    </row>
    <row r="36669" spans="30:30" x14ac:dyDescent="0.25">
      <c r="AD36669"/>
    </row>
    <row r="36670" spans="30:30" x14ac:dyDescent="0.25">
      <c r="AD36670"/>
    </row>
    <row r="36671" spans="30:30" x14ac:dyDescent="0.25">
      <c r="AD36671"/>
    </row>
    <row r="36672" spans="30:30" x14ac:dyDescent="0.25">
      <c r="AD36672"/>
    </row>
    <row r="36673" spans="30:30" x14ac:dyDescent="0.25">
      <c r="AD36673"/>
    </row>
    <row r="36674" spans="30:30" x14ac:dyDescent="0.25">
      <c r="AD36674"/>
    </row>
    <row r="36675" spans="30:30" x14ac:dyDescent="0.25">
      <c r="AD36675"/>
    </row>
    <row r="36676" spans="30:30" x14ac:dyDescent="0.25">
      <c r="AD36676"/>
    </row>
    <row r="36677" spans="30:30" x14ac:dyDescent="0.25">
      <c r="AD36677"/>
    </row>
    <row r="36678" spans="30:30" x14ac:dyDescent="0.25">
      <c r="AD36678"/>
    </row>
    <row r="36679" spans="30:30" x14ac:dyDescent="0.25">
      <c r="AD36679"/>
    </row>
    <row r="36680" spans="30:30" x14ac:dyDescent="0.25">
      <c r="AD36680"/>
    </row>
    <row r="36681" spans="30:30" x14ac:dyDescent="0.25">
      <c r="AD36681"/>
    </row>
    <row r="36682" spans="30:30" x14ac:dyDescent="0.25">
      <c r="AD36682"/>
    </row>
    <row r="36683" spans="30:30" x14ac:dyDescent="0.25">
      <c r="AD36683"/>
    </row>
    <row r="36684" spans="30:30" x14ac:dyDescent="0.25">
      <c r="AD36684"/>
    </row>
    <row r="36685" spans="30:30" x14ac:dyDescent="0.25">
      <c r="AD36685"/>
    </row>
    <row r="36686" spans="30:30" x14ac:dyDescent="0.25">
      <c r="AD36686"/>
    </row>
    <row r="36687" spans="30:30" x14ac:dyDescent="0.25">
      <c r="AD36687"/>
    </row>
    <row r="36688" spans="30:30" x14ac:dyDescent="0.25">
      <c r="AD36688"/>
    </row>
    <row r="36689" spans="30:30" x14ac:dyDescent="0.25">
      <c r="AD36689"/>
    </row>
    <row r="36690" spans="30:30" x14ac:dyDescent="0.25">
      <c r="AD36690"/>
    </row>
    <row r="36691" spans="30:30" x14ac:dyDescent="0.25">
      <c r="AD36691"/>
    </row>
    <row r="36692" spans="30:30" x14ac:dyDescent="0.25">
      <c r="AD36692"/>
    </row>
    <row r="36693" spans="30:30" x14ac:dyDescent="0.25">
      <c r="AD36693"/>
    </row>
    <row r="36694" spans="30:30" x14ac:dyDescent="0.25">
      <c r="AD36694"/>
    </row>
    <row r="36695" spans="30:30" x14ac:dyDescent="0.25">
      <c r="AD36695"/>
    </row>
    <row r="36696" spans="30:30" x14ac:dyDescent="0.25">
      <c r="AD36696"/>
    </row>
    <row r="36697" spans="30:30" x14ac:dyDescent="0.25">
      <c r="AD36697"/>
    </row>
    <row r="36698" spans="30:30" x14ac:dyDescent="0.25">
      <c r="AD36698"/>
    </row>
    <row r="36699" spans="30:30" x14ac:dyDescent="0.25">
      <c r="AD36699"/>
    </row>
    <row r="36700" spans="30:30" x14ac:dyDescent="0.25">
      <c r="AD36700"/>
    </row>
    <row r="36701" spans="30:30" x14ac:dyDescent="0.25">
      <c r="AD36701"/>
    </row>
    <row r="36702" spans="30:30" x14ac:dyDescent="0.25">
      <c r="AD36702"/>
    </row>
    <row r="36703" spans="30:30" x14ac:dyDescent="0.25">
      <c r="AD36703"/>
    </row>
    <row r="36704" spans="30:30" x14ac:dyDescent="0.25">
      <c r="AD36704"/>
    </row>
    <row r="36705" spans="30:30" x14ac:dyDescent="0.25">
      <c r="AD36705"/>
    </row>
    <row r="36706" spans="30:30" x14ac:dyDescent="0.25">
      <c r="AD36706"/>
    </row>
    <row r="36707" spans="30:30" x14ac:dyDescent="0.25">
      <c r="AD36707"/>
    </row>
    <row r="36708" spans="30:30" x14ac:dyDescent="0.25">
      <c r="AD36708"/>
    </row>
    <row r="36709" spans="30:30" x14ac:dyDescent="0.25">
      <c r="AD36709"/>
    </row>
    <row r="36710" spans="30:30" x14ac:dyDescent="0.25">
      <c r="AD36710"/>
    </row>
    <row r="36711" spans="30:30" x14ac:dyDescent="0.25">
      <c r="AD36711"/>
    </row>
    <row r="36712" spans="30:30" x14ac:dyDescent="0.25">
      <c r="AD36712"/>
    </row>
    <row r="36713" spans="30:30" x14ac:dyDescent="0.25">
      <c r="AD36713"/>
    </row>
    <row r="36714" spans="30:30" x14ac:dyDescent="0.25">
      <c r="AD36714"/>
    </row>
    <row r="36715" spans="30:30" x14ac:dyDescent="0.25">
      <c r="AD36715"/>
    </row>
    <row r="36716" spans="30:30" x14ac:dyDescent="0.25">
      <c r="AD36716"/>
    </row>
    <row r="36717" spans="30:30" x14ac:dyDescent="0.25">
      <c r="AD36717"/>
    </row>
    <row r="36718" spans="30:30" x14ac:dyDescent="0.25">
      <c r="AD36718"/>
    </row>
    <row r="36719" spans="30:30" x14ac:dyDescent="0.25">
      <c r="AD36719"/>
    </row>
    <row r="36720" spans="30:30" x14ac:dyDescent="0.25">
      <c r="AD36720"/>
    </row>
    <row r="36721" spans="30:30" x14ac:dyDescent="0.25">
      <c r="AD36721"/>
    </row>
    <row r="36722" spans="30:30" x14ac:dyDescent="0.25">
      <c r="AD36722"/>
    </row>
    <row r="36723" spans="30:30" x14ac:dyDescent="0.25">
      <c r="AD36723"/>
    </row>
    <row r="36724" spans="30:30" x14ac:dyDescent="0.25">
      <c r="AD36724"/>
    </row>
    <row r="36725" spans="30:30" x14ac:dyDescent="0.25">
      <c r="AD36725"/>
    </row>
    <row r="36726" spans="30:30" x14ac:dyDescent="0.25">
      <c r="AD36726"/>
    </row>
    <row r="36727" spans="30:30" x14ac:dyDescent="0.25">
      <c r="AD36727"/>
    </row>
    <row r="36728" spans="30:30" x14ac:dyDescent="0.25">
      <c r="AD36728"/>
    </row>
    <row r="36729" spans="30:30" x14ac:dyDescent="0.25">
      <c r="AD36729"/>
    </row>
    <row r="36730" spans="30:30" x14ac:dyDescent="0.25">
      <c r="AD36730"/>
    </row>
    <row r="36731" spans="30:30" x14ac:dyDescent="0.25">
      <c r="AD36731"/>
    </row>
    <row r="36732" spans="30:30" x14ac:dyDescent="0.25">
      <c r="AD36732"/>
    </row>
    <row r="36733" spans="30:30" x14ac:dyDescent="0.25">
      <c r="AD36733"/>
    </row>
    <row r="36734" spans="30:30" x14ac:dyDescent="0.25">
      <c r="AD36734"/>
    </row>
    <row r="36735" spans="30:30" x14ac:dyDescent="0.25">
      <c r="AD36735"/>
    </row>
    <row r="36736" spans="30:30" x14ac:dyDescent="0.25">
      <c r="AD36736"/>
    </row>
    <row r="36737" spans="30:30" x14ac:dyDescent="0.25">
      <c r="AD36737"/>
    </row>
    <row r="36738" spans="30:30" x14ac:dyDescent="0.25">
      <c r="AD36738"/>
    </row>
    <row r="36739" spans="30:30" x14ac:dyDescent="0.25">
      <c r="AD36739"/>
    </row>
    <row r="36740" spans="30:30" x14ac:dyDescent="0.25">
      <c r="AD36740"/>
    </row>
    <row r="36741" spans="30:30" x14ac:dyDescent="0.25">
      <c r="AD36741"/>
    </row>
    <row r="36742" spans="30:30" x14ac:dyDescent="0.25">
      <c r="AD36742"/>
    </row>
    <row r="36743" spans="30:30" x14ac:dyDescent="0.25">
      <c r="AD36743"/>
    </row>
    <row r="36744" spans="30:30" x14ac:dyDescent="0.25">
      <c r="AD36744"/>
    </row>
    <row r="36745" spans="30:30" x14ac:dyDescent="0.25">
      <c r="AD36745"/>
    </row>
    <row r="36746" spans="30:30" x14ac:dyDescent="0.25">
      <c r="AD36746"/>
    </row>
    <row r="36747" spans="30:30" x14ac:dyDescent="0.25">
      <c r="AD36747"/>
    </row>
    <row r="36748" spans="30:30" x14ac:dyDescent="0.25">
      <c r="AD36748"/>
    </row>
    <row r="36749" spans="30:30" x14ac:dyDescent="0.25">
      <c r="AD36749"/>
    </row>
    <row r="36750" spans="30:30" x14ac:dyDescent="0.25">
      <c r="AD36750"/>
    </row>
    <row r="36751" spans="30:30" x14ac:dyDescent="0.25">
      <c r="AD36751"/>
    </row>
    <row r="36752" spans="30:30" x14ac:dyDescent="0.25">
      <c r="AD36752"/>
    </row>
    <row r="36753" spans="30:30" x14ac:dyDescent="0.25">
      <c r="AD36753"/>
    </row>
    <row r="36754" spans="30:30" x14ac:dyDescent="0.25">
      <c r="AD36754"/>
    </row>
    <row r="36755" spans="30:30" x14ac:dyDescent="0.25">
      <c r="AD36755"/>
    </row>
    <row r="36756" spans="30:30" x14ac:dyDescent="0.25">
      <c r="AD36756"/>
    </row>
    <row r="36757" spans="30:30" x14ac:dyDescent="0.25">
      <c r="AD36757"/>
    </row>
    <row r="36758" spans="30:30" x14ac:dyDescent="0.25">
      <c r="AD36758"/>
    </row>
    <row r="36759" spans="30:30" x14ac:dyDescent="0.25">
      <c r="AD36759"/>
    </row>
    <row r="36760" spans="30:30" x14ac:dyDescent="0.25">
      <c r="AD36760"/>
    </row>
    <row r="36761" spans="30:30" x14ac:dyDescent="0.25">
      <c r="AD36761"/>
    </row>
    <row r="36762" spans="30:30" x14ac:dyDescent="0.25">
      <c r="AD36762"/>
    </row>
    <row r="36763" spans="30:30" x14ac:dyDescent="0.25">
      <c r="AD36763"/>
    </row>
    <row r="36764" spans="30:30" x14ac:dyDescent="0.25">
      <c r="AD36764"/>
    </row>
    <row r="36765" spans="30:30" x14ac:dyDescent="0.25">
      <c r="AD36765"/>
    </row>
    <row r="36766" spans="30:30" x14ac:dyDescent="0.25">
      <c r="AD36766"/>
    </row>
    <row r="36767" spans="30:30" x14ac:dyDescent="0.25">
      <c r="AD36767"/>
    </row>
    <row r="36768" spans="30:30" x14ac:dyDescent="0.25">
      <c r="AD36768"/>
    </row>
    <row r="36769" spans="30:30" x14ac:dyDescent="0.25">
      <c r="AD36769"/>
    </row>
    <row r="36770" spans="30:30" x14ac:dyDescent="0.25">
      <c r="AD36770"/>
    </row>
    <row r="36771" spans="30:30" x14ac:dyDescent="0.25">
      <c r="AD36771"/>
    </row>
    <row r="36772" spans="30:30" x14ac:dyDescent="0.25">
      <c r="AD36772"/>
    </row>
    <row r="36773" spans="30:30" x14ac:dyDescent="0.25">
      <c r="AD36773"/>
    </row>
    <row r="36774" spans="30:30" x14ac:dyDescent="0.25">
      <c r="AD36774"/>
    </row>
    <row r="36775" spans="30:30" x14ac:dyDescent="0.25">
      <c r="AD36775"/>
    </row>
    <row r="36776" spans="30:30" x14ac:dyDescent="0.25">
      <c r="AD36776"/>
    </row>
    <row r="36777" spans="30:30" x14ac:dyDescent="0.25">
      <c r="AD36777"/>
    </row>
    <row r="36778" spans="30:30" x14ac:dyDescent="0.25">
      <c r="AD36778"/>
    </row>
    <row r="36779" spans="30:30" x14ac:dyDescent="0.25">
      <c r="AD36779"/>
    </row>
    <row r="36780" spans="30:30" x14ac:dyDescent="0.25">
      <c r="AD36780"/>
    </row>
    <row r="36781" spans="30:30" x14ac:dyDescent="0.25">
      <c r="AD36781"/>
    </row>
    <row r="36782" spans="30:30" x14ac:dyDescent="0.25">
      <c r="AD36782"/>
    </row>
    <row r="36783" spans="30:30" x14ac:dyDescent="0.25">
      <c r="AD36783"/>
    </row>
    <row r="36784" spans="30:30" x14ac:dyDescent="0.25">
      <c r="AD36784"/>
    </row>
    <row r="36785" spans="30:30" x14ac:dyDescent="0.25">
      <c r="AD36785"/>
    </row>
    <row r="36786" spans="30:30" x14ac:dyDescent="0.25">
      <c r="AD36786"/>
    </row>
    <row r="36787" spans="30:30" x14ac:dyDescent="0.25">
      <c r="AD36787"/>
    </row>
    <row r="36788" spans="30:30" x14ac:dyDescent="0.25">
      <c r="AD36788"/>
    </row>
    <row r="36789" spans="30:30" x14ac:dyDescent="0.25">
      <c r="AD36789"/>
    </row>
    <row r="36790" spans="30:30" x14ac:dyDescent="0.25">
      <c r="AD36790"/>
    </row>
    <row r="36791" spans="30:30" x14ac:dyDescent="0.25">
      <c r="AD36791"/>
    </row>
    <row r="36792" spans="30:30" x14ac:dyDescent="0.25">
      <c r="AD36792"/>
    </row>
    <row r="36793" spans="30:30" x14ac:dyDescent="0.25">
      <c r="AD36793"/>
    </row>
    <row r="36794" spans="30:30" x14ac:dyDescent="0.25">
      <c r="AD36794"/>
    </row>
    <row r="36795" spans="30:30" x14ac:dyDescent="0.25">
      <c r="AD36795"/>
    </row>
    <row r="36796" spans="30:30" x14ac:dyDescent="0.25">
      <c r="AD36796"/>
    </row>
    <row r="36797" spans="30:30" x14ac:dyDescent="0.25">
      <c r="AD36797"/>
    </row>
    <row r="36798" spans="30:30" x14ac:dyDescent="0.25">
      <c r="AD36798"/>
    </row>
    <row r="36799" spans="30:30" x14ac:dyDescent="0.25">
      <c r="AD36799"/>
    </row>
    <row r="36800" spans="30:30" x14ac:dyDescent="0.25">
      <c r="AD36800"/>
    </row>
    <row r="36801" spans="30:30" x14ac:dyDescent="0.25">
      <c r="AD36801"/>
    </row>
    <row r="36802" spans="30:30" x14ac:dyDescent="0.25">
      <c r="AD36802"/>
    </row>
    <row r="36803" spans="30:30" x14ac:dyDescent="0.25">
      <c r="AD36803"/>
    </row>
    <row r="36804" spans="30:30" x14ac:dyDescent="0.25">
      <c r="AD36804"/>
    </row>
    <row r="36805" spans="30:30" x14ac:dyDescent="0.25">
      <c r="AD36805"/>
    </row>
    <row r="36806" spans="30:30" x14ac:dyDescent="0.25">
      <c r="AD36806"/>
    </row>
    <row r="36807" spans="30:30" x14ac:dyDescent="0.25">
      <c r="AD36807"/>
    </row>
    <row r="36808" spans="30:30" x14ac:dyDescent="0.25">
      <c r="AD36808"/>
    </row>
    <row r="36809" spans="30:30" x14ac:dyDescent="0.25">
      <c r="AD36809"/>
    </row>
    <row r="36810" spans="30:30" x14ac:dyDescent="0.25">
      <c r="AD36810"/>
    </row>
    <row r="36811" spans="30:30" x14ac:dyDescent="0.25">
      <c r="AD36811"/>
    </row>
    <row r="36812" spans="30:30" x14ac:dyDescent="0.25">
      <c r="AD36812"/>
    </row>
    <row r="36813" spans="30:30" x14ac:dyDescent="0.25">
      <c r="AD36813"/>
    </row>
    <row r="36814" spans="30:30" x14ac:dyDescent="0.25">
      <c r="AD36814"/>
    </row>
    <row r="36815" spans="30:30" x14ac:dyDescent="0.25">
      <c r="AD36815"/>
    </row>
    <row r="36816" spans="30:30" x14ac:dyDescent="0.25">
      <c r="AD36816"/>
    </row>
    <row r="36817" spans="30:30" x14ac:dyDescent="0.25">
      <c r="AD36817"/>
    </row>
    <row r="36818" spans="30:30" x14ac:dyDescent="0.25">
      <c r="AD36818"/>
    </row>
    <row r="36819" spans="30:30" x14ac:dyDescent="0.25">
      <c r="AD36819"/>
    </row>
    <row r="36820" spans="30:30" x14ac:dyDescent="0.25">
      <c r="AD36820"/>
    </row>
    <row r="36821" spans="30:30" x14ac:dyDescent="0.25">
      <c r="AD36821"/>
    </row>
    <row r="36822" spans="30:30" x14ac:dyDescent="0.25">
      <c r="AD36822"/>
    </row>
    <row r="36823" spans="30:30" x14ac:dyDescent="0.25">
      <c r="AD36823"/>
    </row>
    <row r="36824" spans="30:30" x14ac:dyDescent="0.25">
      <c r="AD36824"/>
    </row>
    <row r="36825" spans="30:30" x14ac:dyDescent="0.25">
      <c r="AD36825"/>
    </row>
    <row r="36826" spans="30:30" x14ac:dyDescent="0.25">
      <c r="AD36826"/>
    </row>
    <row r="36827" spans="30:30" x14ac:dyDescent="0.25">
      <c r="AD36827"/>
    </row>
    <row r="36828" spans="30:30" x14ac:dyDescent="0.25">
      <c r="AD36828"/>
    </row>
    <row r="36829" spans="30:30" x14ac:dyDescent="0.25">
      <c r="AD36829"/>
    </row>
    <row r="36830" spans="30:30" x14ac:dyDescent="0.25">
      <c r="AD36830"/>
    </row>
    <row r="36831" spans="30:30" x14ac:dyDescent="0.25">
      <c r="AD36831"/>
    </row>
    <row r="36832" spans="30:30" x14ac:dyDescent="0.25">
      <c r="AD36832"/>
    </row>
    <row r="36833" spans="30:30" x14ac:dyDescent="0.25">
      <c r="AD36833"/>
    </row>
    <row r="36834" spans="30:30" x14ac:dyDescent="0.25">
      <c r="AD36834"/>
    </row>
    <row r="36835" spans="30:30" x14ac:dyDescent="0.25">
      <c r="AD36835"/>
    </row>
    <row r="36836" spans="30:30" x14ac:dyDescent="0.25">
      <c r="AD36836"/>
    </row>
    <row r="36837" spans="30:30" x14ac:dyDescent="0.25">
      <c r="AD36837"/>
    </row>
    <row r="36838" spans="30:30" x14ac:dyDescent="0.25">
      <c r="AD36838"/>
    </row>
    <row r="36839" spans="30:30" x14ac:dyDescent="0.25">
      <c r="AD36839"/>
    </row>
    <row r="36840" spans="30:30" x14ac:dyDescent="0.25">
      <c r="AD36840"/>
    </row>
    <row r="36841" spans="30:30" x14ac:dyDescent="0.25">
      <c r="AD36841"/>
    </row>
    <row r="36842" spans="30:30" x14ac:dyDescent="0.25">
      <c r="AD36842"/>
    </row>
    <row r="36843" spans="30:30" x14ac:dyDescent="0.25">
      <c r="AD36843"/>
    </row>
    <row r="36844" spans="30:30" x14ac:dyDescent="0.25">
      <c r="AD36844"/>
    </row>
    <row r="36845" spans="30:30" x14ac:dyDescent="0.25">
      <c r="AD36845"/>
    </row>
    <row r="36846" spans="30:30" x14ac:dyDescent="0.25">
      <c r="AD36846"/>
    </row>
    <row r="36847" spans="30:30" x14ac:dyDescent="0.25">
      <c r="AD36847"/>
    </row>
    <row r="36848" spans="30:30" x14ac:dyDescent="0.25">
      <c r="AD36848"/>
    </row>
    <row r="36849" spans="30:30" x14ac:dyDescent="0.25">
      <c r="AD36849"/>
    </row>
    <row r="36850" spans="30:30" x14ac:dyDescent="0.25">
      <c r="AD36850"/>
    </row>
    <row r="36851" spans="30:30" x14ac:dyDescent="0.25">
      <c r="AD36851"/>
    </row>
    <row r="36852" spans="30:30" x14ac:dyDescent="0.25">
      <c r="AD36852"/>
    </row>
    <row r="36853" spans="30:30" x14ac:dyDescent="0.25">
      <c r="AD36853"/>
    </row>
    <row r="36854" spans="30:30" x14ac:dyDescent="0.25">
      <c r="AD36854"/>
    </row>
    <row r="36855" spans="30:30" x14ac:dyDescent="0.25">
      <c r="AD36855"/>
    </row>
    <row r="36856" spans="30:30" x14ac:dyDescent="0.25">
      <c r="AD36856"/>
    </row>
    <row r="36857" spans="30:30" x14ac:dyDescent="0.25">
      <c r="AD36857"/>
    </row>
    <row r="36858" spans="30:30" x14ac:dyDescent="0.25">
      <c r="AD36858"/>
    </row>
    <row r="36859" spans="30:30" x14ac:dyDescent="0.25">
      <c r="AD36859"/>
    </row>
    <row r="36860" spans="30:30" x14ac:dyDescent="0.25">
      <c r="AD36860"/>
    </row>
    <row r="36861" spans="30:30" x14ac:dyDescent="0.25">
      <c r="AD36861"/>
    </row>
    <row r="36862" spans="30:30" x14ac:dyDescent="0.25">
      <c r="AD36862"/>
    </row>
    <row r="36863" spans="30:30" x14ac:dyDescent="0.25">
      <c r="AD36863"/>
    </row>
    <row r="36864" spans="30:30" x14ac:dyDescent="0.25">
      <c r="AD36864"/>
    </row>
    <row r="36865" spans="30:30" x14ac:dyDescent="0.25">
      <c r="AD36865"/>
    </row>
    <row r="36866" spans="30:30" x14ac:dyDescent="0.25">
      <c r="AD36866"/>
    </row>
    <row r="36867" spans="30:30" x14ac:dyDescent="0.25">
      <c r="AD36867"/>
    </row>
    <row r="36868" spans="30:30" x14ac:dyDescent="0.25">
      <c r="AD36868"/>
    </row>
    <row r="36869" spans="30:30" x14ac:dyDescent="0.25">
      <c r="AD36869"/>
    </row>
    <row r="36870" spans="30:30" x14ac:dyDescent="0.25">
      <c r="AD36870"/>
    </row>
    <row r="36871" spans="30:30" x14ac:dyDescent="0.25">
      <c r="AD36871"/>
    </row>
    <row r="36872" spans="30:30" x14ac:dyDescent="0.25">
      <c r="AD36872"/>
    </row>
    <row r="36873" spans="30:30" x14ac:dyDescent="0.25">
      <c r="AD36873"/>
    </row>
    <row r="36874" spans="30:30" x14ac:dyDescent="0.25">
      <c r="AD36874"/>
    </row>
    <row r="36875" spans="30:30" x14ac:dyDescent="0.25">
      <c r="AD36875"/>
    </row>
    <row r="36876" spans="30:30" x14ac:dyDescent="0.25">
      <c r="AD36876"/>
    </row>
    <row r="36877" spans="30:30" x14ac:dyDescent="0.25">
      <c r="AD36877"/>
    </row>
    <row r="36878" spans="30:30" x14ac:dyDescent="0.25">
      <c r="AD36878"/>
    </row>
    <row r="36879" spans="30:30" x14ac:dyDescent="0.25">
      <c r="AD36879"/>
    </row>
    <row r="36880" spans="30:30" x14ac:dyDescent="0.25">
      <c r="AD36880"/>
    </row>
    <row r="36881" spans="30:30" x14ac:dyDescent="0.25">
      <c r="AD36881"/>
    </row>
    <row r="36882" spans="30:30" x14ac:dyDescent="0.25">
      <c r="AD36882"/>
    </row>
    <row r="36883" spans="30:30" x14ac:dyDescent="0.25">
      <c r="AD36883"/>
    </row>
    <row r="36884" spans="30:30" x14ac:dyDescent="0.25">
      <c r="AD36884"/>
    </row>
    <row r="36885" spans="30:30" x14ac:dyDescent="0.25">
      <c r="AD36885"/>
    </row>
    <row r="36886" spans="30:30" x14ac:dyDescent="0.25">
      <c r="AD36886"/>
    </row>
    <row r="36887" spans="30:30" x14ac:dyDescent="0.25">
      <c r="AD36887"/>
    </row>
    <row r="36888" spans="30:30" x14ac:dyDescent="0.25">
      <c r="AD36888"/>
    </row>
    <row r="36889" spans="30:30" x14ac:dyDescent="0.25">
      <c r="AD36889"/>
    </row>
    <row r="36890" spans="30:30" x14ac:dyDescent="0.25">
      <c r="AD36890"/>
    </row>
    <row r="36891" spans="30:30" x14ac:dyDescent="0.25">
      <c r="AD36891"/>
    </row>
    <row r="36892" spans="30:30" x14ac:dyDescent="0.25">
      <c r="AD36892"/>
    </row>
    <row r="36893" spans="30:30" x14ac:dyDescent="0.25">
      <c r="AD36893"/>
    </row>
    <row r="36894" spans="30:30" x14ac:dyDescent="0.25">
      <c r="AD36894"/>
    </row>
    <row r="36895" spans="30:30" x14ac:dyDescent="0.25">
      <c r="AD36895"/>
    </row>
    <row r="36896" spans="30:30" x14ac:dyDescent="0.25">
      <c r="AD36896"/>
    </row>
    <row r="36897" spans="30:30" x14ac:dyDescent="0.25">
      <c r="AD36897"/>
    </row>
    <row r="36898" spans="30:30" x14ac:dyDescent="0.25">
      <c r="AD36898"/>
    </row>
    <row r="36899" spans="30:30" x14ac:dyDescent="0.25">
      <c r="AD36899"/>
    </row>
    <row r="36900" spans="30:30" x14ac:dyDescent="0.25">
      <c r="AD36900"/>
    </row>
    <row r="36901" spans="30:30" x14ac:dyDescent="0.25">
      <c r="AD36901"/>
    </row>
    <row r="36902" spans="30:30" x14ac:dyDescent="0.25">
      <c r="AD36902"/>
    </row>
    <row r="36903" spans="30:30" x14ac:dyDescent="0.25">
      <c r="AD36903"/>
    </row>
    <row r="36904" spans="30:30" x14ac:dyDescent="0.25">
      <c r="AD36904"/>
    </row>
    <row r="36905" spans="30:30" x14ac:dyDescent="0.25">
      <c r="AD36905"/>
    </row>
    <row r="36906" spans="30:30" x14ac:dyDescent="0.25">
      <c r="AD36906"/>
    </row>
    <row r="36907" spans="30:30" x14ac:dyDescent="0.25">
      <c r="AD36907"/>
    </row>
    <row r="36908" spans="30:30" x14ac:dyDescent="0.25">
      <c r="AD36908"/>
    </row>
    <row r="36909" spans="30:30" x14ac:dyDescent="0.25">
      <c r="AD36909"/>
    </row>
    <row r="36910" spans="30:30" x14ac:dyDescent="0.25">
      <c r="AD36910"/>
    </row>
    <row r="36911" spans="30:30" x14ac:dyDescent="0.25">
      <c r="AD36911"/>
    </row>
    <row r="36912" spans="30:30" x14ac:dyDescent="0.25">
      <c r="AD36912"/>
    </row>
    <row r="36913" spans="30:30" x14ac:dyDescent="0.25">
      <c r="AD36913"/>
    </row>
    <row r="36914" spans="30:30" x14ac:dyDescent="0.25">
      <c r="AD36914"/>
    </row>
    <row r="36915" spans="30:30" x14ac:dyDescent="0.25">
      <c r="AD36915"/>
    </row>
    <row r="36916" spans="30:30" x14ac:dyDescent="0.25">
      <c r="AD36916"/>
    </row>
    <row r="36917" spans="30:30" x14ac:dyDescent="0.25">
      <c r="AD36917"/>
    </row>
    <row r="36918" spans="30:30" x14ac:dyDescent="0.25">
      <c r="AD36918"/>
    </row>
    <row r="36919" spans="30:30" x14ac:dyDescent="0.25">
      <c r="AD36919"/>
    </row>
    <row r="36920" spans="30:30" x14ac:dyDescent="0.25">
      <c r="AD36920"/>
    </row>
    <row r="36921" spans="30:30" x14ac:dyDescent="0.25">
      <c r="AD36921"/>
    </row>
    <row r="36922" spans="30:30" x14ac:dyDescent="0.25">
      <c r="AD36922"/>
    </row>
    <row r="36923" spans="30:30" x14ac:dyDescent="0.25">
      <c r="AD36923"/>
    </row>
    <row r="36924" spans="30:30" x14ac:dyDescent="0.25">
      <c r="AD36924"/>
    </row>
    <row r="36925" spans="30:30" x14ac:dyDescent="0.25">
      <c r="AD36925"/>
    </row>
    <row r="36926" spans="30:30" x14ac:dyDescent="0.25">
      <c r="AD36926"/>
    </row>
    <row r="36927" spans="30:30" x14ac:dyDescent="0.25">
      <c r="AD36927"/>
    </row>
    <row r="36928" spans="30:30" x14ac:dyDescent="0.25">
      <c r="AD36928"/>
    </row>
    <row r="36929" spans="30:30" x14ac:dyDescent="0.25">
      <c r="AD36929"/>
    </row>
    <row r="36930" spans="30:30" x14ac:dyDescent="0.25">
      <c r="AD36930"/>
    </row>
    <row r="36931" spans="30:30" x14ac:dyDescent="0.25">
      <c r="AD36931"/>
    </row>
    <row r="36932" spans="30:30" x14ac:dyDescent="0.25">
      <c r="AD36932"/>
    </row>
    <row r="36933" spans="30:30" x14ac:dyDescent="0.25">
      <c r="AD36933"/>
    </row>
    <row r="36934" spans="30:30" x14ac:dyDescent="0.25">
      <c r="AD36934"/>
    </row>
    <row r="36935" spans="30:30" x14ac:dyDescent="0.25">
      <c r="AD36935"/>
    </row>
    <row r="36936" spans="30:30" x14ac:dyDescent="0.25">
      <c r="AD36936"/>
    </row>
    <row r="36937" spans="30:30" x14ac:dyDescent="0.25">
      <c r="AD36937"/>
    </row>
    <row r="36938" spans="30:30" x14ac:dyDescent="0.25">
      <c r="AD36938"/>
    </row>
    <row r="36939" spans="30:30" x14ac:dyDescent="0.25">
      <c r="AD36939"/>
    </row>
    <row r="36940" spans="30:30" x14ac:dyDescent="0.25">
      <c r="AD36940"/>
    </row>
    <row r="36941" spans="30:30" x14ac:dyDescent="0.25">
      <c r="AD36941"/>
    </row>
    <row r="36942" spans="30:30" x14ac:dyDescent="0.25">
      <c r="AD36942"/>
    </row>
    <row r="36943" spans="30:30" x14ac:dyDescent="0.25">
      <c r="AD36943"/>
    </row>
    <row r="36944" spans="30:30" x14ac:dyDescent="0.25">
      <c r="AD36944"/>
    </row>
    <row r="36945" spans="30:30" x14ac:dyDescent="0.25">
      <c r="AD36945"/>
    </row>
    <row r="36946" spans="30:30" x14ac:dyDescent="0.25">
      <c r="AD36946"/>
    </row>
    <row r="36947" spans="30:30" x14ac:dyDescent="0.25">
      <c r="AD36947"/>
    </row>
    <row r="36948" spans="30:30" x14ac:dyDescent="0.25">
      <c r="AD36948"/>
    </row>
    <row r="36949" spans="30:30" x14ac:dyDescent="0.25">
      <c r="AD36949"/>
    </row>
    <row r="36950" spans="30:30" x14ac:dyDescent="0.25">
      <c r="AD36950"/>
    </row>
    <row r="36951" spans="30:30" x14ac:dyDescent="0.25">
      <c r="AD36951"/>
    </row>
    <row r="36952" spans="30:30" x14ac:dyDescent="0.25">
      <c r="AD36952"/>
    </row>
    <row r="36953" spans="30:30" x14ac:dyDescent="0.25">
      <c r="AD36953"/>
    </row>
    <row r="36954" spans="30:30" x14ac:dyDescent="0.25">
      <c r="AD36954"/>
    </row>
    <row r="36955" spans="30:30" x14ac:dyDescent="0.25">
      <c r="AD36955"/>
    </row>
    <row r="36956" spans="30:30" x14ac:dyDescent="0.25">
      <c r="AD36956"/>
    </row>
    <row r="36957" spans="30:30" x14ac:dyDescent="0.25">
      <c r="AD36957"/>
    </row>
    <row r="36958" spans="30:30" x14ac:dyDescent="0.25">
      <c r="AD36958"/>
    </row>
    <row r="36959" spans="30:30" x14ac:dyDescent="0.25">
      <c r="AD36959"/>
    </row>
    <row r="36960" spans="30:30" x14ac:dyDescent="0.25">
      <c r="AD36960"/>
    </row>
    <row r="36961" spans="30:30" x14ac:dyDescent="0.25">
      <c r="AD36961"/>
    </row>
    <row r="36962" spans="30:30" x14ac:dyDescent="0.25">
      <c r="AD36962"/>
    </row>
    <row r="36963" spans="30:30" x14ac:dyDescent="0.25">
      <c r="AD36963"/>
    </row>
    <row r="36964" spans="30:30" x14ac:dyDescent="0.25">
      <c r="AD36964"/>
    </row>
    <row r="36965" spans="30:30" x14ac:dyDescent="0.25">
      <c r="AD36965"/>
    </row>
    <row r="36966" spans="30:30" x14ac:dyDescent="0.25">
      <c r="AD36966"/>
    </row>
    <row r="36967" spans="30:30" x14ac:dyDescent="0.25">
      <c r="AD36967"/>
    </row>
    <row r="36968" spans="30:30" x14ac:dyDescent="0.25">
      <c r="AD36968"/>
    </row>
    <row r="36969" spans="30:30" x14ac:dyDescent="0.25">
      <c r="AD36969"/>
    </row>
    <row r="36970" spans="30:30" x14ac:dyDescent="0.25">
      <c r="AD36970"/>
    </row>
    <row r="36971" spans="30:30" x14ac:dyDescent="0.25">
      <c r="AD36971"/>
    </row>
    <row r="36972" spans="30:30" x14ac:dyDescent="0.25">
      <c r="AD36972"/>
    </row>
    <row r="36973" spans="30:30" x14ac:dyDescent="0.25">
      <c r="AD36973"/>
    </row>
    <row r="36974" spans="30:30" x14ac:dyDescent="0.25">
      <c r="AD36974"/>
    </row>
    <row r="36975" spans="30:30" x14ac:dyDescent="0.25">
      <c r="AD36975"/>
    </row>
    <row r="36976" spans="30:30" x14ac:dyDescent="0.25">
      <c r="AD36976"/>
    </row>
    <row r="36977" spans="30:30" x14ac:dyDescent="0.25">
      <c r="AD36977"/>
    </row>
    <row r="36978" spans="30:30" x14ac:dyDescent="0.25">
      <c r="AD36978"/>
    </row>
    <row r="36979" spans="30:30" x14ac:dyDescent="0.25">
      <c r="AD36979"/>
    </row>
    <row r="36980" spans="30:30" x14ac:dyDescent="0.25">
      <c r="AD36980"/>
    </row>
    <row r="36981" spans="30:30" x14ac:dyDescent="0.25">
      <c r="AD36981"/>
    </row>
    <row r="36982" spans="30:30" x14ac:dyDescent="0.25">
      <c r="AD36982"/>
    </row>
    <row r="36983" spans="30:30" x14ac:dyDescent="0.25">
      <c r="AD36983"/>
    </row>
    <row r="36984" spans="30:30" x14ac:dyDescent="0.25">
      <c r="AD36984"/>
    </row>
    <row r="36985" spans="30:30" x14ac:dyDescent="0.25">
      <c r="AD36985"/>
    </row>
    <row r="36986" spans="30:30" x14ac:dyDescent="0.25">
      <c r="AD36986"/>
    </row>
    <row r="36987" spans="30:30" x14ac:dyDescent="0.25">
      <c r="AD36987"/>
    </row>
    <row r="36988" spans="30:30" x14ac:dyDescent="0.25">
      <c r="AD36988"/>
    </row>
    <row r="36989" spans="30:30" x14ac:dyDescent="0.25">
      <c r="AD36989"/>
    </row>
    <row r="36990" spans="30:30" x14ac:dyDescent="0.25">
      <c r="AD36990"/>
    </row>
    <row r="36991" spans="30:30" x14ac:dyDescent="0.25">
      <c r="AD36991"/>
    </row>
    <row r="36992" spans="30:30" x14ac:dyDescent="0.25">
      <c r="AD36992"/>
    </row>
    <row r="36993" spans="30:30" x14ac:dyDescent="0.25">
      <c r="AD36993"/>
    </row>
    <row r="36994" spans="30:30" x14ac:dyDescent="0.25">
      <c r="AD36994"/>
    </row>
    <row r="36995" spans="30:30" x14ac:dyDescent="0.25">
      <c r="AD36995"/>
    </row>
    <row r="36996" spans="30:30" x14ac:dyDescent="0.25">
      <c r="AD36996"/>
    </row>
    <row r="36997" spans="30:30" x14ac:dyDescent="0.25">
      <c r="AD36997"/>
    </row>
    <row r="36998" spans="30:30" x14ac:dyDescent="0.25">
      <c r="AD36998"/>
    </row>
    <row r="36999" spans="30:30" x14ac:dyDescent="0.25">
      <c r="AD36999"/>
    </row>
    <row r="37000" spans="30:30" x14ac:dyDescent="0.25">
      <c r="AD37000"/>
    </row>
    <row r="37001" spans="30:30" x14ac:dyDescent="0.25">
      <c r="AD37001"/>
    </row>
    <row r="37002" spans="30:30" x14ac:dyDescent="0.25">
      <c r="AD37002"/>
    </row>
    <row r="37003" spans="30:30" x14ac:dyDescent="0.25">
      <c r="AD37003"/>
    </row>
    <row r="37004" spans="30:30" x14ac:dyDescent="0.25">
      <c r="AD37004"/>
    </row>
    <row r="37005" spans="30:30" x14ac:dyDescent="0.25">
      <c r="AD37005"/>
    </row>
    <row r="37006" spans="30:30" x14ac:dyDescent="0.25">
      <c r="AD37006"/>
    </row>
    <row r="37007" spans="30:30" x14ac:dyDescent="0.25">
      <c r="AD37007"/>
    </row>
    <row r="37008" spans="30:30" x14ac:dyDescent="0.25">
      <c r="AD37008"/>
    </row>
    <row r="37009" spans="30:30" x14ac:dyDescent="0.25">
      <c r="AD37009"/>
    </row>
    <row r="37010" spans="30:30" x14ac:dyDescent="0.25">
      <c r="AD37010"/>
    </row>
    <row r="37011" spans="30:30" x14ac:dyDescent="0.25">
      <c r="AD37011"/>
    </row>
    <row r="37012" spans="30:30" x14ac:dyDescent="0.25">
      <c r="AD37012"/>
    </row>
    <row r="37013" spans="30:30" x14ac:dyDescent="0.25">
      <c r="AD37013"/>
    </row>
    <row r="37014" spans="30:30" x14ac:dyDescent="0.25">
      <c r="AD37014"/>
    </row>
    <row r="37015" spans="30:30" x14ac:dyDescent="0.25">
      <c r="AD37015"/>
    </row>
    <row r="37016" spans="30:30" x14ac:dyDescent="0.25">
      <c r="AD37016"/>
    </row>
    <row r="37017" spans="30:30" x14ac:dyDescent="0.25">
      <c r="AD37017"/>
    </row>
    <row r="37018" spans="30:30" x14ac:dyDescent="0.25">
      <c r="AD37018"/>
    </row>
    <row r="37019" spans="30:30" x14ac:dyDescent="0.25">
      <c r="AD37019"/>
    </row>
    <row r="37020" spans="30:30" x14ac:dyDescent="0.25">
      <c r="AD37020"/>
    </row>
    <row r="37021" spans="30:30" x14ac:dyDescent="0.25">
      <c r="AD37021"/>
    </row>
    <row r="37022" spans="30:30" x14ac:dyDescent="0.25">
      <c r="AD37022"/>
    </row>
    <row r="37023" spans="30:30" x14ac:dyDescent="0.25">
      <c r="AD37023"/>
    </row>
    <row r="37024" spans="30:30" x14ac:dyDescent="0.25">
      <c r="AD37024"/>
    </row>
    <row r="37025" spans="30:30" x14ac:dyDescent="0.25">
      <c r="AD37025"/>
    </row>
    <row r="37026" spans="30:30" x14ac:dyDescent="0.25">
      <c r="AD37026"/>
    </row>
    <row r="37027" spans="30:30" x14ac:dyDescent="0.25">
      <c r="AD37027"/>
    </row>
    <row r="37028" spans="30:30" x14ac:dyDescent="0.25">
      <c r="AD37028"/>
    </row>
    <row r="37029" spans="30:30" x14ac:dyDescent="0.25">
      <c r="AD37029"/>
    </row>
    <row r="37030" spans="30:30" x14ac:dyDescent="0.25">
      <c r="AD37030"/>
    </row>
    <row r="37031" spans="30:30" x14ac:dyDescent="0.25">
      <c r="AD37031"/>
    </row>
    <row r="37032" spans="30:30" x14ac:dyDescent="0.25">
      <c r="AD37032"/>
    </row>
    <row r="37033" spans="30:30" x14ac:dyDescent="0.25">
      <c r="AD37033"/>
    </row>
    <row r="37034" spans="30:30" x14ac:dyDescent="0.25">
      <c r="AD37034"/>
    </row>
    <row r="37035" spans="30:30" x14ac:dyDescent="0.25">
      <c r="AD37035"/>
    </row>
    <row r="37036" spans="30:30" x14ac:dyDescent="0.25">
      <c r="AD37036"/>
    </row>
    <row r="37037" spans="30:30" x14ac:dyDescent="0.25">
      <c r="AD37037"/>
    </row>
    <row r="37038" spans="30:30" x14ac:dyDescent="0.25">
      <c r="AD37038"/>
    </row>
    <row r="37039" spans="30:30" x14ac:dyDescent="0.25">
      <c r="AD37039"/>
    </row>
    <row r="37040" spans="30:30" x14ac:dyDescent="0.25">
      <c r="AD37040"/>
    </row>
    <row r="37041" spans="30:30" x14ac:dyDescent="0.25">
      <c r="AD37041"/>
    </row>
    <row r="37042" spans="30:30" x14ac:dyDescent="0.25">
      <c r="AD37042"/>
    </row>
    <row r="37043" spans="30:30" x14ac:dyDescent="0.25">
      <c r="AD37043"/>
    </row>
    <row r="37044" spans="30:30" x14ac:dyDescent="0.25">
      <c r="AD37044"/>
    </row>
    <row r="37045" spans="30:30" x14ac:dyDescent="0.25">
      <c r="AD37045"/>
    </row>
    <row r="37046" spans="30:30" x14ac:dyDescent="0.25">
      <c r="AD37046"/>
    </row>
    <row r="37047" spans="30:30" x14ac:dyDescent="0.25">
      <c r="AD37047"/>
    </row>
    <row r="37048" spans="30:30" x14ac:dyDescent="0.25">
      <c r="AD37048"/>
    </row>
    <row r="37049" spans="30:30" x14ac:dyDescent="0.25">
      <c r="AD37049"/>
    </row>
    <row r="37050" spans="30:30" x14ac:dyDescent="0.25">
      <c r="AD37050"/>
    </row>
    <row r="37051" spans="30:30" x14ac:dyDescent="0.25">
      <c r="AD37051"/>
    </row>
    <row r="37052" spans="30:30" x14ac:dyDescent="0.25">
      <c r="AD37052"/>
    </row>
    <row r="37053" spans="30:30" x14ac:dyDescent="0.25">
      <c r="AD37053"/>
    </row>
    <row r="37054" spans="30:30" x14ac:dyDescent="0.25">
      <c r="AD37054"/>
    </row>
    <row r="37055" spans="30:30" x14ac:dyDescent="0.25">
      <c r="AD37055"/>
    </row>
    <row r="37056" spans="30:30" x14ac:dyDescent="0.25">
      <c r="AD37056"/>
    </row>
    <row r="37057" spans="30:30" x14ac:dyDescent="0.25">
      <c r="AD37057"/>
    </row>
    <row r="37058" spans="30:30" x14ac:dyDescent="0.25">
      <c r="AD37058"/>
    </row>
    <row r="37059" spans="30:30" x14ac:dyDescent="0.25">
      <c r="AD37059"/>
    </row>
    <row r="37060" spans="30:30" x14ac:dyDescent="0.25">
      <c r="AD37060"/>
    </row>
    <row r="37061" spans="30:30" x14ac:dyDescent="0.25">
      <c r="AD37061"/>
    </row>
    <row r="37062" spans="30:30" x14ac:dyDescent="0.25">
      <c r="AD37062"/>
    </row>
    <row r="37063" spans="30:30" x14ac:dyDescent="0.25">
      <c r="AD37063"/>
    </row>
    <row r="37064" spans="30:30" x14ac:dyDescent="0.25">
      <c r="AD37064"/>
    </row>
    <row r="37065" spans="30:30" x14ac:dyDescent="0.25">
      <c r="AD37065"/>
    </row>
    <row r="37066" spans="30:30" x14ac:dyDescent="0.25">
      <c r="AD37066"/>
    </row>
    <row r="37067" spans="30:30" x14ac:dyDescent="0.25">
      <c r="AD37067"/>
    </row>
    <row r="37068" spans="30:30" x14ac:dyDescent="0.25">
      <c r="AD37068"/>
    </row>
    <row r="37069" spans="30:30" x14ac:dyDescent="0.25">
      <c r="AD37069"/>
    </row>
    <row r="37070" spans="30:30" x14ac:dyDescent="0.25">
      <c r="AD37070"/>
    </row>
    <row r="37071" spans="30:30" x14ac:dyDescent="0.25">
      <c r="AD37071"/>
    </row>
    <row r="37072" spans="30:30" x14ac:dyDescent="0.25">
      <c r="AD37072"/>
    </row>
    <row r="37073" spans="30:30" x14ac:dyDescent="0.25">
      <c r="AD37073"/>
    </row>
    <row r="37074" spans="30:30" x14ac:dyDescent="0.25">
      <c r="AD37074"/>
    </row>
    <row r="37075" spans="30:30" x14ac:dyDescent="0.25">
      <c r="AD37075"/>
    </row>
    <row r="37076" spans="30:30" x14ac:dyDescent="0.25">
      <c r="AD37076"/>
    </row>
    <row r="37077" spans="30:30" x14ac:dyDescent="0.25">
      <c r="AD37077"/>
    </row>
    <row r="37078" spans="30:30" x14ac:dyDescent="0.25">
      <c r="AD37078"/>
    </row>
    <row r="37079" spans="30:30" x14ac:dyDescent="0.25">
      <c r="AD37079"/>
    </row>
    <row r="37080" spans="30:30" x14ac:dyDescent="0.25">
      <c r="AD37080"/>
    </row>
    <row r="37081" spans="30:30" x14ac:dyDescent="0.25">
      <c r="AD37081"/>
    </row>
    <row r="37082" spans="30:30" x14ac:dyDescent="0.25">
      <c r="AD37082"/>
    </row>
    <row r="37083" spans="30:30" x14ac:dyDescent="0.25">
      <c r="AD37083"/>
    </row>
    <row r="37084" spans="30:30" x14ac:dyDescent="0.25">
      <c r="AD37084"/>
    </row>
    <row r="37085" spans="30:30" x14ac:dyDescent="0.25">
      <c r="AD37085"/>
    </row>
    <row r="37086" spans="30:30" x14ac:dyDescent="0.25">
      <c r="AD37086"/>
    </row>
    <row r="37087" spans="30:30" x14ac:dyDescent="0.25">
      <c r="AD37087"/>
    </row>
    <row r="37088" spans="30:30" x14ac:dyDescent="0.25">
      <c r="AD37088"/>
    </row>
    <row r="37089" spans="30:30" x14ac:dyDescent="0.25">
      <c r="AD37089"/>
    </row>
    <row r="37090" spans="30:30" x14ac:dyDescent="0.25">
      <c r="AD37090"/>
    </row>
    <row r="37091" spans="30:30" x14ac:dyDescent="0.25">
      <c r="AD37091"/>
    </row>
    <row r="37092" spans="30:30" x14ac:dyDescent="0.25">
      <c r="AD37092"/>
    </row>
    <row r="37093" spans="30:30" x14ac:dyDescent="0.25">
      <c r="AD37093"/>
    </row>
    <row r="37094" spans="30:30" x14ac:dyDescent="0.25">
      <c r="AD37094"/>
    </row>
    <row r="37095" spans="30:30" x14ac:dyDescent="0.25">
      <c r="AD37095"/>
    </row>
    <row r="37096" spans="30:30" x14ac:dyDescent="0.25">
      <c r="AD37096"/>
    </row>
    <row r="37097" spans="30:30" x14ac:dyDescent="0.25">
      <c r="AD37097"/>
    </row>
    <row r="37098" spans="30:30" x14ac:dyDescent="0.25">
      <c r="AD37098"/>
    </row>
    <row r="37099" spans="30:30" x14ac:dyDescent="0.25">
      <c r="AD37099"/>
    </row>
    <row r="37100" spans="30:30" x14ac:dyDescent="0.25">
      <c r="AD37100"/>
    </row>
    <row r="37101" spans="30:30" x14ac:dyDescent="0.25">
      <c r="AD37101"/>
    </row>
    <row r="37102" spans="30:30" x14ac:dyDescent="0.25">
      <c r="AD37102"/>
    </row>
    <row r="37103" spans="30:30" x14ac:dyDescent="0.25">
      <c r="AD37103"/>
    </row>
    <row r="37104" spans="30:30" x14ac:dyDescent="0.25">
      <c r="AD37104"/>
    </row>
    <row r="37105" spans="30:30" x14ac:dyDescent="0.25">
      <c r="AD37105"/>
    </row>
    <row r="37106" spans="30:30" x14ac:dyDescent="0.25">
      <c r="AD37106"/>
    </row>
    <row r="37107" spans="30:30" x14ac:dyDescent="0.25">
      <c r="AD37107"/>
    </row>
    <row r="37108" spans="30:30" x14ac:dyDescent="0.25">
      <c r="AD37108"/>
    </row>
    <row r="37109" spans="30:30" x14ac:dyDescent="0.25">
      <c r="AD37109"/>
    </row>
    <row r="37110" spans="30:30" x14ac:dyDescent="0.25">
      <c r="AD37110"/>
    </row>
    <row r="37111" spans="30:30" x14ac:dyDescent="0.25">
      <c r="AD37111"/>
    </row>
    <row r="37112" spans="30:30" x14ac:dyDescent="0.25">
      <c r="AD37112"/>
    </row>
    <row r="37113" spans="30:30" x14ac:dyDescent="0.25">
      <c r="AD37113"/>
    </row>
    <row r="37114" spans="30:30" x14ac:dyDescent="0.25">
      <c r="AD37114"/>
    </row>
    <row r="37115" spans="30:30" x14ac:dyDescent="0.25">
      <c r="AD37115"/>
    </row>
    <row r="37116" spans="30:30" x14ac:dyDescent="0.25">
      <c r="AD37116"/>
    </row>
    <row r="37117" spans="30:30" x14ac:dyDescent="0.25">
      <c r="AD37117"/>
    </row>
    <row r="37118" spans="30:30" x14ac:dyDescent="0.25">
      <c r="AD37118"/>
    </row>
    <row r="37119" spans="30:30" x14ac:dyDescent="0.25">
      <c r="AD37119"/>
    </row>
    <row r="37120" spans="30:30" x14ac:dyDescent="0.25">
      <c r="AD37120"/>
    </row>
    <row r="37121" spans="30:30" x14ac:dyDescent="0.25">
      <c r="AD37121"/>
    </row>
    <row r="37122" spans="30:30" x14ac:dyDescent="0.25">
      <c r="AD37122"/>
    </row>
    <row r="37123" spans="30:30" x14ac:dyDescent="0.25">
      <c r="AD37123"/>
    </row>
    <row r="37124" spans="30:30" x14ac:dyDescent="0.25">
      <c r="AD37124"/>
    </row>
    <row r="37125" spans="30:30" x14ac:dyDescent="0.25">
      <c r="AD37125"/>
    </row>
    <row r="37126" spans="30:30" x14ac:dyDescent="0.25">
      <c r="AD37126"/>
    </row>
    <row r="37127" spans="30:30" x14ac:dyDescent="0.25">
      <c r="AD37127"/>
    </row>
    <row r="37128" spans="30:30" x14ac:dyDescent="0.25">
      <c r="AD37128"/>
    </row>
    <row r="37129" spans="30:30" x14ac:dyDescent="0.25">
      <c r="AD37129"/>
    </row>
    <row r="37130" spans="30:30" x14ac:dyDescent="0.25">
      <c r="AD37130"/>
    </row>
    <row r="37131" spans="30:30" x14ac:dyDescent="0.25">
      <c r="AD37131"/>
    </row>
    <row r="37132" spans="30:30" x14ac:dyDescent="0.25">
      <c r="AD37132"/>
    </row>
    <row r="37133" spans="30:30" x14ac:dyDescent="0.25">
      <c r="AD37133"/>
    </row>
    <row r="37134" spans="30:30" x14ac:dyDescent="0.25">
      <c r="AD37134"/>
    </row>
    <row r="37135" spans="30:30" x14ac:dyDescent="0.25">
      <c r="AD37135"/>
    </row>
    <row r="37136" spans="30:30" x14ac:dyDescent="0.25">
      <c r="AD37136"/>
    </row>
    <row r="37137" spans="30:30" x14ac:dyDescent="0.25">
      <c r="AD37137"/>
    </row>
    <row r="37138" spans="30:30" x14ac:dyDescent="0.25">
      <c r="AD37138"/>
    </row>
    <row r="37139" spans="30:30" x14ac:dyDescent="0.25">
      <c r="AD37139"/>
    </row>
    <row r="37140" spans="30:30" x14ac:dyDescent="0.25">
      <c r="AD37140"/>
    </row>
    <row r="37141" spans="30:30" x14ac:dyDescent="0.25">
      <c r="AD37141"/>
    </row>
    <row r="37142" spans="30:30" x14ac:dyDescent="0.25">
      <c r="AD37142"/>
    </row>
    <row r="37143" spans="30:30" x14ac:dyDescent="0.25">
      <c r="AD37143"/>
    </row>
    <row r="37144" spans="30:30" x14ac:dyDescent="0.25">
      <c r="AD37144"/>
    </row>
    <row r="37145" spans="30:30" x14ac:dyDescent="0.25">
      <c r="AD37145"/>
    </row>
    <row r="37146" spans="30:30" x14ac:dyDescent="0.25">
      <c r="AD37146"/>
    </row>
    <row r="37147" spans="30:30" x14ac:dyDescent="0.25">
      <c r="AD37147"/>
    </row>
    <row r="37148" spans="30:30" x14ac:dyDescent="0.25">
      <c r="AD37148"/>
    </row>
    <row r="37149" spans="30:30" x14ac:dyDescent="0.25">
      <c r="AD37149"/>
    </row>
    <row r="37150" spans="30:30" x14ac:dyDescent="0.25">
      <c r="AD37150"/>
    </row>
    <row r="37151" spans="30:30" x14ac:dyDescent="0.25">
      <c r="AD37151"/>
    </row>
    <row r="37152" spans="30:30" x14ac:dyDescent="0.25">
      <c r="AD37152"/>
    </row>
    <row r="37153" spans="30:30" x14ac:dyDescent="0.25">
      <c r="AD37153"/>
    </row>
    <row r="37154" spans="30:30" x14ac:dyDescent="0.25">
      <c r="AD37154"/>
    </row>
    <row r="37155" spans="30:30" x14ac:dyDescent="0.25">
      <c r="AD37155"/>
    </row>
    <row r="37156" spans="30:30" x14ac:dyDescent="0.25">
      <c r="AD37156"/>
    </row>
    <row r="37157" spans="30:30" x14ac:dyDescent="0.25">
      <c r="AD37157"/>
    </row>
    <row r="37158" spans="30:30" x14ac:dyDescent="0.25">
      <c r="AD37158"/>
    </row>
    <row r="37159" spans="30:30" x14ac:dyDescent="0.25">
      <c r="AD37159"/>
    </row>
    <row r="37160" spans="30:30" x14ac:dyDescent="0.25">
      <c r="AD37160"/>
    </row>
    <row r="37161" spans="30:30" x14ac:dyDescent="0.25">
      <c r="AD37161"/>
    </row>
    <row r="37162" spans="30:30" x14ac:dyDescent="0.25">
      <c r="AD37162"/>
    </row>
    <row r="37163" spans="30:30" x14ac:dyDescent="0.25">
      <c r="AD37163"/>
    </row>
    <row r="37164" spans="30:30" x14ac:dyDescent="0.25">
      <c r="AD37164"/>
    </row>
    <row r="37165" spans="30:30" x14ac:dyDescent="0.25">
      <c r="AD37165"/>
    </row>
    <row r="37166" spans="30:30" x14ac:dyDescent="0.25">
      <c r="AD37166"/>
    </row>
    <row r="37167" spans="30:30" x14ac:dyDescent="0.25">
      <c r="AD37167"/>
    </row>
    <row r="37168" spans="30:30" x14ac:dyDescent="0.25">
      <c r="AD37168"/>
    </row>
    <row r="37169" spans="30:30" x14ac:dyDescent="0.25">
      <c r="AD37169"/>
    </row>
    <row r="37170" spans="30:30" x14ac:dyDescent="0.25">
      <c r="AD37170"/>
    </row>
    <row r="37171" spans="30:30" x14ac:dyDescent="0.25">
      <c r="AD37171"/>
    </row>
    <row r="37172" spans="30:30" x14ac:dyDescent="0.25">
      <c r="AD37172"/>
    </row>
    <row r="37173" spans="30:30" x14ac:dyDescent="0.25">
      <c r="AD37173"/>
    </row>
    <row r="37174" spans="30:30" x14ac:dyDescent="0.25">
      <c r="AD37174"/>
    </row>
    <row r="37175" spans="30:30" x14ac:dyDescent="0.25">
      <c r="AD37175"/>
    </row>
    <row r="37176" spans="30:30" x14ac:dyDescent="0.25">
      <c r="AD37176"/>
    </row>
    <row r="37177" spans="30:30" x14ac:dyDescent="0.25">
      <c r="AD37177"/>
    </row>
    <row r="37178" spans="30:30" x14ac:dyDescent="0.25">
      <c r="AD37178"/>
    </row>
    <row r="37179" spans="30:30" x14ac:dyDescent="0.25">
      <c r="AD37179"/>
    </row>
    <row r="37180" spans="30:30" x14ac:dyDescent="0.25">
      <c r="AD37180"/>
    </row>
    <row r="37181" spans="30:30" x14ac:dyDescent="0.25">
      <c r="AD37181"/>
    </row>
    <row r="37182" spans="30:30" x14ac:dyDescent="0.25">
      <c r="AD37182"/>
    </row>
    <row r="37183" spans="30:30" x14ac:dyDescent="0.25">
      <c r="AD37183"/>
    </row>
    <row r="37184" spans="30:30" x14ac:dyDescent="0.25">
      <c r="AD37184"/>
    </row>
    <row r="37185" spans="30:30" x14ac:dyDescent="0.25">
      <c r="AD37185"/>
    </row>
    <row r="37186" spans="30:30" x14ac:dyDescent="0.25">
      <c r="AD37186"/>
    </row>
    <row r="37187" spans="30:30" x14ac:dyDescent="0.25">
      <c r="AD37187"/>
    </row>
    <row r="37188" spans="30:30" x14ac:dyDescent="0.25">
      <c r="AD37188"/>
    </row>
    <row r="37189" spans="30:30" x14ac:dyDescent="0.25">
      <c r="AD37189"/>
    </row>
    <row r="37190" spans="30:30" x14ac:dyDescent="0.25">
      <c r="AD37190"/>
    </row>
    <row r="37191" spans="30:30" x14ac:dyDescent="0.25">
      <c r="AD37191"/>
    </row>
    <row r="37192" spans="30:30" x14ac:dyDescent="0.25">
      <c r="AD37192"/>
    </row>
    <row r="37193" spans="30:30" x14ac:dyDescent="0.25">
      <c r="AD37193"/>
    </row>
    <row r="37194" spans="30:30" x14ac:dyDescent="0.25">
      <c r="AD37194"/>
    </row>
    <row r="37195" spans="30:30" x14ac:dyDescent="0.25">
      <c r="AD37195"/>
    </row>
    <row r="37196" spans="30:30" x14ac:dyDescent="0.25">
      <c r="AD37196"/>
    </row>
    <row r="37197" spans="30:30" x14ac:dyDescent="0.25">
      <c r="AD37197"/>
    </row>
    <row r="37198" spans="30:30" x14ac:dyDescent="0.25">
      <c r="AD37198"/>
    </row>
    <row r="37199" spans="30:30" x14ac:dyDescent="0.25">
      <c r="AD37199"/>
    </row>
    <row r="37200" spans="30:30" x14ac:dyDescent="0.25">
      <c r="AD37200"/>
    </row>
    <row r="37201" spans="30:30" x14ac:dyDescent="0.25">
      <c r="AD37201"/>
    </row>
    <row r="37202" spans="30:30" x14ac:dyDescent="0.25">
      <c r="AD37202"/>
    </row>
    <row r="37203" spans="30:30" x14ac:dyDescent="0.25">
      <c r="AD37203"/>
    </row>
    <row r="37204" spans="30:30" x14ac:dyDescent="0.25">
      <c r="AD37204"/>
    </row>
    <row r="37205" spans="30:30" x14ac:dyDescent="0.25">
      <c r="AD37205"/>
    </row>
    <row r="37206" spans="30:30" x14ac:dyDescent="0.25">
      <c r="AD37206"/>
    </row>
    <row r="37207" spans="30:30" x14ac:dyDescent="0.25">
      <c r="AD37207"/>
    </row>
    <row r="37208" spans="30:30" x14ac:dyDescent="0.25">
      <c r="AD37208"/>
    </row>
    <row r="37209" spans="30:30" x14ac:dyDescent="0.25">
      <c r="AD37209"/>
    </row>
    <row r="37210" spans="30:30" x14ac:dyDescent="0.25">
      <c r="AD37210"/>
    </row>
    <row r="37211" spans="30:30" x14ac:dyDescent="0.25">
      <c r="AD37211"/>
    </row>
    <row r="37212" spans="30:30" x14ac:dyDescent="0.25">
      <c r="AD37212"/>
    </row>
    <row r="37213" spans="30:30" x14ac:dyDescent="0.25">
      <c r="AD37213"/>
    </row>
    <row r="37214" spans="30:30" x14ac:dyDescent="0.25">
      <c r="AD37214"/>
    </row>
    <row r="37215" spans="30:30" x14ac:dyDescent="0.25">
      <c r="AD37215"/>
    </row>
    <row r="37216" spans="30:30" x14ac:dyDescent="0.25">
      <c r="AD37216"/>
    </row>
    <row r="37217" spans="30:30" x14ac:dyDescent="0.25">
      <c r="AD37217"/>
    </row>
    <row r="37218" spans="30:30" x14ac:dyDescent="0.25">
      <c r="AD37218"/>
    </row>
    <row r="37219" spans="30:30" x14ac:dyDescent="0.25">
      <c r="AD37219"/>
    </row>
    <row r="37220" spans="30:30" x14ac:dyDescent="0.25">
      <c r="AD37220"/>
    </row>
    <row r="37221" spans="30:30" x14ac:dyDescent="0.25">
      <c r="AD37221"/>
    </row>
    <row r="37222" spans="30:30" x14ac:dyDescent="0.25">
      <c r="AD37222"/>
    </row>
    <row r="37223" spans="30:30" x14ac:dyDescent="0.25">
      <c r="AD37223"/>
    </row>
    <row r="37224" spans="30:30" x14ac:dyDescent="0.25">
      <c r="AD37224"/>
    </row>
    <row r="37225" spans="30:30" x14ac:dyDescent="0.25">
      <c r="AD37225"/>
    </row>
    <row r="37226" spans="30:30" x14ac:dyDescent="0.25">
      <c r="AD37226"/>
    </row>
    <row r="37227" spans="30:30" x14ac:dyDescent="0.25">
      <c r="AD37227"/>
    </row>
    <row r="37228" spans="30:30" x14ac:dyDescent="0.25">
      <c r="AD37228"/>
    </row>
    <row r="37229" spans="30:30" x14ac:dyDescent="0.25">
      <c r="AD37229"/>
    </row>
    <row r="37230" spans="30:30" x14ac:dyDescent="0.25">
      <c r="AD37230"/>
    </row>
    <row r="37231" spans="30:30" x14ac:dyDescent="0.25">
      <c r="AD37231"/>
    </row>
    <row r="37232" spans="30:30" x14ac:dyDescent="0.25">
      <c r="AD37232"/>
    </row>
    <row r="37233" spans="30:30" x14ac:dyDescent="0.25">
      <c r="AD37233"/>
    </row>
    <row r="37234" spans="30:30" x14ac:dyDescent="0.25">
      <c r="AD37234"/>
    </row>
    <row r="37235" spans="30:30" x14ac:dyDescent="0.25">
      <c r="AD37235"/>
    </row>
    <row r="37236" spans="30:30" x14ac:dyDescent="0.25">
      <c r="AD37236"/>
    </row>
    <row r="37237" spans="30:30" x14ac:dyDescent="0.25">
      <c r="AD37237"/>
    </row>
    <row r="37238" spans="30:30" x14ac:dyDescent="0.25">
      <c r="AD37238"/>
    </row>
    <row r="37239" spans="30:30" x14ac:dyDescent="0.25">
      <c r="AD37239"/>
    </row>
    <row r="37240" spans="30:30" x14ac:dyDescent="0.25">
      <c r="AD37240"/>
    </row>
    <row r="37241" spans="30:30" x14ac:dyDescent="0.25">
      <c r="AD37241"/>
    </row>
    <row r="37242" spans="30:30" x14ac:dyDescent="0.25">
      <c r="AD37242"/>
    </row>
    <row r="37243" spans="30:30" x14ac:dyDescent="0.25">
      <c r="AD37243"/>
    </row>
    <row r="37244" spans="30:30" x14ac:dyDescent="0.25">
      <c r="AD37244"/>
    </row>
    <row r="37245" spans="30:30" x14ac:dyDescent="0.25">
      <c r="AD37245"/>
    </row>
    <row r="37246" spans="30:30" x14ac:dyDescent="0.25">
      <c r="AD37246"/>
    </row>
    <row r="37247" spans="30:30" x14ac:dyDescent="0.25">
      <c r="AD37247"/>
    </row>
    <row r="37248" spans="30:30" x14ac:dyDescent="0.25">
      <c r="AD37248"/>
    </row>
    <row r="37249" spans="30:30" x14ac:dyDescent="0.25">
      <c r="AD37249"/>
    </row>
    <row r="37250" spans="30:30" x14ac:dyDescent="0.25">
      <c r="AD37250"/>
    </row>
    <row r="37251" spans="30:30" x14ac:dyDescent="0.25">
      <c r="AD37251"/>
    </row>
    <row r="37252" spans="30:30" x14ac:dyDescent="0.25">
      <c r="AD37252"/>
    </row>
    <row r="37253" spans="30:30" x14ac:dyDescent="0.25">
      <c r="AD37253"/>
    </row>
    <row r="37254" spans="30:30" x14ac:dyDescent="0.25">
      <c r="AD37254"/>
    </row>
    <row r="37255" spans="30:30" x14ac:dyDescent="0.25">
      <c r="AD37255"/>
    </row>
    <row r="37256" spans="30:30" x14ac:dyDescent="0.25">
      <c r="AD37256"/>
    </row>
    <row r="37257" spans="30:30" x14ac:dyDescent="0.25">
      <c r="AD37257"/>
    </row>
    <row r="37258" spans="30:30" x14ac:dyDescent="0.25">
      <c r="AD37258"/>
    </row>
    <row r="37259" spans="30:30" x14ac:dyDescent="0.25">
      <c r="AD37259"/>
    </row>
    <row r="37260" spans="30:30" x14ac:dyDescent="0.25">
      <c r="AD37260"/>
    </row>
    <row r="37261" spans="30:30" x14ac:dyDescent="0.25">
      <c r="AD37261"/>
    </row>
    <row r="37262" spans="30:30" x14ac:dyDescent="0.25">
      <c r="AD37262"/>
    </row>
    <row r="37263" spans="30:30" x14ac:dyDescent="0.25">
      <c r="AD37263"/>
    </row>
    <row r="37264" spans="30:30" x14ac:dyDescent="0.25">
      <c r="AD37264"/>
    </row>
    <row r="37265" spans="30:30" x14ac:dyDescent="0.25">
      <c r="AD37265"/>
    </row>
    <row r="37266" spans="30:30" x14ac:dyDescent="0.25">
      <c r="AD37266"/>
    </row>
    <row r="37267" spans="30:30" x14ac:dyDescent="0.25">
      <c r="AD37267"/>
    </row>
    <row r="37268" spans="30:30" x14ac:dyDescent="0.25">
      <c r="AD37268"/>
    </row>
    <row r="37269" spans="30:30" x14ac:dyDescent="0.25">
      <c r="AD37269"/>
    </row>
    <row r="37270" spans="30:30" x14ac:dyDescent="0.25">
      <c r="AD37270"/>
    </row>
    <row r="37271" spans="30:30" x14ac:dyDescent="0.25">
      <c r="AD37271"/>
    </row>
    <row r="37272" spans="30:30" x14ac:dyDescent="0.25">
      <c r="AD37272"/>
    </row>
    <row r="37273" spans="30:30" x14ac:dyDescent="0.25">
      <c r="AD37273"/>
    </row>
    <row r="37274" spans="30:30" x14ac:dyDescent="0.25">
      <c r="AD37274"/>
    </row>
    <row r="37275" spans="30:30" x14ac:dyDescent="0.25">
      <c r="AD37275"/>
    </row>
    <row r="37276" spans="30:30" x14ac:dyDescent="0.25">
      <c r="AD37276"/>
    </row>
    <row r="37277" spans="30:30" x14ac:dyDescent="0.25">
      <c r="AD37277"/>
    </row>
    <row r="37278" spans="30:30" x14ac:dyDescent="0.25">
      <c r="AD37278"/>
    </row>
    <row r="37279" spans="30:30" x14ac:dyDescent="0.25">
      <c r="AD37279"/>
    </row>
    <row r="37280" spans="30:30" x14ac:dyDescent="0.25">
      <c r="AD37280"/>
    </row>
    <row r="37281" spans="30:30" x14ac:dyDescent="0.25">
      <c r="AD37281"/>
    </row>
    <row r="37282" spans="30:30" x14ac:dyDescent="0.25">
      <c r="AD37282"/>
    </row>
    <row r="37283" spans="30:30" x14ac:dyDescent="0.25">
      <c r="AD37283"/>
    </row>
    <row r="37284" spans="30:30" x14ac:dyDescent="0.25">
      <c r="AD37284"/>
    </row>
    <row r="37285" spans="30:30" x14ac:dyDescent="0.25">
      <c r="AD37285"/>
    </row>
    <row r="37286" spans="30:30" x14ac:dyDescent="0.25">
      <c r="AD37286"/>
    </row>
    <row r="37287" spans="30:30" x14ac:dyDescent="0.25">
      <c r="AD37287"/>
    </row>
    <row r="37288" spans="30:30" x14ac:dyDescent="0.25">
      <c r="AD37288"/>
    </row>
    <row r="37289" spans="30:30" x14ac:dyDescent="0.25">
      <c r="AD37289"/>
    </row>
    <row r="37290" spans="30:30" x14ac:dyDescent="0.25">
      <c r="AD37290"/>
    </row>
    <row r="37291" spans="30:30" x14ac:dyDescent="0.25">
      <c r="AD37291"/>
    </row>
    <row r="37292" spans="30:30" x14ac:dyDescent="0.25">
      <c r="AD37292"/>
    </row>
    <row r="37293" spans="30:30" x14ac:dyDescent="0.25">
      <c r="AD37293"/>
    </row>
    <row r="37294" spans="30:30" x14ac:dyDescent="0.25">
      <c r="AD37294"/>
    </row>
    <row r="37295" spans="30:30" x14ac:dyDescent="0.25">
      <c r="AD37295"/>
    </row>
    <row r="37296" spans="30:30" x14ac:dyDescent="0.25">
      <c r="AD37296"/>
    </row>
    <row r="37297" spans="30:30" x14ac:dyDescent="0.25">
      <c r="AD37297"/>
    </row>
    <row r="37298" spans="30:30" x14ac:dyDescent="0.25">
      <c r="AD37298"/>
    </row>
    <row r="37299" spans="30:30" x14ac:dyDescent="0.25">
      <c r="AD37299"/>
    </row>
    <row r="37300" spans="30:30" x14ac:dyDescent="0.25">
      <c r="AD37300"/>
    </row>
    <row r="37301" spans="30:30" x14ac:dyDescent="0.25">
      <c r="AD37301"/>
    </row>
    <row r="37302" spans="30:30" x14ac:dyDescent="0.25">
      <c r="AD37302"/>
    </row>
    <row r="37303" spans="30:30" x14ac:dyDescent="0.25">
      <c r="AD37303"/>
    </row>
    <row r="37304" spans="30:30" x14ac:dyDescent="0.25">
      <c r="AD37304"/>
    </row>
    <row r="37305" spans="30:30" x14ac:dyDescent="0.25">
      <c r="AD37305"/>
    </row>
    <row r="37306" spans="30:30" x14ac:dyDescent="0.25">
      <c r="AD37306"/>
    </row>
    <row r="37307" spans="30:30" x14ac:dyDescent="0.25">
      <c r="AD37307"/>
    </row>
    <row r="37308" spans="30:30" x14ac:dyDescent="0.25">
      <c r="AD37308"/>
    </row>
    <row r="37309" spans="30:30" x14ac:dyDescent="0.25">
      <c r="AD37309"/>
    </row>
    <row r="37310" spans="30:30" x14ac:dyDescent="0.25">
      <c r="AD37310"/>
    </row>
    <row r="37311" spans="30:30" x14ac:dyDescent="0.25">
      <c r="AD37311"/>
    </row>
    <row r="37312" spans="30:30" x14ac:dyDescent="0.25">
      <c r="AD37312"/>
    </row>
    <row r="37313" spans="30:30" x14ac:dyDescent="0.25">
      <c r="AD37313"/>
    </row>
    <row r="37314" spans="30:30" x14ac:dyDescent="0.25">
      <c r="AD37314"/>
    </row>
    <row r="37315" spans="30:30" x14ac:dyDescent="0.25">
      <c r="AD37315"/>
    </row>
    <row r="37316" spans="30:30" x14ac:dyDescent="0.25">
      <c r="AD37316"/>
    </row>
    <row r="37317" spans="30:30" x14ac:dyDescent="0.25">
      <c r="AD37317"/>
    </row>
    <row r="37318" spans="30:30" x14ac:dyDescent="0.25">
      <c r="AD37318"/>
    </row>
    <row r="37319" spans="30:30" x14ac:dyDescent="0.25">
      <c r="AD37319"/>
    </row>
    <row r="37320" spans="30:30" x14ac:dyDescent="0.25">
      <c r="AD37320"/>
    </row>
    <row r="37321" spans="30:30" x14ac:dyDescent="0.25">
      <c r="AD37321"/>
    </row>
    <row r="37322" spans="30:30" x14ac:dyDescent="0.25">
      <c r="AD37322"/>
    </row>
    <row r="37323" spans="30:30" x14ac:dyDescent="0.25">
      <c r="AD37323"/>
    </row>
    <row r="37324" spans="30:30" x14ac:dyDescent="0.25">
      <c r="AD37324"/>
    </row>
    <row r="37325" spans="30:30" x14ac:dyDescent="0.25">
      <c r="AD37325"/>
    </row>
    <row r="37326" spans="30:30" x14ac:dyDescent="0.25">
      <c r="AD37326"/>
    </row>
    <row r="37327" spans="30:30" x14ac:dyDescent="0.25">
      <c r="AD37327"/>
    </row>
    <row r="37328" spans="30:30" x14ac:dyDescent="0.25">
      <c r="AD37328"/>
    </row>
    <row r="37329" spans="30:30" x14ac:dyDescent="0.25">
      <c r="AD37329"/>
    </row>
    <row r="37330" spans="30:30" x14ac:dyDescent="0.25">
      <c r="AD37330"/>
    </row>
    <row r="37331" spans="30:30" x14ac:dyDescent="0.25">
      <c r="AD37331"/>
    </row>
    <row r="37332" spans="30:30" x14ac:dyDescent="0.25">
      <c r="AD37332"/>
    </row>
    <row r="37333" spans="30:30" x14ac:dyDescent="0.25">
      <c r="AD37333"/>
    </row>
    <row r="37334" spans="30:30" x14ac:dyDescent="0.25">
      <c r="AD37334"/>
    </row>
    <row r="37335" spans="30:30" x14ac:dyDescent="0.25">
      <c r="AD37335"/>
    </row>
    <row r="37336" spans="30:30" x14ac:dyDescent="0.25">
      <c r="AD37336"/>
    </row>
    <row r="37337" spans="30:30" x14ac:dyDescent="0.25">
      <c r="AD37337"/>
    </row>
    <row r="37338" spans="30:30" x14ac:dyDescent="0.25">
      <c r="AD37338"/>
    </row>
    <row r="37339" spans="30:30" x14ac:dyDescent="0.25">
      <c r="AD37339"/>
    </row>
    <row r="37340" spans="30:30" x14ac:dyDescent="0.25">
      <c r="AD37340"/>
    </row>
    <row r="37341" spans="30:30" x14ac:dyDescent="0.25">
      <c r="AD37341"/>
    </row>
    <row r="37342" spans="30:30" x14ac:dyDescent="0.25">
      <c r="AD37342"/>
    </row>
    <row r="37343" spans="30:30" x14ac:dyDescent="0.25">
      <c r="AD37343"/>
    </row>
    <row r="37344" spans="30:30" x14ac:dyDescent="0.25">
      <c r="AD37344"/>
    </row>
    <row r="37345" spans="30:30" x14ac:dyDescent="0.25">
      <c r="AD37345"/>
    </row>
    <row r="37346" spans="30:30" x14ac:dyDescent="0.25">
      <c r="AD37346"/>
    </row>
    <row r="37347" spans="30:30" x14ac:dyDescent="0.25">
      <c r="AD37347"/>
    </row>
    <row r="37348" spans="30:30" x14ac:dyDescent="0.25">
      <c r="AD37348"/>
    </row>
    <row r="37349" spans="30:30" x14ac:dyDescent="0.25">
      <c r="AD37349"/>
    </row>
    <row r="37350" spans="30:30" x14ac:dyDescent="0.25">
      <c r="AD37350"/>
    </row>
    <row r="37351" spans="30:30" x14ac:dyDescent="0.25">
      <c r="AD37351"/>
    </row>
    <row r="37352" spans="30:30" x14ac:dyDescent="0.25">
      <c r="AD37352"/>
    </row>
    <row r="37353" spans="30:30" x14ac:dyDescent="0.25">
      <c r="AD37353"/>
    </row>
    <row r="37354" spans="30:30" x14ac:dyDescent="0.25">
      <c r="AD37354"/>
    </row>
    <row r="37355" spans="30:30" x14ac:dyDescent="0.25">
      <c r="AD37355"/>
    </row>
    <row r="37356" spans="30:30" x14ac:dyDescent="0.25">
      <c r="AD37356"/>
    </row>
    <row r="37357" spans="30:30" x14ac:dyDescent="0.25">
      <c r="AD37357"/>
    </row>
    <row r="37358" spans="30:30" x14ac:dyDescent="0.25">
      <c r="AD37358"/>
    </row>
    <row r="37359" spans="30:30" x14ac:dyDescent="0.25">
      <c r="AD37359"/>
    </row>
    <row r="37360" spans="30:30" x14ac:dyDescent="0.25">
      <c r="AD37360"/>
    </row>
    <row r="37361" spans="30:30" x14ac:dyDescent="0.25">
      <c r="AD37361"/>
    </row>
    <row r="37362" spans="30:30" x14ac:dyDescent="0.25">
      <c r="AD37362"/>
    </row>
    <row r="37363" spans="30:30" x14ac:dyDescent="0.25">
      <c r="AD37363"/>
    </row>
    <row r="37364" spans="30:30" x14ac:dyDescent="0.25">
      <c r="AD37364"/>
    </row>
    <row r="37365" spans="30:30" x14ac:dyDescent="0.25">
      <c r="AD37365"/>
    </row>
    <row r="37366" spans="30:30" x14ac:dyDescent="0.25">
      <c r="AD37366"/>
    </row>
    <row r="37367" spans="30:30" x14ac:dyDescent="0.25">
      <c r="AD37367"/>
    </row>
    <row r="37368" spans="30:30" x14ac:dyDescent="0.25">
      <c r="AD37368"/>
    </row>
    <row r="37369" spans="30:30" x14ac:dyDescent="0.25">
      <c r="AD37369"/>
    </row>
    <row r="37370" spans="30:30" x14ac:dyDescent="0.25">
      <c r="AD37370"/>
    </row>
    <row r="37371" spans="30:30" x14ac:dyDescent="0.25">
      <c r="AD37371"/>
    </row>
    <row r="37372" spans="30:30" x14ac:dyDescent="0.25">
      <c r="AD37372"/>
    </row>
    <row r="37373" spans="30:30" x14ac:dyDescent="0.25">
      <c r="AD37373"/>
    </row>
    <row r="37374" spans="30:30" x14ac:dyDescent="0.25">
      <c r="AD37374"/>
    </row>
    <row r="37375" spans="30:30" x14ac:dyDescent="0.25">
      <c r="AD37375"/>
    </row>
    <row r="37376" spans="30:30" x14ac:dyDescent="0.25">
      <c r="AD37376"/>
    </row>
    <row r="37377" spans="30:30" x14ac:dyDescent="0.25">
      <c r="AD37377"/>
    </row>
    <row r="37378" spans="30:30" x14ac:dyDescent="0.25">
      <c r="AD37378"/>
    </row>
    <row r="37379" spans="30:30" x14ac:dyDescent="0.25">
      <c r="AD37379"/>
    </row>
    <row r="37380" spans="30:30" x14ac:dyDescent="0.25">
      <c r="AD37380"/>
    </row>
    <row r="37381" spans="30:30" x14ac:dyDescent="0.25">
      <c r="AD37381"/>
    </row>
    <row r="37382" spans="30:30" x14ac:dyDescent="0.25">
      <c r="AD37382"/>
    </row>
    <row r="37383" spans="30:30" x14ac:dyDescent="0.25">
      <c r="AD37383"/>
    </row>
    <row r="37384" spans="30:30" x14ac:dyDescent="0.25">
      <c r="AD37384"/>
    </row>
    <row r="37385" spans="30:30" x14ac:dyDescent="0.25">
      <c r="AD37385"/>
    </row>
    <row r="37386" spans="30:30" x14ac:dyDescent="0.25">
      <c r="AD37386"/>
    </row>
    <row r="37387" spans="30:30" x14ac:dyDescent="0.25">
      <c r="AD37387"/>
    </row>
    <row r="37388" spans="30:30" x14ac:dyDescent="0.25">
      <c r="AD37388"/>
    </row>
    <row r="37389" spans="30:30" x14ac:dyDescent="0.25">
      <c r="AD37389"/>
    </row>
    <row r="37390" spans="30:30" x14ac:dyDescent="0.25">
      <c r="AD37390"/>
    </row>
    <row r="37391" spans="30:30" x14ac:dyDescent="0.25">
      <c r="AD37391"/>
    </row>
    <row r="37392" spans="30:30" x14ac:dyDescent="0.25">
      <c r="AD37392"/>
    </row>
    <row r="37393" spans="30:30" x14ac:dyDescent="0.25">
      <c r="AD37393"/>
    </row>
    <row r="37394" spans="30:30" x14ac:dyDescent="0.25">
      <c r="AD37394"/>
    </row>
    <row r="37395" spans="30:30" x14ac:dyDescent="0.25">
      <c r="AD37395"/>
    </row>
    <row r="37396" spans="30:30" x14ac:dyDescent="0.25">
      <c r="AD37396"/>
    </row>
    <row r="37397" spans="30:30" x14ac:dyDescent="0.25">
      <c r="AD37397"/>
    </row>
    <row r="37398" spans="30:30" x14ac:dyDescent="0.25">
      <c r="AD37398"/>
    </row>
    <row r="37399" spans="30:30" x14ac:dyDescent="0.25">
      <c r="AD37399"/>
    </row>
    <row r="37400" spans="30:30" x14ac:dyDescent="0.25">
      <c r="AD37400"/>
    </row>
    <row r="37401" spans="30:30" x14ac:dyDescent="0.25">
      <c r="AD37401"/>
    </row>
    <row r="37402" spans="30:30" x14ac:dyDescent="0.25">
      <c r="AD37402"/>
    </row>
    <row r="37403" spans="30:30" x14ac:dyDescent="0.25">
      <c r="AD37403"/>
    </row>
    <row r="37404" spans="30:30" x14ac:dyDescent="0.25">
      <c r="AD37404"/>
    </row>
    <row r="37405" spans="30:30" x14ac:dyDescent="0.25">
      <c r="AD37405"/>
    </row>
    <row r="37406" spans="30:30" x14ac:dyDescent="0.25">
      <c r="AD37406"/>
    </row>
    <row r="37407" spans="30:30" x14ac:dyDescent="0.25">
      <c r="AD37407"/>
    </row>
    <row r="37408" spans="30:30" x14ac:dyDescent="0.25">
      <c r="AD37408"/>
    </row>
    <row r="37409" spans="30:30" x14ac:dyDescent="0.25">
      <c r="AD37409"/>
    </row>
    <row r="37410" spans="30:30" x14ac:dyDescent="0.25">
      <c r="AD37410"/>
    </row>
    <row r="37411" spans="30:30" x14ac:dyDescent="0.25">
      <c r="AD37411"/>
    </row>
    <row r="37412" spans="30:30" x14ac:dyDescent="0.25">
      <c r="AD37412"/>
    </row>
    <row r="37413" spans="30:30" x14ac:dyDescent="0.25">
      <c r="AD37413"/>
    </row>
    <row r="37414" spans="30:30" x14ac:dyDescent="0.25">
      <c r="AD37414"/>
    </row>
    <row r="37415" spans="30:30" x14ac:dyDescent="0.25">
      <c r="AD37415"/>
    </row>
    <row r="37416" spans="30:30" x14ac:dyDescent="0.25">
      <c r="AD37416"/>
    </row>
    <row r="37417" spans="30:30" x14ac:dyDescent="0.25">
      <c r="AD37417"/>
    </row>
    <row r="37418" spans="30:30" x14ac:dyDescent="0.25">
      <c r="AD37418"/>
    </row>
    <row r="37419" spans="30:30" x14ac:dyDescent="0.25">
      <c r="AD37419"/>
    </row>
    <row r="37420" spans="30:30" x14ac:dyDescent="0.25">
      <c r="AD37420"/>
    </row>
    <row r="37421" spans="30:30" x14ac:dyDescent="0.25">
      <c r="AD37421"/>
    </row>
    <row r="37422" spans="30:30" x14ac:dyDescent="0.25">
      <c r="AD37422"/>
    </row>
    <row r="37423" spans="30:30" x14ac:dyDescent="0.25">
      <c r="AD37423"/>
    </row>
    <row r="37424" spans="30:30" x14ac:dyDescent="0.25">
      <c r="AD37424"/>
    </row>
    <row r="37425" spans="30:30" x14ac:dyDescent="0.25">
      <c r="AD37425"/>
    </row>
    <row r="37426" spans="30:30" x14ac:dyDescent="0.25">
      <c r="AD37426"/>
    </row>
    <row r="37427" spans="30:30" x14ac:dyDescent="0.25">
      <c r="AD37427"/>
    </row>
    <row r="37428" spans="30:30" x14ac:dyDescent="0.25">
      <c r="AD37428"/>
    </row>
    <row r="37429" spans="30:30" x14ac:dyDescent="0.25">
      <c r="AD37429"/>
    </row>
    <row r="37430" spans="30:30" x14ac:dyDescent="0.25">
      <c r="AD37430"/>
    </row>
    <row r="37431" spans="30:30" x14ac:dyDescent="0.25">
      <c r="AD37431"/>
    </row>
    <row r="37432" spans="30:30" x14ac:dyDescent="0.25">
      <c r="AD37432"/>
    </row>
    <row r="37433" spans="30:30" x14ac:dyDescent="0.25">
      <c r="AD37433"/>
    </row>
    <row r="37434" spans="30:30" x14ac:dyDescent="0.25">
      <c r="AD37434"/>
    </row>
    <row r="37435" spans="30:30" x14ac:dyDescent="0.25">
      <c r="AD37435"/>
    </row>
    <row r="37436" spans="30:30" x14ac:dyDescent="0.25">
      <c r="AD37436"/>
    </row>
    <row r="37437" spans="30:30" x14ac:dyDescent="0.25">
      <c r="AD37437"/>
    </row>
    <row r="37438" spans="30:30" x14ac:dyDescent="0.25">
      <c r="AD37438"/>
    </row>
    <row r="37439" spans="30:30" x14ac:dyDescent="0.25">
      <c r="AD37439"/>
    </row>
    <row r="37440" spans="30:30" x14ac:dyDescent="0.25">
      <c r="AD37440"/>
    </row>
    <row r="37441" spans="30:30" x14ac:dyDescent="0.25">
      <c r="AD37441"/>
    </row>
    <row r="37442" spans="30:30" x14ac:dyDescent="0.25">
      <c r="AD37442"/>
    </row>
    <row r="37443" spans="30:30" x14ac:dyDescent="0.25">
      <c r="AD37443"/>
    </row>
    <row r="37444" spans="30:30" x14ac:dyDescent="0.25">
      <c r="AD37444"/>
    </row>
    <row r="37445" spans="30:30" x14ac:dyDescent="0.25">
      <c r="AD37445"/>
    </row>
    <row r="37446" spans="30:30" x14ac:dyDescent="0.25">
      <c r="AD37446"/>
    </row>
    <row r="37447" spans="30:30" x14ac:dyDescent="0.25">
      <c r="AD37447"/>
    </row>
    <row r="37448" spans="30:30" x14ac:dyDescent="0.25">
      <c r="AD37448"/>
    </row>
    <row r="37449" spans="30:30" x14ac:dyDescent="0.25">
      <c r="AD37449"/>
    </row>
    <row r="37450" spans="30:30" x14ac:dyDescent="0.25">
      <c r="AD37450"/>
    </row>
    <row r="37451" spans="30:30" x14ac:dyDescent="0.25">
      <c r="AD37451"/>
    </row>
    <row r="37452" spans="30:30" x14ac:dyDescent="0.25">
      <c r="AD37452"/>
    </row>
    <row r="37453" spans="30:30" x14ac:dyDescent="0.25">
      <c r="AD37453"/>
    </row>
    <row r="37454" spans="30:30" x14ac:dyDescent="0.25">
      <c r="AD37454"/>
    </row>
    <row r="37455" spans="30:30" x14ac:dyDescent="0.25">
      <c r="AD37455"/>
    </row>
    <row r="37456" spans="30:30" x14ac:dyDescent="0.25">
      <c r="AD37456"/>
    </row>
    <row r="37457" spans="30:30" x14ac:dyDescent="0.25">
      <c r="AD37457"/>
    </row>
    <row r="37458" spans="30:30" x14ac:dyDescent="0.25">
      <c r="AD37458"/>
    </row>
    <row r="37459" spans="30:30" x14ac:dyDescent="0.25">
      <c r="AD37459"/>
    </row>
    <row r="37460" spans="30:30" x14ac:dyDescent="0.25">
      <c r="AD37460"/>
    </row>
    <row r="37461" spans="30:30" x14ac:dyDescent="0.25">
      <c r="AD37461"/>
    </row>
    <row r="37462" spans="30:30" x14ac:dyDescent="0.25">
      <c r="AD37462"/>
    </row>
    <row r="37463" spans="30:30" x14ac:dyDescent="0.25">
      <c r="AD37463"/>
    </row>
    <row r="37464" spans="30:30" x14ac:dyDescent="0.25">
      <c r="AD37464"/>
    </row>
    <row r="37465" spans="30:30" x14ac:dyDescent="0.25">
      <c r="AD37465"/>
    </row>
    <row r="37466" spans="30:30" x14ac:dyDescent="0.25">
      <c r="AD37466"/>
    </row>
    <row r="37467" spans="30:30" x14ac:dyDescent="0.25">
      <c r="AD37467"/>
    </row>
    <row r="37468" spans="30:30" x14ac:dyDescent="0.25">
      <c r="AD37468"/>
    </row>
    <row r="37469" spans="30:30" x14ac:dyDescent="0.25">
      <c r="AD37469"/>
    </row>
    <row r="37470" spans="30:30" x14ac:dyDescent="0.25">
      <c r="AD37470"/>
    </row>
    <row r="37471" spans="30:30" x14ac:dyDescent="0.25">
      <c r="AD37471"/>
    </row>
    <row r="37472" spans="30:30" x14ac:dyDescent="0.25">
      <c r="AD37472"/>
    </row>
    <row r="37473" spans="30:30" x14ac:dyDescent="0.25">
      <c r="AD37473"/>
    </row>
    <row r="37474" spans="30:30" x14ac:dyDescent="0.25">
      <c r="AD37474"/>
    </row>
    <row r="37475" spans="30:30" x14ac:dyDescent="0.25">
      <c r="AD37475"/>
    </row>
    <row r="37476" spans="30:30" x14ac:dyDescent="0.25">
      <c r="AD37476"/>
    </row>
    <row r="37477" spans="30:30" x14ac:dyDescent="0.25">
      <c r="AD37477"/>
    </row>
    <row r="37478" spans="30:30" x14ac:dyDescent="0.25">
      <c r="AD37478"/>
    </row>
    <row r="37479" spans="30:30" x14ac:dyDescent="0.25">
      <c r="AD37479"/>
    </row>
    <row r="37480" spans="30:30" x14ac:dyDescent="0.25">
      <c r="AD37480"/>
    </row>
    <row r="37481" spans="30:30" x14ac:dyDescent="0.25">
      <c r="AD37481"/>
    </row>
    <row r="37482" spans="30:30" x14ac:dyDescent="0.25">
      <c r="AD37482"/>
    </row>
    <row r="37483" spans="30:30" x14ac:dyDescent="0.25">
      <c r="AD37483"/>
    </row>
    <row r="37484" spans="30:30" x14ac:dyDescent="0.25">
      <c r="AD37484"/>
    </row>
    <row r="37485" spans="30:30" x14ac:dyDescent="0.25">
      <c r="AD37485"/>
    </row>
    <row r="37486" spans="30:30" x14ac:dyDescent="0.25">
      <c r="AD37486"/>
    </row>
    <row r="37487" spans="30:30" x14ac:dyDescent="0.25">
      <c r="AD37487"/>
    </row>
    <row r="37488" spans="30:30" x14ac:dyDescent="0.25">
      <c r="AD37488"/>
    </row>
    <row r="37489" spans="30:30" x14ac:dyDescent="0.25">
      <c r="AD37489"/>
    </row>
    <row r="37490" spans="30:30" x14ac:dyDescent="0.25">
      <c r="AD37490"/>
    </row>
    <row r="37491" spans="30:30" x14ac:dyDescent="0.25">
      <c r="AD37491"/>
    </row>
    <row r="37492" spans="30:30" x14ac:dyDescent="0.25">
      <c r="AD37492"/>
    </row>
    <row r="37493" spans="30:30" x14ac:dyDescent="0.25">
      <c r="AD37493"/>
    </row>
    <row r="37494" spans="30:30" x14ac:dyDescent="0.25">
      <c r="AD37494"/>
    </row>
    <row r="37495" spans="30:30" x14ac:dyDescent="0.25">
      <c r="AD37495"/>
    </row>
    <row r="37496" spans="30:30" x14ac:dyDescent="0.25">
      <c r="AD37496"/>
    </row>
    <row r="37497" spans="30:30" x14ac:dyDescent="0.25">
      <c r="AD37497"/>
    </row>
    <row r="37498" spans="30:30" x14ac:dyDescent="0.25">
      <c r="AD37498"/>
    </row>
    <row r="37499" spans="30:30" x14ac:dyDescent="0.25">
      <c r="AD37499"/>
    </row>
    <row r="37500" spans="30:30" x14ac:dyDescent="0.25">
      <c r="AD37500"/>
    </row>
    <row r="37501" spans="30:30" x14ac:dyDescent="0.25">
      <c r="AD37501"/>
    </row>
    <row r="37502" spans="30:30" x14ac:dyDescent="0.25">
      <c r="AD37502"/>
    </row>
    <row r="37503" spans="30:30" x14ac:dyDescent="0.25">
      <c r="AD37503"/>
    </row>
    <row r="37504" spans="30:30" x14ac:dyDescent="0.25">
      <c r="AD37504"/>
    </row>
    <row r="37505" spans="30:30" x14ac:dyDescent="0.25">
      <c r="AD37505"/>
    </row>
    <row r="37506" spans="30:30" x14ac:dyDescent="0.25">
      <c r="AD37506"/>
    </row>
    <row r="37507" spans="30:30" x14ac:dyDescent="0.25">
      <c r="AD37507"/>
    </row>
    <row r="37508" spans="30:30" x14ac:dyDescent="0.25">
      <c r="AD37508"/>
    </row>
    <row r="37509" spans="30:30" x14ac:dyDescent="0.25">
      <c r="AD37509"/>
    </row>
    <row r="37510" spans="30:30" x14ac:dyDescent="0.25">
      <c r="AD37510"/>
    </row>
    <row r="37511" spans="30:30" x14ac:dyDescent="0.25">
      <c r="AD37511"/>
    </row>
    <row r="37512" spans="30:30" x14ac:dyDescent="0.25">
      <c r="AD37512"/>
    </row>
    <row r="37513" spans="30:30" x14ac:dyDescent="0.25">
      <c r="AD37513"/>
    </row>
    <row r="37514" spans="30:30" x14ac:dyDescent="0.25">
      <c r="AD37514"/>
    </row>
    <row r="37515" spans="30:30" x14ac:dyDescent="0.25">
      <c r="AD37515"/>
    </row>
    <row r="37516" spans="30:30" x14ac:dyDescent="0.25">
      <c r="AD37516"/>
    </row>
    <row r="37517" spans="30:30" x14ac:dyDescent="0.25">
      <c r="AD37517"/>
    </row>
    <row r="37518" spans="30:30" x14ac:dyDescent="0.25">
      <c r="AD37518"/>
    </row>
    <row r="37519" spans="30:30" x14ac:dyDescent="0.25">
      <c r="AD37519"/>
    </row>
    <row r="37520" spans="30:30" x14ac:dyDescent="0.25">
      <c r="AD37520"/>
    </row>
    <row r="37521" spans="30:30" x14ac:dyDescent="0.25">
      <c r="AD37521"/>
    </row>
    <row r="37522" spans="30:30" x14ac:dyDescent="0.25">
      <c r="AD37522"/>
    </row>
    <row r="37523" spans="30:30" x14ac:dyDescent="0.25">
      <c r="AD37523"/>
    </row>
    <row r="37524" spans="30:30" x14ac:dyDescent="0.25">
      <c r="AD37524"/>
    </row>
    <row r="37525" spans="30:30" x14ac:dyDescent="0.25">
      <c r="AD37525"/>
    </row>
    <row r="37526" spans="30:30" x14ac:dyDescent="0.25">
      <c r="AD37526"/>
    </row>
    <row r="37527" spans="30:30" x14ac:dyDescent="0.25">
      <c r="AD37527"/>
    </row>
    <row r="37528" spans="30:30" x14ac:dyDescent="0.25">
      <c r="AD37528"/>
    </row>
    <row r="37529" spans="30:30" x14ac:dyDescent="0.25">
      <c r="AD37529"/>
    </row>
    <row r="37530" spans="30:30" x14ac:dyDescent="0.25">
      <c r="AD37530"/>
    </row>
    <row r="37531" spans="30:30" x14ac:dyDescent="0.25">
      <c r="AD37531"/>
    </row>
    <row r="37532" spans="30:30" x14ac:dyDescent="0.25">
      <c r="AD37532"/>
    </row>
    <row r="37533" spans="30:30" x14ac:dyDescent="0.25">
      <c r="AD37533"/>
    </row>
    <row r="37534" spans="30:30" x14ac:dyDescent="0.25">
      <c r="AD37534"/>
    </row>
    <row r="37535" spans="30:30" x14ac:dyDescent="0.25">
      <c r="AD37535"/>
    </row>
    <row r="37536" spans="30:30" x14ac:dyDescent="0.25">
      <c r="AD37536"/>
    </row>
    <row r="37537" spans="30:30" x14ac:dyDescent="0.25">
      <c r="AD37537"/>
    </row>
    <row r="37538" spans="30:30" x14ac:dyDescent="0.25">
      <c r="AD37538"/>
    </row>
    <row r="37539" spans="30:30" x14ac:dyDescent="0.25">
      <c r="AD37539"/>
    </row>
    <row r="37540" spans="30:30" x14ac:dyDescent="0.25">
      <c r="AD37540"/>
    </row>
    <row r="37541" spans="30:30" x14ac:dyDescent="0.25">
      <c r="AD37541"/>
    </row>
    <row r="37542" spans="30:30" x14ac:dyDescent="0.25">
      <c r="AD37542"/>
    </row>
    <row r="37543" spans="30:30" x14ac:dyDescent="0.25">
      <c r="AD37543"/>
    </row>
    <row r="37544" spans="30:30" x14ac:dyDescent="0.25">
      <c r="AD37544"/>
    </row>
    <row r="37545" spans="30:30" x14ac:dyDescent="0.25">
      <c r="AD37545"/>
    </row>
    <row r="37546" spans="30:30" x14ac:dyDescent="0.25">
      <c r="AD37546"/>
    </row>
    <row r="37547" spans="30:30" x14ac:dyDescent="0.25">
      <c r="AD37547"/>
    </row>
    <row r="37548" spans="30:30" x14ac:dyDescent="0.25">
      <c r="AD37548"/>
    </row>
    <row r="37549" spans="30:30" x14ac:dyDescent="0.25">
      <c r="AD37549"/>
    </row>
    <row r="37550" spans="30:30" x14ac:dyDescent="0.25">
      <c r="AD37550"/>
    </row>
    <row r="37551" spans="30:30" x14ac:dyDescent="0.25">
      <c r="AD37551"/>
    </row>
    <row r="37552" spans="30:30" x14ac:dyDescent="0.25">
      <c r="AD37552"/>
    </row>
    <row r="37553" spans="30:30" x14ac:dyDescent="0.25">
      <c r="AD37553"/>
    </row>
    <row r="37554" spans="30:30" x14ac:dyDescent="0.25">
      <c r="AD37554"/>
    </row>
    <row r="37555" spans="30:30" x14ac:dyDescent="0.25">
      <c r="AD37555"/>
    </row>
    <row r="37556" spans="30:30" x14ac:dyDescent="0.25">
      <c r="AD37556"/>
    </row>
    <row r="37557" spans="30:30" x14ac:dyDescent="0.25">
      <c r="AD37557"/>
    </row>
    <row r="37558" spans="30:30" x14ac:dyDescent="0.25">
      <c r="AD37558"/>
    </row>
    <row r="37559" spans="30:30" x14ac:dyDescent="0.25">
      <c r="AD37559"/>
    </row>
    <row r="37560" spans="30:30" x14ac:dyDescent="0.25">
      <c r="AD37560"/>
    </row>
    <row r="37561" spans="30:30" x14ac:dyDescent="0.25">
      <c r="AD37561"/>
    </row>
    <row r="37562" spans="30:30" x14ac:dyDescent="0.25">
      <c r="AD37562"/>
    </row>
    <row r="37563" spans="30:30" x14ac:dyDescent="0.25">
      <c r="AD37563"/>
    </row>
    <row r="37564" spans="30:30" x14ac:dyDescent="0.25">
      <c r="AD37564"/>
    </row>
    <row r="37565" spans="30:30" x14ac:dyDescent="0.25">
      <c r="AD37565"/>
    </row>
    <row r="37566" spans="30:30" x14ac:dyDescent="0.25">
      <c r="AD37566"/>
    </row>
    <row r="37567" spans="30:30" x14ac:dyDescent="0.25">
      <c r="AD37567"/>
    </row>
    <row r="37568" spans="30:30" x14ac:dyDescent="0.25">
      <c r="AD37568"/>
    </row>
    <row r="37569" spans="30:30" x14ac:dyDescent="0.25">
      <c r="AD37569"/>
    </row>
    <row r="37570" spans="30:30" x14ac:dyDescent="0.25">
      <c r="AD37570"/>
    </row>
    <row r="37571" spans="30:30" x14ac:dyDescent="0.25">
      <c r="AD37571"/>
    </row>
    <row r="37572" spans="30:30" x14ac:dyDescent="0.25">
      <c r="AD37572"/>
    </row>
    <row r="37573" spans="30:30" x14ac:dyDescent="0.25">
      <c r="AD37573"/>
    </row>
    <row r="37574" spans="30:30" x14ac:dyDescent="0.25">
      <c r="AD37574"/>
    </row>
    <row r="37575" spans="30:30" x14ac:dyDescent="0.25">
      <c r="AD37575"/>
    </row>
    <row r="37576" spans="30:30" x14ac:dyDescent="0.25">
      <c r="AD37576"/>
    </row>
    <row r="37577" spans="30:30" x14ac:dyDescent="0.25">
      <c r="AD37577"/>
    </row>
    <row r="37578" spans="30:30" x14ac:dyDescent="0.25">
      <c r="AD37578"/>
    </row>
    <row r="37579" spans="30:30" x14ac:dyDescent="0.25">
      <c r="AD37579"/>
    </row>
    <row r="37580" spans="30:30" x14ac:dyDescent="0.25">
      <c r="AD37580"/>
    </row>
    <row r="37581" spans="30:30" x14ac:dyDescent="0.25">
      <c r="AD37581"/>
    </row>
    <row r="37582" spans="30:30" x14ac:dyDescent="0.25">
      <c r="AD37582"/>
    </row>
    <row r="37583" spans="30:30" x14ac:dyDescent="0.25">
      <c r="AD37583"/>
    </row>
    <row r="37584" spans="30:30" x14ac:dyDescent="0.25">
      <c r="AD37584"/>
    </row>
    <row r="37585" spans="30:30" x14ac:dyDescent="0.25">
      <c r="AD37585"/>
    </row>
    <row r="37586" spans="30:30" x14ac:dyDescent="0.25">
      <c r="AD37586"/>
    </row>
    <row r="37587" spans="30:30" x14ac:dyDescent="0.25">
      <c r="AD37587"/>
    </row>
    <row r="37588" spans="30:30" x14ac:dyDescent="0.25">
      <c r="AD37588"/>
    </row>
    <row r="37589" spans="30:30" x14ac:dyDescent="0.25">
      <c r="AD37589"/>
    </row>
    <row r="37590" spans="30:30" x14ac:dyDescent="0.25">
      <c r="AD37590"/>
    </row>
    <row r="37591" spans="30:30" x14ac:dyDescent="0.25">
      <c r="AD37591"/>
    </row>
    <row r="37592" spans="30:30" x14ac:dyDescent="0.25">
      <c r="AD37592"/>
    </row>
    <row r="37593" spans="30:30" x14ac:dyDescent="0.25">
      <c r="AD37593"/>
    </row>
    <row r="37594" spans="30:30" x14ac:dyDescent="0.25">
      <c r="AD37594"/>
    </row>
    <row r="37595" spans="30:30" x14ac:dyDescent="0.25">
      <c r="AD37595"/>
    </row>
    <row r="37596" spans="30:30" x14ac:dyDescent="0.25">
      <c r="AD37596"/>
    </row>
    <row r="37597" spans="30:30" x14ac:dyDescent="0.25">
      <c r="AD37597"/>
    </row>
    <row r="37598" spans="30:30" x14ac:dyDescent="0.25">
      <c r="AD37598"/>
    </row>
    <row r="37599" spans="30:30" x14ac:dyDescent="0.25">
      <c r="AD37599"/>
    </row>
    <row r="37600" spans="30:30" x14ac:dyDescent="0.25">
      <c r="AD37600"/>
    </row>
    <row r="37601" spans="30:30" x14ac:dyDescent="0.25">
      <c r="AD37601"/>
    </row>
    <row r="37602" spans="30:30" x14ac:dyDescent="0.25">
      <c r="AD37602"/>
    </row>
    <row r="37603" spans="30:30" x14ac:dyDescent="0.25">
      <c r="AD37603"/>
    </row>
    <row r="37604" spans="30:30" x14ac:dyDescent="0.25">
      <c r="AD37604"/>
    </row>
    <row r="37605" spans="30:30" x14ac:dyDescent="0.25">
      <c r="AD37605"/>
    </row>
    <row r="37606" spans="30:30" x14ac:dyDescent="0.25">
      <c r="AD37606"/>
    </row>
    <row r="37607" spans="30:30" x14ac:dyDescent="0.25">
      <c r="AD37607"/>
    </row>
    <row r="37608" spans="30:30" x14ac:dyDescent="0.25">
      <c r="AD37608"/>
    </row>
    <row r="37609" spans="30:30" x14ac:dyDescent="0.25">
      <c r="AD37609"/>
    </row>
    <row r="37610" spans="30:30" x14ac:dyDescent="0.25">
      <c r="AD37610"/>
    </row>
    <row r="37611" spans="30:30" x14ac:dyDescent="0.25">
      <c r="AD37611"/>
    </row>
    <row r="37612" spans="30:30" x14ac:dyDescent="0.25">
      <c r="AD37612"/>
    </row>
    <row r="37613" spans="30:30" x14ac:dyDescent="0.25">
      <c r="AD37613"/>
    </row>
    <row r="37614" spans="30:30" x14ac:dyDescent="0.25">
      <c r="AD37614"/>
    </row>
    <row r="37615" spans="30:30" x14ac:dyDescent="0.25">
      <c r="AD37615"/>
    </row>
    <row r="37616" spans="30:30" x14ac:dyDescent="0.25">
      <c r="AD37616"/>
    </row>
    <row r="37617" spans="30:30" x14ac:dyDescent="0.25">
      <c r="AD37617"/>
    </row>
    <row r="37618" spans="30:30" x14ac:dyDescent="0.25">
      <c r="AD37618"/>
    </row>
    <row r="37619" spans="30:30" x14ac:dyDescent="0.25">
      <c r="AD37619"/>
    </row>
    <row r="37620" spans="30:30" x14ac:dyDescent="0.25">
      <c r="AD37620"/>
    </row>
    <row r="37621" spans="30:30" x14ac:dyDescent="0.25">
      <c r="AD37621"/>
    </row>
    <row r="37622" spans="30:30" x14ac:dyDescent="0.25">
      <c r="AD37622"/>
    </row>
    <row r="37623" spans="30:30" x14ac:dyDescent="0.25">
      <c r="AD37623"/>
    </row>
    <row r="37624" spans="30:30" x14ac:dyDescent="0.25">
      <c r="AD37624"/>
    </row>
    <row r="37625" spans="30:30" x14ac:dyDescent="0.25">
      <c r="AD37625"/>
    </row>
    <row r="37626" spans="30:30" x14ac:dyDescent="0.25">
      <c r="AD37626"/>
    </row>
    <row r="37627" spans="30:30" x14ac:dyDescent="0.25">
      <c r="AD37627"/>
    </row>
    <row r="37628" spans="30:30" x14ac:dyDescent="0.25">
      <c r="AD37628"/>
    </row>
    <row r="37629" spans="30:30" x14ac:dyDescent="0.25">
      <c r="AD37629"/>
    </row>
    <row r="37630" spans="30:30" x14ac:dyDescent="0.25">
      <c r="AD37630"/>
    </row>
    <row r="37631" spans="30:30" x14ac:dyDescent="0.25">
      <c r="AD37631"/>
    </row>
    <row r="37632" spans="30:30" x14ac:dyDescent="0.25">
      <c r="AD37632"/>
    </row>
    <row r="37633" spans="30:30" x14ac:dyDescent="0.25">
      <c r="AD37633"/>
    </row>
    <row r="37634" spans="30:30" x14ac:dyDescent="0.25">
      <c r="AD37634"/>
    </row>
    <row r="37635" spans="30:30" x14ac:dyDescent="0.25">
      <c r="AD37635"/>
    </row>
    <row r="37636" spans="30:30" x14ac:dyDescent="0.25">
      <c r="AD37636"/>
    </row>
    <row r="37637" spans="30:30" x14ac:dyDescent="0.25">
      <c r="AD37637"/>
    </row>
    <row r="37638" spans="30:30" x14ac:dyDescent="0.25">
      <c r="AD37638"/>
    </row>
    <row r="37639" spans="30:30" x14ac:dyDescent="0.25">
      <c r="AD37639"/>
    </row>
    <row r="37640" spans="30:30" x14ac:dyDescent="0.25">
      <c r="AD37640"/>
    </row>
    <row r="37641" spans="30:30" x14ac:dyDescent="0.25">
      <c r="AD37641"/>
    </row>
    <row r="37642" spans="30:30" x14ac:dyDescent="0.25">
      <c r="AD37642"/>
    </row>
    <row r="37643" spans="30:30" x14ac:dyDescent="0.25">
      <c r="AD37643"/>
    </row>
    <row r="37644" spans="30:30" x14ac:dyDescent="0.25">
      <c r="AD37644"/>
    </row>
    <row r="37645" spans="30:30" x14ac:dyDescent="0.25">
      <c r="AD37645"/>
    </row>
    <row r="37646" spans="30:30" x14ac:dyDescent="0.25">
      <c r="AD37646"/>
    </row>
    <row r="37647" spans="30:30" x14ac:dyDescent="0.25">
      <c r="AD37647"/>
    </row>
    <row r="37648" spans="30:30" x14ac:dyDescent="0.25">
      <c r="AD37648"/>
    </row>
    <row r="37649" spans="30:30" x14ac:dyDescent="0.25">
      <c r="AD37649"/>
    </row>
    <row r="37650" spans="30:30" x14ac:dyDescent="0.25">
      <c r="AD37650"/>
    </row>
    <row r="37651" spans="30:30" x14ac:dyDescent="0.25">
      <c r="AD37651"/>
    </row>
    <row r="37652" spans="30:30" x14ac:dyDescent="0.25">
      <c r="AD37652"/>
    </row>
    <row r="37653" spans="30:30" x14ac:dyDescent="0.25">
      <c r="AD37653"/>
    </row>
    <row r="37654" spans="30:30" x14ac:dyDescent="0.25">
      <c r="AD37654"/>
    </row>
    <row r="37655" spans="30:30" x14ac:dyDescent="0.25">
      <c r="AD37655"/>
    </row>
    <row r="37656" spans="30:30" x14ac:dyDescent="0.25">
      <c r="AD37656"/>
    </row>
    <row r="37657" spans="30:30" x14ac:dyDescent="0.25">
      <c r="AD37657"/>
    </row>
    <row r="37658" spans="30:30" x14ac:dyDescent="0.25">
      <c r="AD37658"/>
    </row>
    <row r="37659" spans="30:30" x14ac:dyDescent="0.25">
      <c r="AD37659"/>
    </row>
    <row r="37660" spans="30:30" x14ac:dyDescent="0.25">
      <c r="AD37660"/>
    </row>
    <row r="37661" spans="30:30" x14ac:dyDescent="0.25">
      <c r="AD37661"/>
    </row>
    <row r="37662" spans="30:30" x14ac:dyDescent="0.25">
      <c r="AD37662"/>
    </row>
    <row r="37663" spans="30:30" x14ac:dyDescent="0.25">
      <c r="AD37663"/>
    </row>
    <row r="37664" spans="30:30" x14ac:dyDescent="0.25">
      <c r="AD37664"/>
    </row>
    <row r="37665" spans="30:30" x14ac:dyDescent="0.25">
      <c r="AD37665"/>
    </row>
    <row r="37666" spans="30:30" x14ac:dyDescent="0.25">
      <c r="AD37666"/>
    </row>
    <row r="37667" spans="30:30" x14ac:dyDescent="0.25">
      <c r="AD37667"/>
    </row>
    <row r="37668" spans="30:30" x14ac:dyDescent="0.25">
      <c r="AD37668"/>
    </row>
    <row r="37669" spans="30:30" x14ac:dyDescent="0.25">
      <c r="AD37669"/>
    </row>
    <row r="37670" spans="30:30" x14ac:dyDescent="0.25">
      <c r="AD37670"/>
    </row>
    <row r="37671" spans="30:30" x14ac:dyDescent="0.25">
      <c r="AD37671"/>
    </row>
    <row r="37672" spans="30:30" x14ac:dyDescent="0.25">
      <c r="AD37672"/>
    </row>
    <row r="37673" spans="30:30" x14ac:dyDescent="0.25">
      <c r="AD37673"/>
    </row>
    <row r="37674" spans="30:30" x14ac:dyDescent="0.25">
      <c r="AD37674"/>
    </row>
    <row r="37675" spans="30:30" x14ac:dyDescent="0.25">
      <c r="AD37675"/>
    </row>
    <row r="37676" spans="30:30" x14ac:dyDescent="0.25">
      <c r="AD37676"/>
    </row>
    <row r="37677" spans="30:30" x14ac:dyDescent="0.25">
      <c r="AD37677"/>
    </row>
    <row r="37678" spans="30:30" x14ac:dyDescent="0.25">
      <c r="AD37678"/>
    </row>
    <row r="37679" spans="30:30" x14ac:dyDescent="0.25">
      <c r="AD37679"/>
    </row>
    <row r="37680" spans="30:30" x14ac:dyDescent="0.25">
      <c r="AD37680"/>
    </row>
    <row r="37681" spans="30:30" x14ac:dyDescent="0.25">
      <c r="AD37681"/>
    </row>
    <row r="37682" spans="30:30" x14ac:dyDescent="0.25">
      <c r="AD37682"/>
    </row>
    <row r="37683" spans="30:30" x14ac:dyDescent="0.25">
      <c r="AD37683"/>
    </row>
    <row r="37684" spans="30:30" x14ac:dyDescent="0.25">
      <c r="AD37684"/>
    </row>
    <row r="37685" spans="30:30" x14ac:dyDescent="0.25">
      <c r="AD37685"/>
    </row>
    <row r="37686" spans="30:30" x14ac:dyDescent="0.25">
      <c r="AD37686"/>
    </row>
    <row r="37687" spans="30:30" x14ac:dyDescent="0.25">
      <c r="AD37687"/>
    </row>
    <row r="37688" spans="30:30" x14ac:dyDescent="0.25">
      <c r="AD37688"/>
    </row>
    <row r="37689" spans="30:30" x14ac:dyDescent="0.25">
      <c r="AD37689"/>
    </row>
    <row r="37690" spans="30:30" x14ac:dyDescent="0.25">
      <c r="AD37690"/>
    </row>
    <row r="37691" spans="30:30" x14ac:dyDescent="0.25">
      <c r="AD37691"/>
    </row>
    <row r="37692" spans="30:30" x14ac:dyDescent="0.25">
      <c r="AD37692"/>
    </row>
    <row r="37693" spans="30:30" x14ac:dyDescent="0.25">
      <c r="AD37693"/>
    </row>
    <row r="37694" spans="30:30" x14ac:dyDescent="0.25">
      <c r="AD37694"/>
    </row>
    <row r="37695" spans="30:30" x14ac:dyDescent="0.25">
      <c r="AD37695"/>
    </row>
    <row r="37696" spans="30:30" x14ac:dyDescent="0.25">
      <c r="AD37696"/>
    </row>
    <row r="37697" spans="30:30" x14ac:dyDescent="0.25">
      <c r="AD37697"/>
    </row>
    <row r="37698" spans="30:30" x14ac:dyDescent="0.25">
      <c r="AD37698"/>
    </row>
    <row r="37699" spans="30:30" x14ac:dyDescent="0.25">
      <c r="AD37699"/>
    </row>
    <row r="37700" spans="30:30" x14ac:dyDescent="0.25">
      <c r="AD37700"/>
    </row>
    <row r="37701" spans="30:30" x14ac:dyDescent="0.25">
      <c r="AD37701"/>
    </row>
    <row r="37702" spans="30:30" x14ac:dyDescent="0.25">
      <c r="AD37702"/>
    </row>
    <row r="37703" spans="30:30" x14ac:dyDescent="0.25">
      <c r="AD37703"/>
    </row>
    <row r="37704" spans="30:30" x14ac:dyDescent="0.25">
      <c r="AD37704"/>
    </row>
    <row r="37705" spans="30:30" x14ac:dyDescent="0.25">
      <c r="AD37705"/>
    </row>
    <row r="37706" spans="30:30" x14ac:dyDescent="0.25">
      <c r="AD37706"/>
    </row>
    <row r="37707" spans="30:30" x14ac:dyDescent="0.25">
      <c r="AD37707"/>
    </row>
    <row r="37708" spans="30:30" x14ac:dyDescent="0.25">
      <c r="AD37708"/>
    </row>
    <row r="37709" spans="30:30" x14ac:dyDescent="0.25">
      <c r="AD37709"/>
    </row>
    <row r="37710" spans="30:30" x14ac:dyDescent="0.25">
      <c r="AD37710"/>
    </row>
    <row r="37711" spans="30:30" x14ac:dyDescent="0.25">
      <c r="AD37711"/>
    </row>
    <row r="37712" spans="30:30" x14ac:dyDescent="0.25">
      <c r="AD37712"/>
    </row>
    <row r="37713" spans="30:30" x14ac:dyDescent="0.25">
      <c r="AD37713"/>
    </row>
    <row r="37714" spans="30:30" x14ac:dyDescent="0.25">
      <c r="AD37714"/>
    </row>
    <row r="37715" spans="30:30" x14ac:dyDescent="0.25">
      <c r="AD37715"/>
    </row>
    <row r="37716" spans="30:30" x14ac:dyDescent="0.25">
      <c r="AD37716"/>
    </row>
    <row r="37717" spans="30:30" x14ac:dyDescent="0.25">
      <c r="AD37717"/>
    </row>
    <row r="37718" spans="30:30" x14ac:dyDescent="0.25">
      <c r="AD37718"/>
    </row>
    <row r="37719" spans="30:30" x14ac:dyDescent="0.25">
      <c r="AD37719"/>
    </row>
    <row r="37720" spans="30:30" x14ac:dyDescent="0.25">
      <c r="AD37720"/>
    </row>
    <row r="37721" spans="30:30" x14ac:dyDescent="0.25">
      <c r="AD37721"/>
    </row>
    <row r="37722" spans="30:30" x14ac:dyDescent="0.25">
      <c r="AD37722"/>
    </row>
    <row r="37723" spans="30:30" x14ac:dyDescent="0.25">
      <c r="AD37723"/>
    </row>
    <row r="37724" spans="30:30" x14ac:dyDescent="0.25">
      <c r="AD37724"/>
    </row>
    <row r="37725" spans="30:30" x14ac:dyDescent="0.25">
      <c r="AD37725"/>
    </row>
    <row r="37726" spans="30:30" x14ac:dyDescent="0.25">
      <c r="AD37726"/>
    </row>
    <row r="37727" spans="30:30" x14ac:dyDescent="0.25">
      <c r="AD37727"/>
    </row>
    <row r="37728" spans="30:30" x14ac:dyDescent="0.25">
      <c r="AD37728"/>
    </row>
    <row r="37729" spans="30:30" x14ac:dyDescent="0.25">
      <c r="AD37729"/>
    </row>
    <row r="37730" spans="30:30" x14ac:dyDescent="0.25">
      <c r="AD37730"/>
    </row>
    <row r="37731" spans="30:30" x14ac:dyDescent="0.25">
      <c r="AD37731"/>
    </row>
    <row r="37732" spans="30:30" x14ac:dyDescent="0.25">
      <c r="AD37732"/>
    </row>
    <row r="37733" spans="30:30" x14ac:dyDescent="0.25">
      <c r="AD37733"/>
    </row>
    <row r="37734" spans="30:30" x14ac:dyDescent="0.25">
      <c r="AD37734"/>
    </row>
    <row r="37735" spans="30:30" x14ac:dyDescent="0.25">
      <c r="AD37735"/>
    </row>
    <row r="37736" spans="30:30" x14ac:dyDescent="0.25">
      <c r="AD37736"/>
    </row>
    <row r="37737" spans="30:30" x14ac:dyDescent="0.25">
      <c r="AD37737"/>
    </row>
    <row r="37738" spans="30:30" x14ac:dyDescent="0.25">
      <c r="AD37738"/>
    </row>
    <row r="37739" spans="30:30" x14ac:dyDescent="0.25">
      <c r="AD37739"/>
    </row>
    <row r="37740" spans="30:30" x14ac:dyDescent="0.25">
      <c r="AD37740"/>
    </row>
    <row r="37741" spans="30:30" x14ac:dyDescent="0.25">
      <c r="AD37741"/>
    </row>
    <row r="37742" spans="30:30" x14ac:dyDescent="0.25">
      <c r="AD37742"/>
    </row>
    <row r="37743" spans="30:30" x14ac:dyDescent="0.25">
      <c r="AD37743"/>
    </row>
    <row r="37744" spans="30:30" x14ac:dyDescent="0.25">
      <c r="AD37744"/>
    </row>
    <row r="37745" spans="30:30" x14ac:dyDescent="0.25">
      <c r="AD37745"/>
    </row>
    <row r="37746" spans="30:30" x14ac:dyDescent="0.25">
      <c r="AD37746"/>
    </row>
    <row r="37747" spans="30:30" x14ac:dyDescent="0.25">
      <c r="AD37747"/>
    </row>
    <row r="37748" spans="30:30" x14ac:dyDescent="0.25">
      <c r="AD37748"/>
    </row>
    <row r="37749" spans="30:30" x14ac:dyDescent="0.25">
      <c r="AD37749"/>
    </row>
    <row r="37750" spans="30:30" x14ac:dyDescent="0.25">
      <c r="AD37750"/>
    </row>
    <row r="37751" spans="30:30" x14ac:dyDescent="0.25">
      <c r="AD37751"/>
    </row>
    <row r="37752" spans="30:30" x14ac:dyDescent="0.25">
      <c r="AD37752"/>
    </row>
    <row r="37753" spans="30:30" x14ac:dyDescent="0.25">
      <c r="AD37753"/>
    </row>
    <row r="37754" spans="30:30" x14ac:dyDescent="0.25">
      <c r="AD37754"/>
    </row>
    <row r="37755" spans="30:30" x14ac:dyDescent="0.25">
      <c r="AD37755"/>
    </row>
    <row r="37756" spans="30:30" x14ac:dyDescent="0.25">
      <c r="AD37756"/>
    </row>
    <row r="37757" spans="30:30" x14ac:dyDescent="0.25">
      <c r="AD37757"/>
    </row>
    <row r="37758" spans="30:30" x14ac:dyDescent="0.25">
      <c r="AD37758"/>
    </row>
    <row r="37759" spans="30:30" x14ac:dyDescent="0.25">
      <c r="AD37759"/>
    </row>
    <row r="37760" spans="30:30" x14ac:dyDescent="0.25">
      <c r="AD37760"/>
    </row>
    <row r="37761" spans="30:30" x14ac:dyDescent="0.25">
      <c r="AD37761"/>
    </row>
    <row r="37762" spans="30:30" x14ac:dyDescent="0.25">
      <c r="AD37762"/>
    </row>
    <row r="37763" spans="30:30" x14ac:dyDescent="0.25">
      <c r="AD37763"/>
    </row>
    <row r="37764" spans="30:30" x14ac:dyDescent="0.25">
      <c r="AD37764"/>
    </row>
    <row r="37765" spans="30:30" x14ac:dyDescent="0.25">
      <c r="AD37765"/>
    </row>
    <row r="37766" spans="30:30" x14ac:dyDescent="0.25">
      <c r="AD37766"/>
    </row>
    <row r="37767" spans="30:30" x14ac:dyDescent="0.25">
      <c r="AD37767"/>
    </row>
    <row r="37768" spans="30:30" x14ac:dyDescent="0.25">
      <c r="AD37768"/>
    </row>
    <row r="37769" spans="30:30" x14ac:dyDescent="0.25">
      <c r="AD37769"/>
    </row>
    <row r="37770" spans="30:30" x14ac:dyDescent="0.25">
      <c r="AD37770"/>
    </row>
    <row r="37771" spans="30:30" x14ac:dyDescent="0.25">
      <c r="AD37771"/>
    </row>
    <row r="37772" spans="30:30" x14ac:dyDescent="0.25">
      <c r="AD37772"/>
    </row>
    <row r="37773" spans="30:30" x14ac:dyDescent="0.25">
      <c r="AD37773"/>
    </row>
    <row r="37774" spans="30:30" x14ac:dyDescent="0.25">
      <c r="AD37774"/>
    </row>
    <row r="37775" spans="30:30" x14ac:dyDescent="0.25">
      <c r="AD37775"/>
    </row>
    <row r="37776" spans="30:30" x14ac:dyDescent="0.25">
      <c r="AD37776"/>
    </row>
    <row r="37777" spans="30:30" x14ac:dyDescent="0.25">
      <c r="AD37777"/>
    </row>
    <row r="37778" spans="30:30" x14ac:dyDescent="0.25">
      <c r="AD37778"/>
    </row>
    <row r="37779" spans="30:30" x14ac:dyDescent="0.25">
      <c r="AD37779"/>
    </row>
    <row r="37780" spans="30:30" x14ac:dyDescent="0.25">
      <c r="AD37780"/>
    </row>
    <row r="37781" spans="30:30" x14ac:dyDescent="0.25">
      <c r="AD37781"/>
    </row>
    <row r="37782" spans="30:30" x14ac:dyDescent="0.25">
      <c r="AD37782"/>
    </row>
    <row r="37783" spans="30:30" x14ac:dyDescent="0.25">
      <c r="AD37783"/>
    </row>
    <row r="37784" spans="30:30" x14ac:dyDescent="0.25">
      <c r="AD37784"/>
    </row>
    <row r="37785" spans="30:30" x14ac:dyDescent="0.25">
      <c r="AD37785"/>
    </row>
    <row r="37786" spans="30:30" x14ac:dyDescent="0.25">
      <c r="AD37786"/>
    </row>
    <row r="37787" spans="30:30" x14ac:dyDescent="0.25">
      <c r="AD37787"/>
    </row>
    <row r="37788" spans="30:30" x14ac:dyDescent="0.25">
      <c r="AD37788"/>
    </row>
    <row r="37789" spans="30:30" x14ac:dyDescent="0.25">
      <c r="AD37789"/>
    </row>
    <row r="37790" spans="30:30" x14ac:dyDescent="0.25">
      <c r="AD37790"/>
    </row>
    <row r="37791" spans="30:30" x14ac:dyDescent="0.25">
      <c r="AD37791"/>
    </row>
    <row r="37792" spans="30:30" x14ac:dyDescent="0.25">
      <c r="AD37792"/>
    </row>
    <row r="37793" spans="30:30" x14ac:dyDescent="0.25">
      <c r="AD37793"/>
    </row>
    <row r="37794" spans="30:30" x14ac:dyDescent="0.25">
      <c r="AD37794"/>
    </row>
    <row r="37795" spans="30:30" x14ac:dyDescent="0.25">
      <c r="AD37795"/>
    </row>
    <row r="37796" spans="30:30" x14ac:dyDescent="0.25">
      <c r="AD37796"/>
    </row>
    <row r="37797" spans="30:30" x14ac:dyDescent="0.25">
      <c r="AD37797"/>
    </row>
    <row r="37798" spans="30:30" x14ac:dyDescent="0.25">
      <c r="AD37798"/>
    </row>
    <row r="37799" spans="30:30" x14ac:dyDescent="0.25">
      <c r="AD37799"/>
    </row>
    <row r="37800" spans="30:30" x14ac:dyDescent="0.25">
      <c r="AD37800"/>
    </row>
    <row r="37801" spans="30:30" x14ac:dyDescent="0.25">
      <c r="AD37801"/>
    </row>
    <row r="37802" spans="30:30" x14ac:dyDescent="0.25">
      <c r="AD37802"/>
    </row>
    <row r="37803" spans="30:30" x14ac:dyDescent="0.25">
      <c r="AD37803"/>
    </row>
    <row r="37804" spans="30:30" x14ac:dyDescent="0.25">
      <c r="AD37804"/>
    </row>
    <row r="37805" spans="30:30" x14ac:dyDescent="0.25">
      <c r="AD37805"/>
    </row>
    <row r="37806" spans="30:30" x14ac:dyDescent="0.25">
      <c r="AD37806"/>
    </row>
    <row r="37807" spans="30:30" x14ac:dyDescent="0.25">
      <c r="AD37807"/>
    </row>
    <row r="37808" spans="30:30" x14ac:dyDescent="0.25">
      <c r="AD37808"/>
    </row>
    <row r="37809" spans="30:30" x14ac:dyDescent="0.25">
      <c r="AD37809"/>
    </row>
    <row r="37810" spans="30:30" x14ac:dyDescent="0.25">
      <c r="AD37810"/>
    </row>
    <row r="37811" spans="30:30" x14ac:dyDescent="0.25">
      <c r="AD37811"/>
    </row>
    <row r="37812" spans="30:30" x14ac:dyDescent="0.25">
      <c r="AD37812"/>
    </row>
    <row r="37813" spans="30:30" x14ac:dyDescent="0.25">
      <c r="AD37813"/>
    </row>
    <row r="37814" spans="30:30" x14ac:dyDescent="0.25">
      <c r="AD37814"/>
    </row>
    <row r="37815" spans="30:30" x14ac:dyDescent="0.25">
      <c r="AD37815"/>
    </row>
    <row r="37816" spans="30:30" x14ac:dyDescent="0.25">
      <c r="AD37816"/>
    </row>
    <row r="37817" spans="30:30" x14ac:dyDescent="0.25">
      <c r="AD37817"/>
    </row>
    <row r="37818" spans="30:30" x14ac:dyDescent="0.25">
      <c r="AD37818"/>
    </row>
    <row r="37819" spans="30:30" x14ac:dyDescent="0.25">
      <c r="AD37819"/>
    </row>
    <row r="37820" spans="30:30" x14ac:dyDescent="0.25">
      <c r="AD37820"/>
    </row>
    <row r="37821" spans="30:30" x14ac:dyDescent="0.25">
      <c r="AD37821"/>
    </row>
    <row r="37822" spans="30:30" x14ac:dyDescent="0.25">
      <c r="AD37822"/>
    </row>
    <row r="37823" spans="30:30" x14ac:dyDescent="0.25">
      <c r="AD37823"/>
    </row>
    <row r="37824" spans="30:30" x14ac:dyDescent="0.25">
      <c r="AD37824"/>
    </row>
    <row r="37825" spans="30:30" x14ac:dyDescent="0.25">
      <c r="AD37825"/>
    </row>
    <row r="37826" spans="30:30" x14ac:dyDescent="0.25">
      <c r="AD37826"/>
    </row>
    <row r="37827" spans="30:30" x14ac:dyDescent="0.25">
      <c r="AD37827"/>
    </row>
    <row r="37828" spans="30:30" x14ac:dyDescent="0.25">
      <c r="AD37828"/>
    </row>
    <row r="37829" spans="30:30" x14ac:dyDescent="0.25">
      <c r="AD37829"/>
    </row>
    <row r="37830" spans="30:30" x14ac:dyDescent="0.25">
      <c r="AD37830"/>
    </row>
    <row r="37831" spans="30:30" x14ac:dyDescent="0.25">
      <c r="AD37831"/>
    </row>
    <row r="37832" spans="30:30" x14ac:dyDescent="0.25">
      <c r="AD37832"/>
    </row>
    <row r="37833" spans="30:30" x14ac:dyDescent="0.25">
      <c r="AD37833"/>
    </row>
    <row r="37834" spans="30:30" x14ac:dyDescent="0.25">
      <c r="AD37834"/>
    </row>
    <row r="37835" spans="30:30" x14ac:dyDescent="0.25">
      <c r="AD37835"/>
    </row>
    <row r="37836" spans="30:30" x14ac:dyDescent="0.25">
      <c r="AD37836"/>
    </row>
    <row r="37837" spans="30:30" x14ac:dyDescent="0.25">
      <c r="AD37837"/>
    </row>
    <row r="37838" spans="30:30" x14ac:dyDescent="0.25">
      <c r="AD37838"/>
    </row>
    <row r="37839" spans="30:30" x14ac:dyDescent="0.25">
      <c r="AD37839"/>
    </row>
    <row r="37840" spans="30:30" x14ac:dyDescent="0.25">
      <c r="AD37840"/>
    </row>
    <row r="37841" spans="30:30" x14ac:dyDescent="0.25">
      <c r="AD37841"/>
    </row>
    <row r="37842" spans="30:30" x14ac:dyDescent="0.25">
      <c r="AD37842"/>
    </row>
    <row r="37843" spans="30:30" x14ac:dyDescent="0.25">
      <c r="AD37843"/>
    </row>
    <row r="37844" spans="30:30" x14ac:dyDescent="0.25">
      <c r="AD37844"/>
    </row>
    <row r="37845" spans="30:30" x14ac:dyDescent="0.25">
      <c r="AD37845"/>
    </row>
    <row r="37846" spans="30:30" x14ac:dyDescent="0.25">
      <c r="AD37846"/>
    </row>
    <row r="37847" spans="30:30" x14ac:dyDescent="0.25">
      <c r="AD37847"/>
    </row>
    <row r="37848" spans="30:30" x14ac:dyDescent="0.25">
      <c r="AD37848"/>
    </row>
    <row r="37849" spans="30:30" x14ac:dyDescent="0.25">
      <c r="AD37849"/>
    </row>
    <row r="37850" spans="30:30" x14ac:dyDescent="0.25">
      <c r="AD37850"/>
    </row>
    <row r="37851" spans="30:30" x14ac:dyDescent="0.25">
      <c r="AD37851"/>
    </row>
    <row r="37852" spans="30:30" x14ac:dyDescent="0.25">
      <c r="AD37852"/>
    </row>
    <row r="37853" spans="30:30" x14ac:dyDescent="0.25">
      <c r="AD37853"/>
    </row>
    <row r="37854" spans="30:30" x14ac:dyDescent="0.25">
      <c r="AD37854"/>
    </row>
    <row r="37855" spans="30:30" x14ac:dyDescent="0.25">
      <c r="AD37855"/>
    </row>
    <row r="37856" spans="30:30" x14ac:dyDescent="0.25">
      <c r="AD37856"/>
    </row>
    <row r="37857" spans="30:30" x14ac:dyDescent="0.25">
      <c r="AD37857"/>
    </row>
    <row r="37858" spans="30:30" x14ac:dyDescent="0.25">
      <c r="AD37858"/>
    </row>
    <row r="37859" spans="30:30" x14ac:dyDescent="0.25">
      <c r="AD37859"/>
    </row>
    <row r="37860" spans="30:30" x14ac:dyDescent="0.25">
      <c r="AD37860"/>
    </row>
    <row r="37861" spans="30:30" x14ac:dyDescent="0.25">
      <c r="AD37861"/>
    </row>
    <row r="37862" spans="30:30" x14ac:dyDescent="0.25">
      <c r="AD37862"/>
    </row>
    <row r="37863" spans="30:30" x14ac:dyDescent="0.25">
      <c r="AD37863"/>
    </row>
    <row r="37864" spans="30:30" x14ac:dyDescent="0.25">
      <c r="AD37864"/>
    </row>
    <row r="37865" spans="30:30" x14ac:dyDescent="0.25">
      <c r="AD37865"/>
    </row>
    <row r="37866" spans="30:30" x14ac:dyDescent="0.25">
      <c r="AD37866"/>
    </row>
    <row r="37867" spans="30:30" x14ac:dyDescent="0.25">
      <c r="AD37867"/>
    </row>
    <row r="37868" spans="30:30" x14ac:dyDescent="0.25">
      <c r="AD37868"/>
    </row>
    <row r="37869" spans="30:30" x14ac:dyDescent="0.25">
      <c r="AD37869"/>
    </row>
    <row r="37870" spans="30:30" x14ac:dyDescent="0.25">
      <c r="AD37870"/>
    </row>
    <row r="37871" spans="30:30" x14ac:dyDescent="0.25">
      <c r="AD37871"/>
    </row>
    <row r="37872" spans="30:30" x14ac:dyDescent="0.25">
      <c r="AD37872"/>
    </row>
    <row r="37873" spans="30:30" x14ac:dyDescent="0.25">
      <c r="AD37873"/>
    </row>
    <row r="37874" spans="30:30" x14ac:dyDescent="0.25">
      <c r="AD37874"/>
    </row>
    <row r="37875" spans="30:30" x14ac:dyDescent="0.25">
      <c r="AD37875"/>
    </row>
    <row r="37876" spans="30:30" x14ac:dyDescent="0.25">
      <c r="AD37876"/>
    </row>
    <row r="37877" spans="30:30" x14ac:dyDescent="0.25">
      <c r="AD37877"/>
    </row>
    <row r="37878" spans="30:30" x14ac:dyDescent="0.25">
      <c r="AD37878"/>
    </row>
    <row r="37879" spans="30:30" x14ac:dyDescent="0.25">
      <c r="AD37879"/>
    </row>
    <row r="37880" spans="30:30" x14ac:dyDescent="0.25">
      <c r="AD37880"/>
    </row>
    <row r="37881" spans="30:30" x14ac:dyDescent="0.25">
      <c r="AD37881"/>
    </row>
    <row r="37882" spans="30:30" x14ac:dyDescent="0.25">
      <c r="AD37882"/>
    </row>
    <row r="37883" spans="30:30" x14ac:dyDescent="0.25">
      <c r="AD37883"/>
    </row>
    <row r="37884" spans="30:30" x14ac:dyDescent="0.25">
      <c r="AD37884"/>
    </row>
    <row r="37885" spans="30:30" x14ac:dyDescent="0.25">
      <c r="AD37885"/>
    </row>
    <row r="37886" spans="30:30" x14ac:dyDescent="0.25">
      <c r="AD37886"/>
    </row>
    <row r="37887" spans="30:30" x14ac:dyDescent="0.25">
      <c r="AD37887"/>
    </row>
    <row r="37888" spans="30:30" x14ac:dyDescent="0.25">
      <c r="AD37888"/>
    </row>
    <row r="37889" spans="30:30" x14ac:dyDescent="0.25">
      <c r="AD37889"/>
    </row>
    <row r="37890" spans="30:30" x14ac:dyDescent="0.25">
      <c r="AD37890"/>
    </row>
    <row r="37891" spans="30:30" x14ac:dyDescent="0.25">
      <c r="AD37891"/>
    </row>
    <row r="37892" spans="30:30" x14ac:dyDescent="0.25">
      <c r="AD37892"/>
    </row>
    <row r="37893" spans="30:30" x14ac:dyDescent="0.25">
      <c r="AD37893"/>
    </row>
    <row r="37894" spans="30:30" x14ac:dyDescent="0.25">
      <c r="AD37894"/>
    </row>
    <row r="37895" spans="30:30" x14ac:dyDescent="0.25">
      <c r="AD37895"/>
    </row>
    <row r="37896" spans="30:30" x14ac:dyDescent="0.25">
      <c r="AD37896"/>
    </row>
    <row r="37897" spans="30:30" x14ac:dyDescent="0.25">
      <c r="AD37897"/>
    </row>
    <row r="37898" spans="30:30" x14ac:dyDescent="0.25">
      <c r="AD37898"/>
    </row>
    <row r="37899" spans="30:30" x14ac:dyDescent="0.25">
      <c r="AD37899"/>
    </row>
    <row r="37900" spans="30:30" x14ac:dyDescent="0.25">
      <c r="AD37900"/>
    </row>
    <row r="37901" spans="30:30" x14ac:dyDescent="0.25">
      <c r="AD37901"/>
    </row>
    <row r="37902" spans="30:30" x14ac:dyDescent="0.25">
      <c r="AD37902"/>
    </row>
    <row r="37903" spans="30:30" x14ac:dyDescent="0.25">
      <c r="AD37903"/>
    </row>
    <row r="37904" spans="30:30" x14ac:dyDescent="0.25">
      <c r="AD37904"/>
    </row>
    <row r="37905" spans="30:30" x14ac:dyDescent="0.25">
      <c r="AD37905"/>
    </row>
    <row r="37906" spans="30:30" x14ac:dyDescent="0.25">
      <c r="AD37906"/>
    </row>
    <row r="37907" spans="30:30" x14ac:dyDescent="0.25">
      <c r="AD37907"/>
    </row>
    <row r="37908" spans="30:30" x14ac:dyDescent="0.25">
      <c r="AD37908"/>
    </row>
    <row r="37909" spans="30:30" x14ac:dyDescent="0.25">
      <c r="AD37909"/>
    </row>
    <row r="37910" spans="30:30" x14ac:dyDescent="0.25">
      <c r="AD37910"/>
    </row>
    <row r="37911" spans="30:30" x14ac:dyDescent="0.25">
      <c r="AD37911"/>
    </row>
    <row r="37912" spans="30:30" x14ac:dyDescent="0.25">
      <c r="AD37912"/>
    </row>
    <row r="37913" spans="30:30" x14ac:dyDescent="0.25">
      <c r="AD37913"/>
    </row>
    <row r="37914" spans="30:30" x14ac:dyDescent="0.25">
      <c r="AD37914"/>
    </row>
    <row r="37915" spans="30:30" x14ac:dyDescent="0.25">
      <c r="AD37915"/>
    </row>
    <row r="37916" spans="30:30" x14ac:dyDescent="0.25">
      <c r="AD37916"/>
    </row>
    <row r="37917" spans="30:30" x14ac:dyDescent="0.25">
      <c r="AD37917"/>
    </row>
    <row r="37918" spans="30:30" x14ac:dyDescent="0.25">
      <c r="AD37918"/>
    </row>
    <row r="37919" spans="30:30" x14ac:dyDescent="0.25">
      <c r="AD37919"/>
    </row>
    <row r="37920" spans="30:30" x14ac:dyDescent="0.25">
      <c r="AD37920"/>
    </row>
    <row r="37921" spans="30:30" x14ac:dyDescent="0.25">
      <c r="AD37921"/>
    </row>
    <row r="37922" spans="30:30" x14ac:dyDescent="0.25">
      <c r="AD37922"/>
    </row>
    <row r="37923" spans="30:30" x14ac:dyDescent="0.25">
      <c r="AD37923"/>
    </row>
    <row r="37924" spans="30:30" x14ac:dyDescent="0.25">
      <c r="AD37924"/>
    </row>
    <row r="37925" spans="30:30" x14ac:dyDescent="0.25">
      <c r="AD37925"/>
    </row>
    <row r="37926" spans="30:30" x14ac:dyDescent="0.25">
      <c r="AD37926"/>
    </row>
    <row r="37927" spans="30:30" x14ac:dyDescent="0.25">
      <c r="AD37927"/>
    </row>
    <row r="37928" spans="30:30" x14ac:dyDescent="0.25">
      <c r="AD37928"/>
    </row>
    <row r="37929" spans="30:30" x14ac:dyDescent="0.25">
      <c r="AD37929"/>
    </row>
    <row r="37930" spans="30:30" x14ac:dyDescent="0.25">
      <c r="AD37930"/>
    </row>
    <row r="37931" spans="30:30" x14ac:dyDescent="0.25">
      <c r="AD37931"/>
    </row>
    <row r="37932" spans="30:30" x14ac:dyDescent="0.25">
      <c r="AD37932"/>
    </row>
    <row r="37933" spans="30:30" x14ac:dyDescent="0.25">
      <c r="AD37933"/>
    </row>
    <row r="37934" spans="30:30" x14ac:dyDescent="0.25">
      <c r="AD37934"/>
    </row>
    <row r="37935" spans="30:30" x14ac:dyDescent="0.25">
      <c r="AD37935"/>
    </row>
    <row r="37936" spans="30:30" x14ac:dyDescent="0.25">
      <c r="AD37936"/>
    </row>
    <row r="37937" spans="30:30" x14ac:dyDescent="0.25">
      <c r="AD37937"/>
    </row>
    <row r="37938" spans="30:30" x14ac:dyDescent="0.25">
      <c r="AD37938"/>
    </row>
    <row r="37939" spans="30:30" x14ac:dyDescent="0.25">
      <c r="AD37939"/>
    </row>
    <row r="37940" spans="30:30" x14ac:dyDescent="0.25">
      <c r="AD37940"/>
    </row>
    <row r="37941" spans="30:30" x14ac:dyDescent="0.25">
      <c r="AD37941"/>
    </row>
    <row r="37942" spans="30:30" x14ac:dyDescent="0.25">
      <c r="AD37942"/>
    </row>
    <row r="37943" spans="30:30" x14ac:dyDescent="0.25">
      <c r="AD37943"/>
    </row>
    <row r="37944" spans="30:30" x14ac:dyDescent="0.25">
      <c r="AD37944"/>
    </row>
    <row r="37945" spans="30:30" x14ac:dyDescent="0.25">
      <c r="AD37945"/>
    </row>
    <row r="37946" spans="30:30" x14ac:dyDescent="0.25">
      <c r="AD37946"/>
    </row>
    <row r="37947" spans="30:30" x14ac:dyDescent="0.25">
      <c r="AD37947"/>
    </row>
    <row r="37948" spans="30:30" x14ac:dyDescent="0.25">
      <c r="AD37948"/>
    </row>
    <row r="37949" spans="30:30" x14ac:dyDescent="0.25">
      <c r="AD37949"/>
    </row>
    <row r="37950" spans="30:30" x14ac:dyDescent="0.25">
      <c r="AD37950"/>
    </row>
    <row r="37951" spans="30:30" x14ac:dyDescent="0.25">
      <c r="AD37951"/>
    </row>
    <row r="37952" spans="30:30" x14ac:dyDescent="0.25">
      <c r="AD37952"/>
    </row>
    <row r="37953" spans="30:30" x14ac:dyDescent="0.25">
      <c r="AD37953"/>
    </row>
    <row r="37954" spans="30:30" x14ac:dyDescent="0.25">
      <c r="AD37954"/>
    </row>
    <row r="37955" spans="30:30" x14ac:dyDescent="0.25">
      <c r="AD37955"/>
    </row>
    <row r="37956" spans="30:30" x14ac:dyDescent="0.25">
      <c r="AD37956"/>
    </row>
    <row r="37957" spans="30:30" x14ac:dyDescent="0.25">
      <c r="AD37957"/>
    </row>
    <row r="37958" spans="30:30" x14ac:dyDescent="0.25">
      <c r="AD37958"/>
    </row>
    <row r="37959" spans="30:30" x14ac:dyDescent="0.25">
      <c r="AD37959"/>
    </row>
    <row r="37960" spans="30:30" x14ac:dyDescent="0.25">
      <c r="AD37960"/>
    </row>
    <row r="37961" spans="30:30" x14ac:dyDescent="0.25">
      <c r="AD37961"/>
    </row>
    <row r="37962" spans="30:30" x14ac:dyDescent="0.25">
      <c r="AD37962"/>
    </row>
    <row r="37963" spans="30:30" x14ac:dyDescent="0.25">
      <c r="AD37963"/>
    </row>
    <row r="37964" spans="30:30" x14ac:dyDescent="0.25">
      <c r="AD37964"/>
    </row>
    <row r="37965" spans="30:30" x14ac:dyDescent="0.25">
      <c r="AD37965"/>
    </row>
    <row r="37966" spans="30:30" x14ac:dyDescent="0.25">
      <c r="AD37966"/>
    </row>
    <row r="37967" spans="30:30" x14ac:dyDescent="0.25">
      <c r="AD37967"/>
    </row>
    <row r="37968" spans="30:30" x14ac:dyDescent="0.25">
      <c r="AD37968"/>
    </row>
    <row r="37969" spans="30:30" x14ac:dyDescent="0.25">
      <c r="AD37969"/>
    </row>
    <row r="37970" spans="30:30" x14ac:dyDescent="0.25">
      <c r="AD37970"/>
    </row>
    <row r="37971" spans="30:30" x14ac:dyDescent="0.25">
      <c r="AD37971"/>
    </row>
    <row r="37972" spans="30:30" x14ac:dyDescent="0.25">
      <c r="AD37972"/>
    </row>
    <row r="37973" spans="30:30" x14ac:dyDescent="0.25">
      <c r="AD37973"/>
    </row>
    <row r="37974" spans="30:30" x14ac:dyDescent="0.25">
      <c r="AD37974"/>
    </row>
    <row r="37975" spans="30:30" x14ac:dyDescent="0.25">
      <c r="AD37975"/>
    </row>
    <row r="37976" spans="30:30" x14ac:dyDescent="0.25">
      <c r="AD37976"/>
    </row>
    <row r="37977" spans="30:30" x14ac:dyDescent="0.25">
      <c r="AD37977"/>
    </row>
    <row r="37978" spans="30:30" x14ac:dyDescent="0.25">
      <c r="AD37978"/>
    </row>
    <row r="37979" spans="30:30" x14ac:dyDescent="0.25">
      <c r="AD37979"/>
    </row>
    <row r="37980" spans="30:30" x14ac:dyDescent="0.25">
      <c r="AD37980"/>
    </row>
    <row r="37981" spans="30:30" x14ac:dyDescent="0.25">
      <c r="AD37981"/>
    </row>
    <row r="37982" spans="30:30" x14ac:dyDescent="0.25">
      <c r="AD37982"/>
    </row>
    <row r="37983" spans="30:30" x14ac:dyDescent="0.25">
      <c r="AD37983"/>
    </row>
    <row r="37984" spans="30:30" x14ac:dyDescent="0.25">
      <c r="AD37984"/>
    </row>
    <row r="37985" spans="30:30" x14ac:dyDescent="0.25">
      <c r="AD37985"/>
    </row>
    <row r="37986" spans="30:30" x14ac:dyDescent="0.25">
      <c r="AD37986"/>
    </row>
    <row r="37987" spans="30:30" x14ac:dyDescent="0.25">
      <c r="AD37987"/>
    </row>
    <row r="37988" spans="30:30" x14ac:dyDescent="0.25">
      <c r="AD37988"/>
    </row>
    <row r="37989" spans="30:30" x14ac:dyDescent="0.25">
      <c r="AD37989"/>
    </row>
    <row r="37990" spans="30:30" x14ac:dyDescent="0.25">
      <c r="AD37990"/>
    </row>
    <row r="37991" spans="30:30" x14ac:dyDescent="0.25">
      <c r="AD37991"/>
    </row>
    <row r="37992" spans="30:30" x14ac:dyDescent="0.25">
      <c r="AD37992"/>
    </row>
    <row r="37993" spans="30:30" x14ac:dyDescent="0.25">
      <c r="AD37993"/>
    </row>
    <row r="37994" spans="30:30" x14ac:dyDescent="0.25">
      <c r="AD37994"/>
    </row>
    <row r="37995" spans="30:30" x14ac:dyDescent="0.25">
      <c r="AD37995"/>
    </row>
    <row r="37996" spans="30:30" x14ac:dyDescent="0.25">
      <c r="AD37996"/>
    </row>
    <row r="37997" spans="30:30" x14ac:dyDescent="0.25">
      <c r="AD37997"/>
    </row>
    <row r="37998" spans="30:30" x14ac:dyDescent="0.25">
      <c r="AD37998"/>
    </row>
    <row r="37999" spans="30:30" x14ac:dyDescent="0.25">
      <c r="AD37999"/>
    </row>
    <row r="38000" spans="30:30" x14ac:dyDescent="0.25">
      <c r="AD38000"/>
    </row>
    <row r="38001" spans="30:30" x14ac:dyDescent="0.25">
      <c r="AD38001"/>
    </row>
    <row r="38002" spans="30:30" x14ac:dyDescent="0.25">
      <c r="AD38002"/>
    </row>
    <row r="38003" spans="30:30" x14ac:dyDescent="0.25">
      <c r="AD38003"/>
    </row>
    <row r="38004" spans="30:30" x14ac:dyDescent="0.25">
      <c r="AD38004"/>
    </row>
    <row r="38005" spans="30:30" x14ac:dyDescent="0.25">
      <c r="AD38005"/>
    </row>
    <row r="38006" spans="30:30" x14ac:dyDescent="0.25">
      <c r="AD38006"/>
    </row>
    <row r="38007" spans="30:30" x14ac:dyDescent="0.25">
      <c r="AD38007"/>
    </row>
    <row r="38008" spans="30:30" x14ac:dyDescent="0.25">
      <c r="AD38008"/>
    </row>
    <row r="38009" spans="30:30" x14ac:dyDescent="0.25">
      <c r="AD38009"/>
    </row>
    <row r="38010" spans="30:30" x14ac:dyDescent="0.25">
      <c r="AD38010"/>
    </row>
    <row r="38011" spans="30:30" x14ac:dyDescent="0.25">
      <c r="AD38011"/>
    </row>
    <row r="38012" spans="30:30" x14ac:dyDescent="0.25">
      <c r="AD38012"/>
    </row>
    <row r="38013" spans="30:30" x14ac:dyDescent="0.25">
      <c r="AD38013"/>
    </row>
    <row r="38014" spans="30:30" x14ac:dyDescent="0.25">
      <c r="AD38014"/>
    </row>
    <row r="38015" spans="30:30" x14ac:dyDescent="0.25">
      <c r="AD38015"/>
    </row>
    <row r="38016" spans="30:30" x14ac:dyDescent="0.25">
      <c r="AD38016"/>
    </row>
    <row r="38017" spans="30:30" x14ac:dyDescent="0.25">
      <c r="AD38017"/>
    </row>
    <row r="38018" spans="30:30" x14ac:dyDescent="0.25">
      <c r="AD38018"/>
    </row>
    <row r="38019" spans="30:30" x14ac:dyDescent="0.25">
      <c r="AD38019"/>
    </row>
    <row r="38020" spans="30:30" x14ac:dyDescent="0.25">
      <c r="AD38020"/>
    </row>
    <row r="38021" spans="30:30" x14ac:dyDescent="0.25">
      <c r="AD38021"/>
    </row>
    <row r="38022" spans="30:30" x14ac:dyDescent="0.25">
      <c r="AD38022"/>
    </row>
    <row r="38023" spans="30:30" x14ac:dyDescent="0.25">
      <c r="AD38023"/>
    </row>
    <row r="38024" spans="30:30" x14ac:dyDescent="0.25">
      <c r="AD38024"/>
    </row>
    <row r="38025" spans="30:30" x14ac:dyDescent="0.25">
      <c r="AD38025"/>
    </row>
    <row r="38026" spans="30:30" x14ac:dyDescent="0.25">
      <c r="AD38026"/>
    </row>
    <row r="38027" spans="30:30" x14ac:dyDescent="0.25">
      <c r="AD38027"/>
    </row>
    <row r="38028" spans="30:30" x14ac:dyDescent="0.25">
      <c r="AD38028"/>
    </row>
    <row r="38029" spans="30:30" x14ac:dyDescent="0.25">
      <c r="AD38029"/>
    </row>
    <row r="38030" spans="30:30" x14ac:dyDescent="0.25">
      <c r="AD38030"/>
    </row>
    <row r="38031" spans="30:30" x14ac:dyDescent="0.25">
      <c r="AD38031"/>
    </row>
    <row r="38032" spans="30:30" x14ac:dyDescent="0.25">
      <c r="AD38032"/>
    </row>
    <row r="38033" spans="30:30" x14ac:dyDescent="0.25">
      <c r="AD38033"/>
    </row>
    <row r="38034" spans="30:30" x14ac:dyDescent="0.25">
      <c r="AD38034"/>
    </row>
    <row r="38035" spans="30:30" x14ac:dyDescent="0.25">
      <c r="AD38035"/>
    </row>
    <row r="38036" spans="30:30" x14ac:dyDescent="0.25">
      <c r="AD38036"/>
    </row>
    <row r="38037" spans="30:30" x14ac:dyDescent="0.25">
      <c r="AD38037"/>
    </row>
    <row r="38038" spans="30:30" x14ac:dyDescent="0.25">
      <c r="AD38038"/>
    </row>
    <row r="38039" spans="30:30" x14ac:dyDescent="0.25">
      <c r="AD38039"/>
    </row>
    <row r="38040" spans="30:30" x14ac:dyDescent="0.25">
      <c r="AD38040"/>
    </row>
    <row r="38041" spans="30:30" x14ac:dyDescent="0.25">
      <c r="AD38041"/>
    </row>
    <row r="38042" spans="30:30" x14ac:dyDescent="0.25">
      <c r="AD38042"/>
    </row>
    <row r="38043" spans="30:30" x14ac:dyDescent="0.25">
      <c r="AD38043"/>
    </row>
    <row r="38044" spans="30:30" x14ac:dyDescent="0.25">
      <c r="AD38044"/>
    </row>
    <row r="38045" spans="30:30" x14ac:dyDescent="0.25">
      <c r="AD38045"/>
    </row>
    <row r="38046" spans="30:30" x14ac:dyDescent="0.25">
      <c r="AD38046"/>
    </row>
    <row r="38047" spans="30:30" x14ac:dyDescent="0.25">
      <c r="AD38047"/>
    </row>
    <row r="38048" spans="30:30" x14ac:dyDescent="0.25">
      <c r="AD38048"/>
    </row>
    <row r="38049" spans="30:30" x14ac:dyDescent="0.25">
      <c r="AD38049"/>
    </row>
    <row r="38050" spans="30:30" x14ac:dyDescent="0.25">
      <c r="AD38050"/>
    </row>
    <row r="38051" spans="30:30" x14ac:dyDescent="0.25">
      <c r="AD38051"/>
    </row>
    <row r="38052" spans="30:30" x14ac:dyDescent="0.25">
      <c r="AD38052"/>
    </row>
    <row r="38053" spans="30:30" x14ac:dyDescent="0.25">
      <c r="AD38053"/>
    </row>
    <row r="38054" spans="30:30" x14ac:dyDescent="0.25">
      <c r="AD38054"/>
    </row>
    <row r="38055" spans="30:30" x14ac:dyDescent="0.25">
      <c r="AD38055"/>
    </row>
    <row r="38056" spans="30:30" x14ac:dyDescent="0.25">
      <c r="AD38056"/>
    </row>
    <row r="38057" spans="30:30" x14ac:dyDescent="0.25">
      <c r="AD38057"/>
    </row>
    <row r="38058" spans="30:30" x14ac:dyDescent="0.25">
      <c r="AD38058"/>
    </row>
    <row r="38059" spans="30:30" x14ac:dyDescent="0.25">
      <c r="AD38059"/>
    </row>
    <row r="38060" spans="30:30" x14ac:dyDescent="0.25">
      <c r="AD38060"/>
    </row>
    <row r="38061" spans="30:30" x14ac:dyDescent="0.25">
      <c r="AD38061"/>
    </row>
    <row r="38062" spans="30:30" x14ac:dyDescent="0.25">
      <c r="AD38062"/>
    </row>
    <row r="38063" spans="30:30" x14ac:dyDescent="0.25">
      <c r="AD38063"/>
    </row>
    <row r="38064" spans="30:30" x14ac:dyDescent="0.25">
      <c r="AD38064"/>
    </row>
    <row r="38065" spans="30:30" x14ac:dyDescent="0.25">
      <c r="AD38065"/>
    </row>
    <row r="38066" spans="30:30" x14ac:dyDescent="0.25">
      <c r="AD38066"/>
    </row>
    <row r="38067" spans="30:30" x14ac:dyDescent="0.25">
      <c r="AD38067"/>
    </row>
    <row r="38068" spans="30:30" x14ac:dyDescent="0.25">
      <c r="AD38068"/>
    </row>
    <row r="38069" spans="30:30" x14ac:dyDescent="0.25">
      <c r="AD38069"/>
    </row>
    <row r="38070" spans="30:30" x14ac:dyDescent="0.25">
      <c r="AD38070"/>
    </row>
    <row r="38071" spans="30:30" x14ac:dyDescent="0.25">
      <c r="AD38071"/>
    </row>
    <row r="38072" spans="30:30" x14ac:dyDescent="0.25">
      <c r="AD38072"/>
    </row>
    <row r="38073" spans="30:30" x14ac:dyDescent="0.25">
      <c r="AD38073"/>
    </row>
    <row r="38074" spans="30:30" x14ac:dyDescent="0.25">
      <c r="AD38074"/>
    </row>
    <row r="38075" spans="30:30" x14ac:dyDescent="0.25">
      <c r="AD38075"/>
    </row>
    <row r="38076" spans="30:30" x14ac:dyDescent="0.25">
      <c r="AD38076"/>
    </row>
    <row r="38077" spans="30:30" x14ac:dyDescent="0.25">
      <c r="AD38077"/>
    </row>
    <row r="38078" spans="30:30" x14ac:dyDescent="0.25">
      <c r="AD38078"/>
    </row>
    <row r="38079" spans="30:30" x14ac:dyDescent="0.25">
      <c r="AD38079"/>
    </row>
    <row r="38080" spans="30:30" x14ac:dyDescent="0.25">
      <c r="AD38080"/>
    </row>
    <row r="38081" spans="30:30" x14ac:dyDescent="0.25">
      <c r="AD38081"/>
    </row>
    <row r="38082" spans="30:30" x14ac:dyDescent="0.25">
      <c r="AD38082"/>
    </row>
    <row r="38083" spans="30:30" x14ac:dyDescent="0.25">
      <c r="AD38083"/>
    </row>
    <row r="38084" spans="30:30" x14ac:dyDescent="0.25">
      <c r="AD38084"/>
    </row>
    <row r="38085" spans="30:30" x14ac:dyDescent="0.25">
      <c r="AD38085"/>
    </row>
    <row r="38086" spans="30:30" x14ac:dyDescent="0.25">
      <c r="AD38086"/>
    </row>
    <row r="38087" spans="30:30" x14ac:dyDescent="0.25">
      <c r="AD38087"/>
    </row>
    <row r="38088" spans="30:30" x14ac:dyDescent="0.25">
      <c r="AD38088"/>
    </row>
    <row r="38089" spans="30:30" x14ac:dyDescent="0.25">
      <c r="AD38089"/>
    </row>
    <row r="38090" spans="30:30" x14ac:dyDescent="0.25">
      <c r="AD38090"/>
    </row>
    <row r="38091" spans="30:30" x14ac:dyDescent="0.25">
      <c r="AD38091"/>
    </row>
    <row r="38092" spans="30:30" x14ac:dyDescent="0.25">
      <c r="AD38092"/>
    </row>
    <row r="38093" spans="30:30" x14ac:dyDescent="0.25">
      <c r="AD38093"/>
    </row>
    <row r="38094" spans="30:30" x14ac:dyDescent="0.25">
      <c r="AD38094"/>
    </row>
    <row r="38095" spans="30:30" x14ac:dyDescent="0.25">
      <c r="AD38095"/>
    </row>
    <row r="38096" spans="30:30" x14ac:dyDescent="0.25">
      <c r="AD38096"/>
    </row>
    <row r="38097" spans="30:30" x14ac:dyDescent="0.25">
      <c r="AD38097"/>
    </row>
    <row r="38098" spans="30:30" x14ac:dyDescent="0.25">
      <c r="AD38098"/>
    </row>
    <row r="38099" spans="30:30" x14ac:dyDescent="0.25">
      <c r="AD38099"/>
    </row>
    <row r="38100" spans="30:30" x14ac:dyDescent="0.25">
      <c r="AD38100"/>
    </row>
    <row r="38101" spans="30:30" x14ac:dyDescent="0.25">
      <c r="AD38101"/>
    </row>
    <row r="38102" spans="30:30" x14ac:dyDescent="0.25">
      <c r="AD38102"/>
    </row>
    <row r="38103" spans="30:30" x14ac:dyDescent="0.25">
      <c r="AD38103"/>
    </row>
    <row r="38104" spans="30:30" x14ac:dyDescent="0.25">
      <c r="AD38104"/>
    </row>
    <row r="38105" spans="30:30" x14ac:dyDescent="0.25">
      <c r="AD38105"/>
    </row>
    <row r="38106" spans="30:30" x14ac:dyDescent="0.25">
      <c r="AD38106"/>
    </row>
    <row r="38107" spans="30:30" x14ac:dyDescent="0.25">
      <c r="AD38107"/>
    </row>
    <row r="38108" spans="30:30" x14ac:dyDescent="0.25">
      <c r="AD38108"/>
    </row>
    <row r="38109" spans="30:30" x14ac:dyDescent="0.25">
      <c r="AD38109"/>
    </row>
    <row r="38110" spans="30:30" x14ac:dyDescent="0.25">
      <c r="AD38110"/>
    </row>
    <row r="38111" spans="30:30" x14ac:dyDescent="0.25">
      <c r="AD38111"/>
    </row>
    <row r="38112" spans="30:30" x14ac:dyDescent="0.25">
      <c r="AD38112"/>
    </row>
    <row r="38113" spans="30:30" x14ac:dyDescent="0.25">
      <c r="AD38113"/>
    </row>
    <row r="38114" spans="30:30" x14ac:dyDescent="0.25">
      <c r="AD38114"/>
    </row>
    <row r="38115" spans="30:30" x14ac:dyDescent="0.25">
      <c r="AD38115"/>
    </row>
    <row r="38116" spans="30:30" x14ac:dyDescent="0.25">
      <c r="AD38116"/>
    </row>
    <row r="38117" spans="30:30" x14ac:dyDescent="0.25">
      <c r="AD38117"/>
    </row>
    <row r="38118" spans="30:30" x14ac:dyDescent="0.25">
      <c r="AD38118"/>
    </row>
    <row r="38119" spans="30:30" x14ac:dyDescent="0.25">
      <c r="AD38119"/>
    </row>
    <row r="38120" spans="30:30" x14ac:dyDescent="0.25">
      <c r="AD38120"/>
    </row>
    <row r="38121" spans="30:30" x14ac:dyDescent="0.25">
      <c r="AD38121"/>
    </row>
    <row r="38122" spans="30:30" x14ac:dyDescent="0.25">
      <c r="AD38122"/>
    </row>
    <row r="38123" spans="30:30" x14ac:dyDescent="0.25">
      <c r="AD38123"/>
    </row>
    <row r="38124" spans="30:30" x14ac:dyDescent="0.25">
      <c r="AD38124"/>
    </row>
    <row r="38125" spans="30:30" x14ac:dyDescent="0.25">
      <c r="AD38125"/>
    </row>
    <row r="38126" spans="30:30" x14ac:dyDescent="0.25">
      <c r="AD38126"/>
    </row>
    <row r="38127" spans="30:30" x14ac:dyDescent="0.25">
      <c r="AD38127"/>
    </row>
    <row r="38128" spans="30:30" x14ac:dyDescent="0.25">
      <c r="AD38128"/>
    </row>
    <row r="38129" spans="30:30" x14ac:dyDescent="0.25">
      <c r="AD38129"/>
    </row>
    <row r="38130" spans="30:30" x14ac:dyDescent="0.25">
      <c r="AD38130"/>
    </row>
    <row r="38131" spans="30:30" x14ac:dyDescent="0.25">
      <c r="AD38131"/>
    </row>
    <row r="38132" spans="30:30" x14ac:dyDescent="0.25">
      <c r="AD38132"/>
    </row>
    <row r="38133" spans="30:30" x14ac:dyDescent="0.25">
      <c r="AD38133"/>
    </row>
    <row r="38134" spans="30:30" x14ac:dyDescent="0.25">
      <c r="AD38134"/>
    </row>
    <row r="38135" spans="30:30" x14ac:dyDescent="0.25">
      <c r="AD38135"/>
    </row>
    <row r="38136" spans="30:30" x14ac:dyDescent="0.25">
      <c r="AD38136"/>
    </row>
    <row r="38137" spans="30:30" x14ac:dyDescent="0.25">
      <c r="AD38137"/>
    </row>
    <row r="38138" spans="30:30" x14ac:dyDescent="0.25">
      <c r="AD38138"/>
    </row>
    <row r="38139" spans="30:30" x14ac:dyDescent="0.25">
      <c r="AD38139"/>
    </row>
    <row r="38140" spans="30:30" x14ac:dyDescent="0.25">
      <c r="AD38140"/>
    </row>
    <row r="38141" spans="30:30" x14ac:dyDescent="0.25">
      <c r="AD38141"/>
    </row>
    <row r="38142" spans="30:30" x14ac:dyDescent="0.25">
      <c r="AD38142"/>
    </row>
    <row r="38143" spans="30:30" x14ac:dyDescent="0.25">
      <c r="AD38143"/>
    </row>
    <row r="38144" spans="30:30" x14ac:dyDescent="0.25">
      <c r="AD38144"/>
    </row>
    <row r="38145" spans="30:30" x14ac:dyDescent="0.25">
      <c r="AD38145"/>
    </row>
    <row r="38146" spans="30:30" x14ac:dyDescent="0.25">
      <c r="AD38146"/>
    </row>
    <row r="38147" spans="30:30" x14ac:dyDescent="0.25">
      <c r="AD38147"/>
    </row>
    <row r="38148" spans="30:30" x14ac:dyDescent="0.25">
      <c r="AD38148"/>
    </row>
    <row r="38149" spans="30:30" x14ac:dyDescent="0.25">
      <c r="AD38149"/>
    </row>
    <row r="38150" spans="30:30" x14ac:dyDescent="0.25">
      <c r="AD38150"/>
    </row>
    <row r="38151" spans="30:30" x14ac:dyDescent="0.25">
      <c r="AD38151"/>
    </row>
    <row r="38152" spans="30:30" x14ac:dyDescent="0.25">
      <c r="AD38152"/>
    </row>
    <row r="38153" spans="30:30" x14ac:dyDescent="0.25">
      <c r="AD38153"/>
    </row>
    <row r="38154" spans="30:30" x14ac:dyDescent="0.25">
      <c r="AD38154"/>
    </row>
    <row r="38155" spans="30:30" x14ac:dyDescent="0.25">
      <c r="AD38155"/>
    </row>
    <row r="38156" spans="30:30" x14ac:dyDescent="0.25">
      <c r="AD38156"/>
    </row>
    <row r="38157" spans="30:30" x14ac:dyDescent="0.25">
      <c r="AD38157"/>
    </row>
    <row r="38158" spans="30:30" x14ac:dyDescent="0.25">
      <c r="AD38158"/>
    </row>
    <row r="38159" spans="30:30" x14ac:dyDescent="0.25">
      <c r="AD38159"/>
    </row>
    <row r="38160" spans="30:30" x14ac:dyDescent="0.25">
      <c r="AD38160"/>
    </row>
    <row r="38161" spans="30:30" x14ac:dyDescent="0.25">
      <c r="AD38161"/>
    </row>
    <row r="38162" spans="30:30" x14ac:dyDescent="0.25">
      <c r="AD38162"/>
    </row>
    <row r="38163" spans="30:30" x14ac:dyDescent="0.25">
      <c r="AD38163"/>
    </row>
    <row r="38164" spans="30:30" x14ac:dyDescent="0.25">
      <c r="AD38164"/>
    </row>
    <row r="38165" spans="30:30" x14ac:dyDescent="0.25">
      <c r="AD38165"/>
    </row>
    <row r="38166" spans="30:30" x14ac:dyDescent="0.25">
      <c r="AD38166"/>
    </row>
    <row r="38167" spans="30:30" x14ac:dyDescent="0.25">
      <c r="AD38167"/>
    </row>
    <row r="38168" spans="30:30" x14ac:dyDescent="0.25">
      <c r="AD38168"/>
    </row>
    <row r="38169" spans="30:30" x14ac:dyDescent="0.25">
      <c r="AD38169"/>
    </row>
    <row r="38170" spans="30:30" x14ac:dyDescent="0.25">
      <c r="AD38170"/>
    </row>
    <row r="38171" spans="30:30" x14ac:dyDescent="0.25">
      <c r="AD38171"/>
    </row>
    <row r="38172" spans="30:30" x14ac:dyDescent="0.25">
      <c r="AD38172"/>
    </row>
    <row r="38173" spans="30:30" x14ac:dyDescent="0.25">
      <c r="AD38173"/>
    </row>
    <row r="38174" spans="30:30" x14ac:dyDescent="0.25">
      <c r="AD38174"/>
    </row>
    <row r="38175" spans="30:30" x14ac:dyDescent="0.25">
      <c r="AD38175"/>
    </row>
    <row r="38176" spans="30:30" x14ac:dyDescent="0.25">
      <c r="AD38176"/>
    </row>
    <row r="38177" spans="30:30" x14ac:dyDescent="0.25">
      <c r="AD38177"/>
    </row>
    <row r="38178" spans="30:30" x14ac:dyDescent="0.25">
      <c r="AD38178"/>
    </row>
    <row r="38179" spans="30:30" x14ac:dyDescent="0.25">
      <c r="AD38179"/>
    </row>
    <row r="38180" spans="30:30" x14ac:dyDescent="0.25">
      <c r="AD38180"/>
    </row>
    <row r="38181" spans="30:30" x14ac:dyDescent="0.25">
      <c r="AD38181"/>
    </row>
    <row r="38182" spans="30:30" x14ac:dyDescent="0.25">
      <c r="AD38182"/>
    </row>
    <row r="38183" spans="30:30" x14ac:dyDescent="0.25">
      <c r="AD38183"/>
    </row>
    <row r="38184" spans="30:30" x14ac:dyDescent="0.25">
      <c r="AD38184"/>
    </row>
    <row r="38185" spans="30:30" x14ac:dyDescent="0.25">
      <c r="AD38185"/>
    </row>
    <row r="38186" spans="30:30" x14ac:dyDescent="0.25">
      <c r="AD38186"/>
    </row>
    <row r="38187" spans="30:30" x14ac:dyDescent="0.25">
      <c r="AD38187"/>
    </row>
    <row r="38188" spans="30:30" x14ac:dyDescent="0.25">
      <c r="AD38188"/>
    </row>
    <row r="38189" spans="30:30" x14ac:dyDescent="0.25">
      <c r="AD38189"/>
    </row>
    <row r="38190" spans="30:30" x14ac:dyDescent="0.25">
      <c r="AD38190"/>
    </row>
    <row r="38191" spans="30:30" x14ac:dyDescent="0.25">
      <c r="AD38191"/>
    </row>
    <row r="38192" spans="30:30" x14ac:dyDescent="0.25">
      <c r="AD38192"/>
    </row>
    <row r="38193" spans="30:30" x14ac:dyDescent="0.25">
      <c r="AD38193"/>
    </row>
    <row r="38194" spans="30:30" x14ac:dyDescent="0.25">
      <c r="AD38194"/>
    </row>
    <row r="38195" spans="30:30" x14ac:dyDescent="0.25">
      <c r="AD38195"/>
    </row>
    <row r="38196" spans="30:30" x14ac:dyDescent="0.25">
      <c r="AD38196"/>
    </row>
    <row r="38197" spans="30:30" x14ac:dyDescent="0.25">
      <c r="AD38197"/>
    </row>
    <row r="38198" spans="30:30" x14ac:dyDescent="0.25">
      <c r="AD38198"/>
    </row>
    <row r="38199" spans="30:30" x14ac:dyDescent="0.25">
      <c r="AD38199"/>
    </row>
    <row r="38200" spans="30:30" x14ac:dyDescent="0.25">
      <c r="AD38200"/>
    </row>
    <row r="38201" spans="30:30" x14ac:dyDescent="0.25">
      <c r="AD38201"/>
    </row>
    <row r="38202" spans="30:30" x14ac:dyDescent="0.25">
      <c r="AD38202"/>
    </row>
    <row r="38203" spans="30:30" x14ac:dyDescent="0.25">
      <c r="AD38203"/>
    </row>
    <row r="38204" spans="30:30" x14ac:dyDescent="0.25">
      <c r="AD38204"/>
    </row>
    <row r="38205" spans="30:30" x14ac:dyDescent="0.25">
      <c r="AD38205"/>
    </row>
    <row r="38206" spans="30:30" x14ac:dyDescent="0.25">
      <c r="AD38206"/>
    </row>
    <row r="38207" spans="30:30" x14ac:dyDescent="0.25">
      <c r="AD38207"/>
    </row>
    <row r="38208" spans="30:30" x14ac:dyDescent="0.25">
      <c r="AD38208"/>
    </row>
    <row r="38209" spans="30:30" x14ac:dyDescent="0.25">
      <c r="AD38209"/>
    </row>
    <row r="38210" spans="30:30" x14ac:dyDescent="0.25">
      <c r="AD38210"/>
    </row>
    <row r="38211" spans="30:30" x14ac:dyDescent="0.25">
      <c r="AD38211"/>
    </row>
    <row r="38212" spans="30:30" x14ac:dyDescent="0.25">
      <c r="AD38212"/>
    </row>
    <row r="38213" spans="30:30" x14ac:dyDescent="0.25">
      <c r="AD38213"/>
    </row>
    <row r="38214" spans="30:30" x14ac:dyDescent="0.25">
      <c r="AD38214"/>
    </row>
    <row r="38215" spans="30:30" x14ac:dyDescent="0.25">
      <c r="AD38215"/>
    </row>
    <row r="38216" spans="30:30" x14ac:dyDescent="0.25">
      <c r="AD38216"/>
    </row>
    <row r="38217" spans="30:30" x14ac:dyDescent="0.25">
      <c r="AD38217"/>
    </row>
    <row r="38218" spans="30:30" x14ac:dyDescent="0.25">
      <c r="AD38218"/>
    </row>
    <row r="38219" spans="30:30" x14ac:dyDescent="0.25">
      <c r="AD38219"/>
    </row>
    <row r="38220" spans="30:30" x14ac:dyDescent="0.25">
      <c r="AD38220"/>
    </row>
    <row r="38221" spans="30:30" x14ac:dyDescent="0.25">
      <c r="AD38221"/>
    </row>
    <row r="38222" spans="30:30" x14ac:dyDescent="0.25">
      <c r="AD38222"/>
    </row>
    <row r="38223" spans="30:30" x14ac:dyDescent="0.25">
      <c r="AD38223"/>
    </row>
    <row r="38224" spans="30:30" x14ac:dyDescent="0.25">
      <c r="AD38224"/>
    </row>
    <row r="38225" spans="30:30" x14ac:dyDescent="0.25">
      <c r="AD38225"/>
    </row>
    <row r="38226" spans="30:30" x14ac:dyDescent="0.25">
      <c r="AD38226"/>
    </row>
    <row r="38227" spans="30:30" x14ac:dyDescent="0.25">
      <c r="AD38227"/>
    </row>
    <row r="38228" spans="30:30" x14ac:dyDescent="0.25">
      <c r="AD38228"/>
    </row>
    <row r="38229" spans="30:30" x14ac:dyDescent="0.25">
      <c r="AD38229"/>
    </row>
    <row r="38230" spans="30:30" x14ac:dyDescent="0.25">
      <c r="AD38230"/>
    </row>
    <row r="38231" spans="30:30" x14ac:dyDescent="0.25">
      <c r="AD38231"/>
    </row>
    <row r="38232" spans="30:30" x14ac:dyDescent="0.25">
      <c r="AD38232"/>
    </row>
    <row r="38233" spans="30:30" x14ac:dyDescent="0.25">
      <c r="AD38233"/>
    </row>
    <row r="38234" spans="30:30" x14ac:dyDescent="0.25">
      <c r="AD38234"/>
    </row>
    <row r="38235" spans="30:30" x14ac:dyDescent="0.25">
      <c r="AD38235"/>
    </row>
    <row r="38236" spans="30:30" x14ac:dyDescent="0.25">
      <c r="AD38236"/>
    </row>
    <row r="38237" spans="30:30" x14ac:dyDescent="0.25">
      <c r="AD38237"/>
    </row>
    <row r="38238" spans="30:30" x14ac:dyDescent="0.25">
      <c r="AD38238"/>
    </row>
    <row r="38239" spans="30:30" x14ac:dyDescent="0.25">
      <c r="AD38239"/>
    </row>
    <row r="38240" spans="30:30" x14ac:dyDescent="0.25">
      <c r="AD38240"/>
    </row>
    <row r="38241" spans="30:30" x14ac:dyDescent="0.25">
      <c r="AD38241"/>
    </row>
    <row r="38242" spans="30:30" x14ac:dyDescent="0.25">
      <c r="AD38242"/>
    </row>
    <row r="38243" spans="30:30" x14ac:dyDescent="0.25">
      <c r="AD38243"/>
    </row>
    <row r="38244" spans="30:30" x14ac:dyDescent="0.25">
      <c r="AD38244"/>
    </row>
    <row r="38245" spans="30:30" x14ac:dyDescent="0.25">
      <c r="AD38245"/>
    </row>
    <row r="38246" spans="30:30" x14ac:dyDescent="0.25">
      <c r="AD38246"/>
    </row>
    <row r="38247" spans="30:30" x14ac:dyDescent="0.25">
      <c r="AD38247"/>
    </row>
    <row r="38248" spans="30:30" x14ac:dyDescent="0.25">
      <c r="AD38248"/>
    </row>
    <row r="38249" spans="30:30" x14ac:dyDescent="0.25">
      <c r="AD38249"/>
    </row>
    <row r="38250" spans="30:30" x14ac:dyDescent="0.25">
      <c r="AD38250"/>
    </row>
    <row r="38251" spans="30:30" x14ac:dyDescent="0.25">
      <c r="AD38251"/>
    </row>
    <row r="38252" spans="30:30" x14ac:dyDescent="0.25">
      <c r="AD38252"/>
    </row>
    <row r="38253" spans="30:30" x14ac:dyDescent="0.25">
      <c r="AD38253"/>
    </row>
    <row r="38254" spans="30:30" x14ac:dyDescent="0.25">
      <c r="AD38254"/>
    </row>
    <row r="38255" spans="30:30" x14ac:dyDescent="0.25">
      <c r="AD38255"/>
    </row>
    <row r="38256" spans="30:30" x14ac:dyDescent="0.25">
      <c r="AD38256"/>
    </row>
    <row r="38257" spans="30:30" x14ac:dyDescent="0.25">
      <c r="AD38257"/>
    </row>
    <row r="38258" spans="30:30" x14ac:dyDescent="0.25">
      <c r="AD38258"/>
    </row>
    <row r="38259" spans="30:30" x14ac:dyDescent="0.25">
      <c r="AD38259"/>
    </row>
    <row r="38260" spans="30:30" x14ac:dyDescent="0.25">
      <c r="AD38260"/>
    </row>
    <row r="38261" spans="30:30" x14ac:dyDescent="0.25">
      <c r="AD38261"/>
    </row>
    <row r="38262" spans="30:30" x14ac:dyDescent="0.25">
      <c r="AD38262"/>
    </row>
    <row r="38263" spans="30:30" x14ac:dyDescent="0.25">
      <c r="AD38263"/>
    </row>
    <row r="38264" spans="30:30" x14ac:dyDescent="0.25">
      <c r="AD38264"/>
    </row>
    <row r="38265" spans="30:30" x14ac:dyDescent="0.25">
      <c r="AD38265"/>
    </row>
    <row r="38266" spans="30:30" x14ac:dyDescent="0.25">
      <c r="AD38266"/>
    </row>
    <row r="38267" spans="30:30" x14ac:dyDescent="0.25">
      <c r="AD38267"/>
    </row>
    <row r="38268" spans="30:30" x14ac:dyDescent="0.25">
      <c r="AD38268"/>
    </row>
    <row r="38269" spans="30:30" x14ac:dyDescent="0.25">
      <c r="AD38269"/>
    </row>
    <row r="38270" spans="30:30" x14ac:dyDescent="0.25">
      <c r="AD38270"/>
    </row>
    <row r="38271" spans="30:30" x14ac:dyDescent="0.25">
      <c r="AD38271"/>
    </row>
    <row r="38272" spans="30:30" x14ac:dyDescent="0.25">
      <c r="AD38272"/>
    </row>
    <row r="38273" spans="30:30" x14ac:dyDescent="0.25">
      <c r="AD38273"/>
    </row>
    <row r="38274" spans="30:30" x14ac:dyDescent="0.25">
      <c r="AD38274"/>
    </row>
    <row r="38275" spans="30:30" x14ac:dyDescent="0.25">
      <c r="AD38275"/>
    </row>
    <row r="38276" spans="30:30" x14ac:dyDescent="0.25">
      <c r="AD38276"/>
    </row>
    <row r="38277" spans="30:30" x14ac:dyDescent="0.25">
      <c r="AD38277"/>
    </row>
    <row r="38278" spans="30:30" x14ac:dyDescent="0.25">
      <c r="AD38278"/>
    </row>
    <row r="38279" spans="30:30" x14ac:dyDescent="0.25">
      <c r="AD38279"/>
    </row>
    <row r="38280" spans="30:30" x14ac:dyDescent="0.25">
      <c r="AD38280"/>
    </row>
    <row r="38281" spans="30:30" x14ac:dyDescent="0.25">
      <c r="AD38281"/>
    </row>
    <row r="38282" spans="30:30" x14ac:dyDescent="0.25">
      <c r="AD38282"/>
    </row>
    <row r="38283" spans="30:30" x14ac:dyDescent="0.25">
      <c r="AD38283"/>
    </row>
    <row r="38284" spans="30:30" x14ac:dyDescent="0.25">
      <c r="AD38284"/>
    </row>
    <row r="38285" spans="30:30" x14ac:dyDescent="0.25">
      <c r="AD38285"/>
    </row>
    <row r="38286" spans="30:30" x14ac:dyDescent="0.25">
      <c r="AD38286"/>
    </row>
    <row r="38287" spans="30:30" x14ac:dyDescent="0.25">
      <c r="AD38287"/>
    </row>
    <row r="38288" spans="30:30" x14ac:dyDescent="0.25">
      <c r="AD38288"/>
    </row>
    <row r="38289" spans="30:30" x14ac:dyDescent="0.25">
      <c r="AD38289"/>
    </row>
    <row r="38290" spans="30:30" x14ac:dyDescent="0.25">
      <c r="AD38290"/>
    </row>
    <row r="38291" spans="30:30" x14ac:dyDescent="0.25">
      <c r="AD38291"/>
    </row>
    <row r="38292" spans="30:30" x14ac:dyDescent="0.25">
      <c r="AD38292"/>
    </row>
    <row r="38293" spans="30:30" x14ac:dyDescent="0.25">
      <c r="AD38293"/>
    </row>
    <row r="38294" spans="30:30" x14ac:dyDescent="0.25">
      <c r="AD38294"/>
    </row>
    <row r="38295" spans="30:30" x14ac:dyDescent="0.25">
      <c r="AD38295"/>
    </row>
    <row r="38296" spans="30:30" x14ac:dyDescent="0.25">
      <c r="AD38296"/>
    </row>
    <row r="38297" spans="30:30" x14ac:dyDescent="0.25">
      <c r="AD38297"/>
    </row>
    <row r="38298" spans="30:30" x14ac:dyDescent="0.25">
      <c r="AD38298"/>
    </row>
    <row r="38299" spans="30:30" x14ac:dyDescent="0.25">
      <c r="AD38299"/>
    </row>
    <row r="38300" spans="30:30" x14ac:dyDescent="0.25">
      <c r="AD38300"/>
    </row>
    <row r="38301" spans="30:30" x14ac:dyDescent="0.25">
      <c r="AD38301"/>
    </row>
    <row r="38302" spans="30:30" x14ac:dyDescent="0.25">
      <c r="AD38302"/>
    </row>
    <row r="38303" spans="30:30" x14ac:dyDescent="0.25">
      <c r="AD38303"/>
    </row>
    <row r="38304" spans="30:30" x14ac:dyDescent="0.25">
      <c r="AD38304"/>
    </row>
    <row r="38305" spans="30:30" x14ac:dyDescent="0.25">
      <c r="AD38305"/>
    </row>
    <row r="38306" spans="30:30" x14ac:dyDescent="0.25">
      <c r="AD38306"/>
    </row>
    <row r="38307" spans="30:30" x14ac:dyDescent="0.25">
      <c r="AD38307"/>
    </row>
    <row r="38308" spans="30:30" x14ac:dyDescent="0.25">
      <c r="AD38308"/>
    </row>
    <row r="38309" spans="30:30" x14ac:dyDescent="0.25">
      <c r="AD38309"/>
    </row>
    <row r="38310" spans="30:30" x14ac:dyDescent="0.25">
      <c r="AD38310"/>
    </row>
    <row r="38311" spans="30:30" x14ac:dyDescent="0.25">
      <c r="AD38311"/>
    </row>
    <row r="38312" spans="30:30" x14ac:dyDescent="0.25">
      <c r="AD38312"/>
    </row>
    <row r="38313" spans="30:30" x14ac:dyDescent="0.25">
      <c r="AD38313"/>
    </row>
    <row r="38314" spans="30:30" x14ac:dyDescent="0.25">
      <c r="AD38314"/>
    </row>
    <row r="38315" spans="30:30" x14ac:dyDescent="0.25">
      <c r="AD38315"/>
    </row>
    <row r="38316" spans="30:30" x14ac:dyDescent="0.25">
      <c r="AD38316"/>
    </row>
    <row r="38317" spans="30:30" x14ac:dyDescent="0.25">
      <c r="AD38317"/>
    </row>
    <row r="38318" spans="30:30" x14ac:dyDescent="0.25">
      <c r="AD38318"/>
    </row>
    <row r="38319" spans="30:30" x14ac:dyDescent="0.25">
      <c r="AD38319"/>
    </row>
    <row r="38320" spans="30:30" x14ac:dyDescent="0.25">
      <c r="AD38320"/>
    </row>
    <row r="38321" spans="30:30" x14ac:dyDescent="0.25">
      <c r="AD38321"/>
    </row>
    <row r="38322" spans="30:30" x14ac:dyDescent="0.25">
      <c r="AD38322"/>
    </row>
    <row r="38323" spans="30:30" x14ac:dyDescent="0.25">
      <c r="AD38323"/>
    </row>
    <row r="38324" spans="30:30" x14ac:dyDescent="0.25">
      <c r="AD38324"/>
    </row>
    <row r="38325" spans="30:30" x14ac:dyDescent="0.25">
      <c r="AD38325"/>
    </row>
    <row r="38326" spans="30:30" x14ac:dyDescent="0.25">
      <c r="AD38326"/>
    </row>
    <row r="38327" spans="30:30" x14ac:dyDescent="0.25">
      <c r="AD38327"/>
    </row>
    <row r="38328" spans="30:30" x14ac:dyDescent="0.25">
      <c r="AD38328"/>
    </row>
    <row r="38329" spans="30:30" x14ac:dyDescent="0.25">
      <c r="AD38329"/>
    </row>
    <row r="38330" spans="30:30" x14ac:dyDescent="0.25">
      <c r="AD38330"/>
    </row>
    <row r="38331" spans="30:30" x14ac:dyDescent="0.25">
      <c r="AD38331"/>
    </row>
    <row r="38332" spans="30:30" x14ac:dyDescent="0.25">
      <c r="AD38332"/>
    </row>
    <row r="38333" spans="30:30" x14ac:dyDescent="0.25">
      <c r="AD38333"/>
    </row>
    <row r="38334" spans="30:30" x14ac:dyDescent="0.25">
      <c r="AD38334"/>
    </row>
    <row r="38335" spans="30:30" x14ac:dyDescent="0.25">
      <c r="AD38335"/>
    </row>
    <row r="38336" spans="30:30" x14ac:dyDescent="0.25">
      <c r="AD38336"/>
    </row>
    <row r="38337" spans="30:30" x14ac:dyDescent="0.25">
      <c r="AD38337"/>
    </row>
    <row r="38338" spans="30:30" x14ac:dyDescent="0.25">
      <c r="AD38338"/>
    </row>
    <row r="38339" spans="30:30" x14ac:dyDescent="0.25">
      <c r="AD38339"/>
    </row>
    <row r="38340" spans="30:30" x14ac:dyDescent="0.25">
      <c r="AD38340"/>
    </row>
    <row r="38341" spans="30:30" x14ac:dyDescent="0.25">
      <c r="AD38341"/>
    </row>
    <row r="38342" spans="30:30" x14ac:dyDescent="0.25">
      <c r="AD38342"/>
    </row>
    <row r="38343" spans="30:30" x14ac:dyDescent="0.25">
      <c r="AD38343"/>
    </row>
    <row r="38344" spans="30:30" x14ac:dyDescent="0.25">
      <c r="AD38344"/>
    </row>
    <row r="38345" spans="30:30" x14ac:dyDescent="0.25">
      <c r="AD38345"/>
    </row>
    <row r="38346" spans="30:30" x14ac:dyDescent="0.25">
      <c r="AD38346"/>
    </row>
    <row r="38347" spans="30:30" x14ac:dyDescent="0.25">
      <c r="AD38347"/>
    </row>
    <row r="38348" spans="30:30" x14ac:dyDescent="0.25">
      <c r="AD38348"/>
    </row>
    <row r="38349" spans="30:30" x14ac:dyDescent="0.25">
      <c r="AD38349"/>
    </row>
    <row r="38350" spans="30:30" x14ac:dyDescent="0.25">
      <c r="AD38350"/>
    </row>
    <row r="38351" spans="30:30" x14ac:dyDescent="0.25">
      <c r="AD38351"/>
    </row>
    <row r="38352" spans="30:30" x14ac:dyDescent="0.25">
      <c r="AD38352"/>
    </row>
    <row r="38353" spans="30:30" x14ac:dyDescent="0.25">
      <c r="AD38353"/>
    </row>
    <row r="38354" spans="30:30" x14ac:dyDescent="0.25">
      <c r="AD38354"/>
    </row>
    <row r="38355" spans="30:30" x14ac:dyDescent="0.25">
      <c r="AD38355"/>
    </row>
    <row r="38356" spans="30:30" x14ac:dyDescent="0.25">
      <c r="AD38356"/>
    </row>
    <row r="38357" spans="30:30" x14ac:dyDescent="0.25">
      <c r="AD38357"/>
    </row>
    <row r="38358" spans="30:30" x14ac:dyDescent="0.25">
      <c r="AD38358"/>
    </row>
    <row r="38359" spans="30:30" x14ac:dyDescent="0.25">
      <c r="AD38359"/>
    </row>
    <row r="38360" spans="30:30" x14ac:dyDescent="0.25">
      <c r="AD38360"/>
    </row>
    <row r="38361" spans="30:30" x14ac:dyDescent="0.25">
      <c r="AD38361"/>
    </row>
    <row r="38362" spans="30:30" x14ac:dyDescent="0.25">
      <c r="AD38362"/>
    </row>
    <row r="38363" spans="30:30" x14ac:dyDescent="0.25">
      <c r="AD38363"/>
    </row>
    <row r="38364" spans="30:30" x14ac:dyDescent="0.25">
      <c r="AD38364"/>
    </row>
    <row r="38365" spans="30:30" x14ac:dyDescent="0.25">
      <c r="AD38365"/>
    </row>
    <row r="38366" spans="30:30" x14ac:dyDescent="0.25">
      <c r="AD38366"/>
    </row>
    <row r="38367" spans="30:30" x14ac:dyDescent="0.25">
      <c r="AD38367"/>
    </row>
    <row r="38368" spans="30:30" x14ac:dyDescent="0.25">
      <c r="AD38368"/>
    </row>
    <row r="38369" spans="30:30" x14ac:dyDescent="0.25">
      <c r="AD38369"/>
    </row>
    <row r="38370" spans="30:30" x14ac:dyDescent="0.25">
      <c r="AD38370"/>
    </row>
    <row r="38371" spans="30:30" x14ac:dyDescent="0.25">
      <c r="AD38371"/>
    </row>
    <row r="38372" spans="30:30" x14ac:dyDescent="0.25">
      <c r="AD38372"/>
    </row>
    <row r="38373" spans="30:30" x14ac:dyDescent="0.25">
      <c r="AD38373"/>
    </row>
    <row r="38374" spans="30:30" x14ac:dyDescent="0.25">
      <c r="AD38374"/>
    </row>
    <row r="38375" spans="30:30" x14ac:dyDescent="0.25">
      <c r="AD38375"/>
    </row>
    <row r="38376" spans="30:30" x14ac:dyDescent="0.25">
      <c r="AD38376"/>
    </row>
    <row r="38377" spans="30:30" x14ac:dyDescent="0.25">
      <c r="AD38377"/>
    </row>
    <row r="38378" spans="30:30" x14ac:dyDescent="0.25">
      <c r="AD38378"/>
    </row>
    <row r="38379" spans="30:30" x14ac:dyDescent="0.25">
      <c r="AD38379"/>
    </row>
    <row r="38380" spans="30:30" x14ac:dyDescent="0.25">
      <c r="AD38380"/>
    </row>
    <row r="38381" spans="30:30" x14ac:dyDescent="0.25">
      <c r="AD38381"/>
    </row>
    <row r="38382" spans="30:30" x14ac:dyDescent="0.25">
      <c r="AD38382"/>
    </row>
    <row r="38383" spans="30:30" x14ac:dyDescent="0.25">
      <c r="AD38383"/>
    </row>
    <row r="38384" spans="30:30" x14ac:dyDescent="0.25">
      <c r="AD38384"/>
    </row>
    <row r="38385" spans="30:30" x14ac:dyDescent="0.25">
      <c r="AD38385"/>
    </row>
    <row r="38386" spans="30:30" x14ac:dyDescent="0.25">
      <c r="AD38386"/>
    </row>
    <row r="38387" spans="30:30" x14ac:dyDescent="0.25">
      <c r="AD38387"/>
    </row>
    <row r="38388" spans="30:30" x14ac:dyDescent="0.25">
      <c r="AD38388"/>
    </row>
    <row r="38389" spans="30:30" x14ac:dyDescent="0.25">
      <c r="AD38389"/>
    </row>
    <row r="38390" spans="30:30" x14ac:dyDescent="0.25">
      <c r="AD38390"/>
    </row>
    <row r="38391" spans="30:30" x14ac:dyDescent="0.25">
      <c r="AD38391"/>
    </row>
    <row r="38392" spans="30:30" x14ac:dyDescent="0.25">
      <c r="AD38392"/>
    </row>
    <row r="38393" spans="30:30" x14ac:dyDescent="0.25">
      <c r="AD38393"/>
    </row>
    <row r="38394" spans="30:30" x14ac:dyDescent="0.25">
      <c r="AD38394"/>
    </row>
    <row r="38395" spans="30:30" x14ac:dyDescent="0.25">
      <c r="AD38395"/>
    </row>
    <row r="38396" spans="30:30" x14ac:dyDescent="0.25">
      <c r="AD38396"/>
    </row>
    <row r="38397" spans="30:30" x14ac:dyDescent="0.25">
      <c r="AD38397"/>
    </row>
    <row r="38398" spans="30:30" x14ac:dyDescent="0.25">
      <c r="AD38398"/>
    </row>
    <row r="38399" spans="30:30" x14ac:dyDescent="0.25">
      <c r="AD38399"/>
    </row>
    <row r="38400" spans="30:30" x14ac:dyDescent="0.25">
      <c r="AD38400"/>
    </row>
    <row r="38401" spans="30:30" x14ac:dyDescent="0.25">
      <c r="AD38401"/>
    </row>
    <row r="38402" spans="30:30" x14ac:dyDescent="0.25">
      <c r="AD38402"/>
    </row>
    <row r="38403" spans="30:30" x14ac:dyDescent="0.25">
      <c r="AD38403"/>
    </row>
    <row r="38404" spans="30:30" x14ac:dyDescent="0.25">
      <c r="AD38404"/>
    </row>
    <row r="38405" spans="30:30" x14ac:dyDescent="0.25">
      <c r="AD38405"/>
    </row>
    <row r="38406" spans="30:30" x14ac:dyDescent="0.25">
      <c r="AD38406"/>
    </row>
    <row r="38407" spans="30:30" x14ac:dyDescent="0.25">
      <c r="AD38407"/>
    </row>
    <row r="38408" spans="30:30" x14ac:dyDescent="0.25">
      <c r="AD38408"/>
    </row>
    <row r="38409" spans="30:30" x14ac:dyDescent="0.25">
      <c r="AD38409"/>
    </row>
    <row r="38410" spans="30:30" x14ac:dyDescent="0.25">
      <c r="AD38410"/>
    </row>
    <row r="38411" spans="30:30" x14ac:dyDescent="0.25">
      <c r="AD38411"/>
    </row>
    <row r="38412" spans="30:30" x14ac:dyDescent="0.25">
      <c r="AD38412"/>
    </row>
    <row r="38413" spans="30:30" x14ac:dyDescent="0.25">
      <c r="AD38413"/>
    </row>
    <row r="38414" spans="30:30" x14ac:dyDescent="0.25">
      <c r="AD38414"/>
    </row>
    <row r="38415" spans="30:30" x14ac:dyDescent="0.25">
      <c r="AD38415"/>
    </row>
    <row r="38416" spans="30:30" x14ac:dyDescent="0.25">
      <c r="AD38416"/>
    </row>
    <row r="38417" spans="30:30" x14ac:dyDescent="0.25">
      <c r="AD38417"/>
    </row>
    <row r="38418" spans="30:30" x14ac:dyDescent="0.25">
      <c r="AD38418"/>
    </row>
    <row r="38419" spans="30:30" x14ac:dyDescent="0.25">
      <c r="AD38419"/>
    </row>
    <row r="38420" spans="30:30" x14ac:dyDescent="0.25">
      <c r="AD38420"/>
    </row>
    <row r="38421" spans="30:30" x14ac:dyDescent="0.25">
      <c r="AD38421"/>
    </row>
    <row r="38422" spans="30:30" x14ac:dyDescent="0.25">
      <c r="AD38422"/>
    </row>
    <row r="38423" spans="30:30" x14ac:dyDescent="0.25">
      <c r="AD38423"/>
    </row>
    <row r="38424" spans="30:30" x14ac:dyDescent="0.25">
      <c r="AD38424"/>
    </row>
    <row r="38425" spans="30:30" x14ac:dyDescent="0.25">
      <c r="AD38425"/>
    </row>
    <row r="38426" spans="30:30" x14ac:dyDescent="0.25">
      <c r="AD38426"/>
    </row>
    <row r="38427" spans="30:30" x14ac:dyDescent="0.25">
      <c r="AD38427"/>
    </row>
    <row r="38428" spans="30:30" x14ac:dyDescent="0.25">
      <c r="AD38428"/>
    </row>
    <row r="38429" spans="30:30" x14ac:dyDescent="0.25">
      <c r="AD38429"/>
    </row>
    <row r="38430" spans="30:30" x14ac:dyDescent="0.25">
      <c r="AD38430"/>
    </row>
    <row r="38431" spans="30:30" x14ac:dyDescent="0.25">
      <c r="AD38431"/>
    </row>
    <row r="38432" spans="30:30" x14ac:dyDescent="0.25">
      <c r="AD38432"/>
    </row>
    <row r="38433" spans="30:30" x14ac:dyDescent="0.25">
      <c r="AD38433"/>
    </row>
    <row r="38434" spans="30:30" x14ac:dyDescent="0.25">
      <c r="AD38434"/>
    </row>
    <row r="38435" spans="30:30" x14ac:dyDescent="0.25">
      <c r="AD38435"/>
    </row>
    <row r="38436" spans="30:30" x14ac:dyDescent="0.25">
      <c r="AD38436"/>
    </row>
    <row r="38437" spans="30:30" x14ac:dyDescent="0.25">
      <c r="AD38437"/>
    </row>
    <row r="38438" spans="30:30" x14ac:dyDescent="0.25">
      <c r="AD38438"/>
    </row>
    <row r="38439" spans="30:30" x14ac:dyDescent="0.25">
      <c r="AD38439"/>
    </row>
    <row r="38440" spans="30:30" x14ac:dyDescent="0.25">
      <c r="AD38440"/>
    </row>
    <row r="38441" spans="30:30" x14ac:dyDescent="0.25">
      <c r="AD38441"/>
    </row>
    <row r="38442" spans="30:30" x14ac:dyDescent="0.25">
      <c r="AD38442"/>
    </row>
    <row r="38443" spans="30:30" x14ac:dyDescent="0.25">
      <c r="AD38443"/>
    </row>
    <row r="38444" spans="30:30" x14ac:dyDescent="0.25">
      <c r="AD38444"/>
    </row>
    <row r="38445" spans="30:30" x14ac:dyDescent="0.25">
      <c r="AD38445"/>
    </row>
    <row r="38446" spans="30:30" x14ac:dyDescent="0.25">
      <c r="AD38446"/>
    </row>
    <row r="38447" spans="30:30" x14ac:dyDescent="0.25">
      <c r="AD38447"/>
    </row>
    <row r="38448" spans="30:30" x14ac:dyDescent="0.25">
      <c r="AD38448"/>
    </row>
    <row r="38449" spans="30:30" x14ac:dyDescent="0.25">
      <c r="AD38449"/>
    </row>
    <row r="38450" spans="30:30" x14ac:dyDescent="0.25">
      <c r="AD38450"/>
    </row>
    <row r="38451" spans="30:30" x14ac:dyDescent="0.25">
      <c r="AD38451"/>
    </row>
    <row r="38452" spans="30:30" x14ac:dyDescent="0.25">
      <c r="AD38452"/>
    </row>
    <row r="38453" spans="30:30" x14ac:dyDescent="0.25">
      <c r="AD38453"/>
    </row>
    <row r="38454" spans="30:30" x14ac:dyDescent="0.25">
      <c r="AD38454"/>
    </row>
    <row r="38455" spans="30:30" x14ac:dyDescent="0.25">
      <c r="AD38455"/>
    </row>
    <row r="38456" spans="30:30" x14ac:dyDescent="0.25">
      <c r="AD38456"/>
    </row>
    <row r="38457" spans="30:30" x14ac:dyDescent="0.25">
      <c r="AD38457"/>
    </row>
    <row r="38458" spans="30:30" x14ac:dyDescent="0.25">
      <c r="AD38458"/>
    </row>
    <row r="38459" spans="30:30" x14ac:dyDescent="0.25">
      <c r="AD38459"/>
    </row>
    <row r="38460" spans="30:30" x14ac:dyDescent="0.25">
      <c r="AD38460"/>
    </row>
    <row r="38461" spans="30:30" x14ac:dyDescent="0.25">
      <c r="AD38461"/>
    </row>
    <row r="38462" spans="30:30" x14ac:dyDescent="0.25">
      <c r="AD38462"/>
    </row>
    <row r="38463" spans="30:30" x14ac:dyDescent="0.25">
      <c r="AD38463"/>
    </row>
    <row r="38464" spans="30:30" x14ac:dyDescent="0.25">
      <c r="AD38464"/>
    </row>
    <row r="38465" spans="30:30" x14ac:dyDescent="0.25">
      <c r="AD38465"/>
    </row>
    <row r="38466" spans="30:30" x14ac:dyDescent="0.25">
      <c r="AD38466"/>
    </row>
    <row r="38467" spans="30:30" x14ac:dyDescent="0.25">
      <c r="AD38467"/>
    </row>
    <row r="38468" spans="30:30" x14ac:dyDescent="0.25">
      <c r="AD38468"/>
    </row>
    <row r="38469" spans="30:30" x14ac:dyDescent="0.25">
      <c r="AD38469"/>
    </row>
    <row r="38470" spans="30:30" x14ac:dyDescent="0.25">
      <c r="AD38470"/>
    </row>
    <row r="38471" spans="30:30" x14ac:dyDescent="0.25">
      <c r="AD38471"/>
    </row>
    <row r="38472" spans="30:30" x14ac:dyDescent="0.25">
      <c r="AD38472"/>
    </row>
    <row r="38473" spans="30:30" x14ac:dyDescent="0.25">
      <c r="AD38473"/>
    </row>
    <row r="38474" spans="30:30" x14ac:dyDescent="0.25">
      <c r="AD38474"/>
    </row>
    <row r="38475" spans="30:30" x14ac:dyDescent="0.25">
      <c r="AD38475"/>
    </row>
    <row r="38476" spans="30:30" x14ac:dyDescent="0.25">
      <c r="AD38476"/>
    </row>
    <row r="38477" spans="30:30" x14ac:dyDescent="0.25">
      <c r="AD38477"/>
    </row>
    <row r="38478" spans="30:30" x14ac:dyDescent="0.25">
      <c r="AD38478"/>
    </row>
    <row r="38479" spans="30:30" x14ac:dyDescent="0.25">
      <c r="AD38479"/>
    </row>
    <row r="38480" spans="30:30" x14ac:dyDescent="0.25">
      <c r="AD38480"/>
    </row>
    <row r="38481" spans="30:30" x14ac:dyDescent="0.25">
      <c r="AD38481"/>
    </row>
    <row r="38482" spans="30:30" x14ac:dyDescent="0.25">
      <c r="AD38482"/>
    </row>
    <row r="38483" spans="30:30" x14ac:dyDescent="0.25">
      <c r="AD38483"/>
    </row>
    <row r="38484" spans="30:30" x14ac:dyDescent="0.25">
      <c r="AD38484"/>
    </row>
    <row r="38485" spans="30:30" x14ac:dyDescent="0.25">
      <c r="AD38485"/>
    </row>
    <row r="38486" spans="30:30" x14ac:dyDescent="0.25">
      <c r="AD38486"/>
    </row>
    <row r="38487" spans="30:30" x14ac:dyDescent="0.25">
      <c r="AD38487"/>
    </row>
    <row r="38488" spans="30:30" x14ac:dyDescent="0.25">
      <c r="AD38488"/>
    </row>
    <row r="38489" spans="30:30" x14ac:dyDescent="0.25">
      <c r="AD38489"/>
    </row>
    <row r="38490" spans="30:30" x14ac:dyDescent="0.25">
      <c r="AD38490"/>
    </row>
    <row r="38491" spans="30:30" x14ac:dyDescent="0.25">
      <c r="AD38491"/>
    </row>
    <row r="38492" spans="30:30" x14ac:dyDescent="0.25">
      <c r="AD38492"/>
    </row>
    <row r="38493" spans="30:30" x14ac:dyDescent="0.25">
      <c r="AD38493"/>
    </row>
    <row r="38494" spans="30:30" x14ac:dyDescent="0.25">
      <c r="AD38494"/>
    </row>
    <row r="38495" spans="30:30" x14ac:dyDescent="0.25">
      <c r="AD38495"/>
    </row>
    <row r="38496" spans="30:30" x14ac:dyDescent="0.25">
      <c r="AD38496"/>
    </row>
    <row r="38497" spans="30:30" x14ac:dyDescent="0.25">
      <c r="AD38497"/>
    </row>
    <row r="38498" spans="30:30" x14ac:dyDescent="0.25">
      <c r="AD38498"/>
    </row>
    <row r="38499" spans="30:30" x14ac:dyDescent="0.25">
      <c r="AD38499"/>
    </row>
    <row r="38500" spans="30:30" x14ac:dyDescent="0.25">
      <c r="AD38500"/>
    </row>
    <row r="38501" spans="30:30" x14ac:dyDescent="0.25">
      <c r="AD38501"/>
    </row>
    <row r="38502" spans="30:30" x14ac:dyDescent="0.25">
      <c r="AD38502"/>
    </row>
    <row r="38503" spans="30:30" x14ac:dyDescent="0.25">
      <c r="AD38503"/>
    </row>
    <row r="38504" spans="30:30" x14ac:dyDescent="0.25">
      <c r="AD38504"/>
    </row>
    <row r="38505" spans="30:30" x14ac:dyDescent="0.25">
      <c r="AD38505"/>
    </row>
    <row r="38506" spans="30:30" x14ac:dyDescent="0.25">
      <c r="AD38506"/>
    </row>
    <row r="38507" spans="30:30" x14ac:dyDescent="0.25">
      <c r="AD38507"/>
    </row>
    <row r="38508" spans="30:30" x14ac:dyDescent="0.25">
      <c r="AD38508"/>
    </row>
    <row r="38509" spans="30:30" x14ac:dyDescent="0.25">
      <c r="AD38509"/>
    </row>
    <row r="38510" spans="30:30" x14ac:dyDescent="0.25">
      <c r="AD38510"/>
    </row>
    <row r="38511" spans="30:30" x14ac:dyDescent="0.25">
      <c r="AD38511"/>
    </row>
    <row r="38512" spans="30:30" x14ac:dyDescent="0.25">
      <c r="AD38512"/>
    </row>
    <row r="38513" spans="30:30" x14ac:dyDescent="0.25">
      <c r="AD38513"/>
    </row>
    <row r="38514" spans="30:30" x14ac:dyDescent="0.25">
      <c r="AD38514"/>
    </row>
    <row r="38515" spans="30:30" x14ac:dyDescent="0.25">
      <c r="AD38515"/>
    </row>
    <row r="38516" spans="30:30" x14ac:dyDescent="0.25">
      <c r="AD38516"/>
    </row>
    <row r="38517" spans="30:30" x14ac:dyDescent="0.25">
      <c r="AD38517"/>
    </row>
    <row r="38518" spans="30:30" x14ac:dyDescent="0.25">
      <c r="AD38518"/>
    </row>
    <row r="38519" spans="30:30" x14ac:dyDescent="0.25">
      <c r="AD38519"/>
    </row>
    <row r="38520" spans="30:30" x14ac:dyDescent="0.25">
      <c r="AD38520"/>
    </row>
    <row r="38521" spans="30:30" x14ac:dyDescent="0.25">
      <c r="AD38521"/>
    </row>
    <row r="38522" spans="30:30" x14ac:dyDescent="0.25">
      <c r="AD38522"/>
    </row>
    <row r="38523" spans="30:30" x14ac:dyDescent="0.25">
      <c r="AD38523"/>
    </row>
    <row r="38524" spans="30:30" x14ac:dyDescent="0.25">
      <c r="AD38524"/>
    </row>
    <row r="38525" spans="30:30" x14ac:dyDescent="0.25">
      <c r="AD38525"/>
    </row>
    <row r="38526" spans="30:30" x14ac:dyDescent="0.25">
      <c r="AD38526"/>
    </row>
    <row r="38527" spans="30:30" x14ac:dyDescent="0.25">
      <c r="AD38527"/>
    </row>
    <row r="38528" spans="30:30" x14ac:dyDescent="0.25">
      <c r="AD38528"/>
    </row>
    <row r="38529" spans="30:30" x14ac:dyDescent="0.25">
      <c r="AD38529"/>
    </row>
    <row r="38530" spans="30:30" x14ac:dyDescent="0.25">
      <c r="AD38530"/>
    </row>
    <row r="38531" spans="30:30" x14ac:dyDescent="0.25">
      <c r="AD38531"/>
    </row>
    <row r="38532" spans="30:30" x14ac:dyDescent="0.25">
      <c r="AD38532"/>
    </row>
    <row r="38533" spans="30:30" x14ac:dyDescent="0.25">
      <c r="AD38533"/>
    </row>
    <row r="38534" spans="30:30" x14ac:dyDescent="0.25">
      <c r="AD38534"/>
    </row>
    <row r="38535" spans="30:30" x14ac:dyDescent="0.25">
      <c r="AD38535"/>
    </row>
    <row r="38536" spans="30:30" x14ac:dyDescent="0.25">
      <c r="AD38536"/>
    </row>
    <row r="38537" spans="30:30" x14ac:dyDescent="0.25">
      <c r="AD38537"/>
    </row>
    <row r="38538" spans="30:30" x14ac:dyDescent="0.25">
      <c r="AD38538"/>
    </row>
    <row r="38539" spans="30:30" x14ac:dyDescent="0.25">
      <c r="AD38539"/>
    </row>
    <row r="38540" spans="30:30" x14ac:dyDescent="0.25">
      <c r="AD38540"/>
    </row>
    <row r="38541" spans="30:30" x14ac:dyDescent="0.25">
      <c r="AD38541"/>
    </row>
    <row r="38542" spans="30:30" x14ac:dyDescent="0.25">
      <c r="AD38542"/>
    </row>
    <row r="38543" spans="30:30" x14ac:dyDescent="0.25">
      <c r="AD38543"/>
    </row>
    <row r="38544" spans="30:30" x14ac:dyDescent="0.25">
      <c r="AD38544"/>
    </row>
    <row r="38545" spans="30:30" x14ac:dyDescent="0.25">
      <c r="AD38545"/>
    </row>
    <row r="38546" spans="30:30" x14ac:dyDescent="0.25">
      <c r="AD38546"/>
    </row>
    <row r="38547" spans="30:30" x14ac:dyDescent="0.25">
      <c r="AD38547"/>
    </row>
    <row r="38548" spans="30:30" x14ac:dyDescent="0.25">
      <c r="AD38548"/>
    </row>
    <row r="38549" spans="30:30" x14ac:dyDescent="0.25">
      <c r="AD38549"/>
    </row>
    <row r="38550" spans="30:30" x14ac:dyDescent="0.25">
      <c r="AD38550"/>
    </row>
    <row r="38551" spans="30:30" x14ac:dyDescent="0.25">
      <c r="AD38551"/>
    </row>
    <row r="38552" spans="30:30" x14ac:dyDescent="0.25">
      <c r="AD38552"/>
    </row>
    <row r="38553" spans="30:30" x14ac:dyDescent="0.25">
      <c r="AD38553"/>
    </row>
    <row r="38554" spans="30:30" x14ac:dyDescent="0.25">
      <c r="AD38554"/>
    </row>
    <row r="38555" spans="30:30" x14ac:dyDescent="0.25">
      <c r="AD38555"/>
    </row>
    <row r="38556" spans="30:30" x14ac:dyDescent="0.25">
      <c r="AD38556"/>
    </row>
    <row r="38557" spans="30:30" x14ac:dyDescent="0.25">
      <c r="AD38557"/>
    </row>
    <row r="38558" spans="30:30" x14ac:dyDescent="0.25">
      <c r="AD38558"/>
    </row>
    <row r="38559" spans="30:30" x14ac:dyDescent="0.25">
      <c r="AD38559"/>
    </row>
    <row r="38560" spans="30:30" x14ac:dyDescent="0.25">
      <c r="AD38560"/>
    </row>
    <row r="38561" spans="30:30" x14ac:dyDescent="0.25">
      <c r="AD38561"/>
    </row>
    <row r="38562" spans="30:30" x14ac:dyDescent="0.25">
      <c r="AD38562"/>
    </row>
    <row r="38563" spans="30:30" x14ac:dyDescent="0.25">
      <c r="AD38563"/>
    </row>
    <row r="38564" spans="30:30" x14ac:dyDescent="0.25">
      <c r="AD38564"/>
    </row>
    <row r="38565" spans="30:30" x14ac:dyDescent="0.25">
      <c r="AD38565"/>
    </row>
    <row r="38566" spans="30:30" x14ac:dyDescent="0.25">
      <c r="AD38566"/>
    </row>
    <row r="38567" spans="30:30" x14ac:dyDescent="0.25">
      <c r="AD38567"/>
    </row>
    <row r="38568" spans="30:30" x14ac:dyDescent="0.25">
      <c r="AD38568"/>
    </row>
    <row r="38569" spans="30:30" x14ac:dyDescent="0.25">
      <c r="AD38569"/>
    </row>
    <row r="38570" spans="30:30" x14ac:dyDescent="0.25">
      <c r="AD38570"/>
    </row>
    <row r="38571" spans="30:30" x14ac:dyDescent="0.25">
      <c r="AD38571"/>
    </row>
    <row r="38572" spans="30:30" x14ac:dyDescent="0.25">
      <c r="AD38572"/>
    </row>
    <row r="38573" spans="30:30" x14ac:dyDescent="0.25">
      <c r="AD38573"/>
    </row>
    <row r="38574" spans="30:30" x14ac:dyDescent="0.25">
      <c r="AD38574"/>
    </row>
    <row r="38575" spans="30:30" x14ac:dyDescent="0.25">
      <c r="AD38575"/>
    </row>
    <row r="38576" spans="30:30" x14ac:dyDescent="0.25">
      <c r="AD38576"/>
    </row>
    <row r="38577" spans="30:30" x14ac:dyDescent="0.25">
      <c r="AD38577"/>
    </row>
    <row r="38578" spans="30:30" x14ac:dyDescent="0.25">
      <c r="AD38578"/>
    </row>
    <row r="38579" spans="30:30" x14ac:dyDescent="0.25">
      <c r="AD38579"/>
    </row>
    <row r="38580" spans="30:30" x14ac:dyDescent="0.25">
      <c r="AD38580"/>
    </row>
    <row r="38581" spans="30:30" x14ac:dyDescent="0.25">
      <c r="AD38581"/>
    </row>
    <row r="38582" spans="30:30" x14ac:dyDescent="0.25">
      <c r="AD38582"/>
    </row>
    <row r="38583" spans="30:30" x14ac:dyDescent="0.25">
      <c r="AD38583"/>
    </row>
    <row r="38584" spans="30:30" x14ac:dyDescent="0.25">
      <c r="AD38584"/>
    </row>
    <row r="38585" spans="30:30" x14ac:dyDescent="0.25">
      <c r="AD38585"/>
    </row>
    <row r="38586" spans="30:30" x14ac:dyDescent="0.25">
      <c r="AD38586"/>
    </row>
    <row r="38587" spans="30:30" x14ac:dyDescent="0.25">
      <c r="AD38587"/>
    </row>
    <row r="38588" spans="30:30" x14ac:dyDescent="0.25">
      <c r="AD38588"/>
    </row>
    <row r="38589" spans="30:30" x14ac:dyDescent="0.25">
      <c r="AD38589"/>
    </row>
    <row r="38590" spans="30:30" x14ac:dyDescent="0.25">
      <c r="AD38590"/>
    </row>
    <row r="38591" spans="30:30" x14ac:dyDescent="0.25">
      <c r="AD38591"/>
    </row>
    <row r="38592" spans="30:30" x14ac:dyDescent="0.25">
      <c r="AD38592"/>
    </row>
    <row r="38593" spans="30:30" x14ac:dyDescent="0.25">
      <c r="AD38593"/>
    </row>
    <row r="38594" spans="30:30" x14ac:dyDescent="0.25">
      <c r="AD38594"/>
    </row>
    <row r="38595" spans="30:30" x14ac:dyDescent="0.25">
      <c r="AD38595"/>
    </row>
    <row r="38596" spans="30:30" x14ac:dyDescent="0.25">
      <c r="AD38596"/>
    </row>
    <row r="38597" spans="30:30" x14ac:dyDescent="0.25">
      <c r="AD38597"/>
    </row>
    <row r="38598" spans="30:30" x14ac:dyDescent="0.25">
      <c r="AD38598"/>
    </row>
    <row r="38599" spans="30:30" x14ac:dyDescent="0.25">
      <c r="AD38599"/>
    </row>
    <row r="38600" spans="30:30" x14ac:dyDescent="0.25">
      <c r="AD38600"/>
    </row>
    <row r="38601" spans="30:30" x14ac:dyDescent="0.25">
      <c r="AD38601"/>
    </row>
    <row r="38602" spans="30:30" x14ac:dyDescent="0.25">
      <c r="AD38602"/>
    </row>
    <row r="38603" spans="30:30" x14ac:dyDescent="0.25">
      <c r="AD38603"/>
    </row>
    <row r="38604" spans="30:30" x14ac:dyDescent="0.25">
      <c r="AD38604"/>
    </row>
    <row r="38605" spans="30:30" x14ac:dyDescent="0.25">
      <c r="AD38605"/>
    </row>
    <row r="38606" spans="30:30" x14ac:dyDescent="0.25">
      <c r="AD38606"/>
    </row>
    <row r="38607" spans="30:30" x14ac:dyDescent="0.25">
      <c r="AD38607"/>
    </row>
    <row r="38608" spans="30:30" x14ac:dyDescent="0.25">
      <c r="AD38608"/>
    </row>
    <row r="38609" spans="30:30" x14ac:dyDescent="0.25">
      <c r="AD38609"/>
    </row>
    <row r="38610" spans="30:30" x14ac:dyDescent="0.25">
      <c r="AD38610"/>
    </row>
    <row r="38611" spans="30:30" x14ac:dyDescent="0.25">
      <c r="AD38611"/>
    </row>
    <row r="38612" spans="30:30" x14ac:dyDescent="0.25">
      <c r="AD38612"/>
    </row>
    <row r="38613" spans="30:30" x14ac:dyDescent="0.25">
      <c r="AD38613"/>
    </row>
    <row r="38614" spans="30:30" x14ac:dyDescent="0.25">
      <c r="AD38614"/>
    </row>
    <row r="38615" spans="30:30" x14ac:dyDescent="0.25">
      <c r="AD38615"/>
    </row>
    <row r="38616" spans="30:30" x14ac:dyDescent="0.25">
      <c r="AD38616"/>
    </row>
    <row r="38617" spans="30:30" x14ac:dyDescent="0.25">
      <c r="AD38617"/>
    </row>
    <row r="38618" spans="30:30" x14ac:dyDescent="0.25">
      <c r="AD38618"/>
    </row>
    <row r="38619" spans="30:30" x14ac:dyDescent="0.25">
      <c r="AD38619"/>
    </row>
    <row r="38620" spans="30:30" x14ac:dyDescent="0.25">
      <c r="AD38620"/>
    </row>
    <row r="38621" spans="30:30" x14ac:dyDescent="0.25">
      <c r="AD38621"/>
    </row>
    <row r="38622" spans="30:30" x14ac:dyDescent="0.25">
      <c r="AD38622"/>
    </row>
    <row r="38623" spans="30:30" x14ac:dyDescent="0.25">
      <c r="AD38623"/>
    </row>
    <row r="38624" spans="30:30" x14ac:dyDescent="0.25">
      <c r="AD38624"/>
    </row>
    <row r="38625" spans="30:30" x14ac:dyDescent="0.25">
      <c r="AD38625"/>
    </row>
    <row r="38626" spans="30:30" x14ac:dyDescent="0.25">
      <c r="AD38626"/>
    </row>
    <row r="38627" spans="30:30" x14ac:dyDescent="0.25">
      <c r="AD38627"/>
    </row>
    <row r="38628" spans="30:30" x14ac:dyDescent="0.25">
      <c r="AD38628"/>
    </row>
    <row r="38629" spans="30:30" x14ac:dyDescent="0.25">
      <c r="AD38629"/>
    </row>
    <row r="38630" spans="30:30" x14ac:dyDescent="0.25">
      <c r="AD38630"/>
    </row>
    <row r="38631" spans="30:30" x14ac:dyDescent="0.25">
      <c r="AD38631"/>
    </row>
    <row r="38632" spans="30:30" x14ac:dyDescent="0.25">
      <c r="AD38632"/>
    </row>
    <row r="38633" spans="30:30" x14ac:dyDescent="0.25">
      <c r="AD38633"/>
    </row>
    <row r="38634" spans="30:30" x14ac:dyDescent="0.25">
      <c r="AD38634"/>
    </row>
    <row r="38635" spans="30:30" x14ac:dyDescent="0.25">
      <c r="AD38635"/>
    </row>
    <row r="38636" spans="30:30" x14ac:dyDescent="0.25">
      <c r="AD38636"/>
    </row>
    <row r="38637" spans="30:30" x14ac:dyDescent="0.25">
      <c r="AD38637"/>
    </row>
    <row r="38638" spans="30:30" x14ac:dyDescent="0.25">
      <c r="AD38638"/>
    </row>
    <row r="38639" spans="30:30" x14ac:dyDescent="0.25">
      <c r="AD38639"/>
    </row>
    <row r="38640" spans="30:30" x14ac:dyDescent="0.25">
      <c r="AD38640"/>
    </row>
    <row r="38641" spans="30:30" x14ac:dyDescent="0.25">
      <c r="AD38641"/>
    </row>
    <row r="38642" spans="30:30" x14ac:dyDescent="0.25">
      <c r="AD38642"/>
    </row>
    <row r="38643" spans="30:30" x14ac:dyDescent="0.25">
      <c r="AD38643"/>
    </row>
    <row r="38644" spans="30:30" x14ac:dyDescent="0.25">
      <c r="AD38644"/>
    </row>
    <row r="38645" spans="30:30" x14ac:dyDescent="0.25">
      <c r="AD38645"/>
    </row>
    <row r="38646" spans="30:30" x14ac:dyDescent="0.25">
      <c r="AD38646"/>
    </row>
    <row r="38647" spans="30:30" x14ac:dyDescent="0.25">
      <c r="AD38647"/>
    </row>
    <row r="38648" spans="30:30" x14ac:dyDescent="0.25">
      <c r="AD38648"/>
    </row>
    <row r="38649" spans="30:30" x14ac:dyDescent="0.25">
      <c r="AD38649"/>
    </row>
    <row r="38650" spans="30:30" x14ac:dyDescent="0.25">
      <c r="AD38650"/>
    </row>
    <row r="38651" spans="30:30" x14ac:dyDescent="0.25">
      <c r="AD38651"/>
    </row>
    <row r="38652" spans="30:30" x14ac:dyDescent="0.25">
      <c r="AD38652"/>
    </row>
    <row r="38653" spans="30:30" x14ac:dyDescent="0.25">
      <c r="AD38653"/>
    </row>
    <row r="38654" spans="30:30" x14ac:dyDescent="0.25">
      <c r="AD38654"/>
    </row>
    <row r="38655" spans="30:30" x14ac:dyDescent="0.25">
      <c r="AD38655"/>
    </row>
    <row r="38656" spans="30:30" x14ac:dyDescent="0.25">
      <c r="AD38656"/>
    </row>
    <row r="38657" spans="30:30" x14ac:dyDescent="0.25">
      <c r="AD38657"/>
    </row>
    <row r="38658" spans="30:30" x14ac:dyDescent="0.25">
      <c r="AD38658"/>
    </row>
    <row r="38659" spans="30:30" x14ac:dyDescent="0.25">
      <c r="AD38659"/>
    </row>
    <row r="38660" spans="30:30" x14ac:dyDescent="0.25">
      <c r="AD38660"/>
    </row>
    <row r="38661" spans="30:30" x14ac:dyDescent="0.25">
      <c r="AD38661"/>
    </row>
    <row r="38662" spans="30:30" x14ac:dyDescent="0.25">
      <c r="AD38662"/>
    </row>
    <row r="38663" spans="30:30" x14ac:dyDescent="0.25">
      <c r="AD38663"/>
    </row>
    <row r="38664" spans="30:30" x14ac:dyDescent="0.25">
      <c r="AD38664"/>
    </row>
    <row r="38665" spans="30:30" x14ac:dyDescent="0.25">
      <c r="AD38665"/>
    </row>
    <row r="38666" spans="30:30" x14ac:dyDescent="0.25">
      <c r="AD38666"/>
    </row>
    <row r="38667" spans="30:30" x14ac:dyDescent="0.25">
      <c r="AD38667"/>
    </row>
    <row r="38668" spans="30:30" x14ac:dyDescent="0.25">
      <c r="AD38668"/>
    </row>
    <row r="38669" spans="30:30" x14ac:dyDescent="0.25">
      <c r="AD38669"/>
    </row>
    <row r="38670" spans="30:30" x14ac:dyDescent="0.25">
      <c r="AD38670"/>
    </row>
    <row r="38671" spans="30:30" x14ac:dyDescent="0.25">
      <c r="AD38671"/>
    </row>
    <row r="38672" spans="30:30" x14ac:dyDescent="0.25">
      <c r="AD38672"/>
    </row>
    <row r="38673" spans="30:30" x14ac:dyDescent="0.25">
      <c r="AD38673"/>
    </row>
    <row r="38674" spans="30:30" x14ac:dyDescent="0.25">
      <c r="AD38674"/>
    </row>
    <row r="38675" spans="30:30" x14ac:dyDescent="0.25">
      <c r="AD38675"/>
    </row>
    <row r="38676" spans="30:30" x14ac:dyDescent="0.25">
      <c r="AD38676"/>
    </row>
    <row r="38677" spans="30:30" x14ac:dyDescent="0.25">
      <c r="AD38677"/>
    </row>
    <row r="38678" spans="30:30" x14ac:dyDescent="0.25">
      <c r="AD38678"/>
    </row>
    <row r="38679" spans="30:30" x14ac:dyDescent="0.25">
      <c r="AD38679"/>
    </row>
    <row r="38680" spans="30:30" x14ac:dyDescent="0.25">
      <c r="AD38680"/>
    </row>
    <row r="38681" spans="30:30" x14ac:dyDescent="0.25">
      <c r="AD38681"/>
    </row>
    <row r="38682" spans="30:30" x14ac:dyDescent="0.25">
      <c r="AD38682"/>
    </row>
    <row r="38683" spans="30:30" x14ac:dyDescent="0.25">
      <c r="AD38683"/>
    </row>
    <row r="38684" spans="30:30" x14ac:dyDescent="0.25">
      <c r="AD38684"/>
    </row>
    <row r="38685" spans="30:30" x14ac:dyDescent="0.25">
      <c r="AD38685"/>
    </row>
    <row r="38686" spans="30:30" x14ac:dyDescent="0.25">
      <c r="AD38686"/>
    </row>
    <row r="38687" spans="30:30" x14ac:dyDescent="0.25">
      <c r="AD38687"/>
    </row>
    <row r="38688" spans="30:30" x14ac:dyDescent="0.25">
      <c r="AD38688"/>
    </row>
    <row r="38689" spans="30:30" x14ac:dyDescent="0.25">
      <c r="AD38689"/>
    </row>
    <row r="38690" spans="30:30" x14ac:dyDescent="0.25">
      <c r="AD38690"/>
    </row>
    <row r="38691" spans="30:30" x14ac:dyDescent="0.25">
      <c r="AD38691"/>
    </row>
    <row r="38692" spans="30:30" x14ac:dyDescent="0.25">
      <c r="AD38692"/>
    </row>
    <row r="38693" spans="30:30" x14ac:dyDescent="0.25">
      <c r="AD38693"/>
    </row>
    <row r="38694" spans="30:30" x14ac:dyDescent="0.25">
      <c r="AD38694"/>
    </row>
    <row r="38695" spans="30:30" x14ac:dyDescent="0.25">
      <c r="AD38695"/>
    </row>
    <row r="38696" spans="30:30" x14ac:dyDescent="0.25">
      <c r="AD38696"/>
    </row>
    <row r="38697" spans="30:30" x14ac:dyDescent="0.25">
      <c r="AD38697"/>
    </row>
    <row r="38698" spans="30:30" x14ac:dyDescent="0.25">
      <c r="AD38698"/>
    </row>
    <row r="38699" spans="30:30" x14ac:dyDescent="0.25">
      <c r="AD38699"/>
    </row>
    <row r="38700" spans="30:30" x14ac:dyDescent="0.25">
      <c r="AD38700"/>
    </row>
    <row r="38701" spans="30:30" x14ac:dyDescent="0.25">
      <c r="AD38701"/>
    </row>
    <row r="38702" spans="30:30" x14ac:dyDescent="0.25">
      <c r="AD38702"/>
    </row>
    <row r="38703" spans="30:30" x14ac:dyDescent="0.25">
      <c r="AD38703"/>
    </row>
    <row r="38704" spans="30:30" x14ac:dyDescent="0.25">
      <c r="AD38704"/>
    </row>
    <row r="38705" spans="30:30" x14ac:dyDescent="0.25">
      <c r="AD38705"/>
    </row>
    <row r="38706" spans="30:30" x14ac:dyDescent="0.25">
      <c r="AD38706"/>
    </row>
    <row r="38707" spans="30:30" x14ac:dyDescent="0.25">
      <c r="AD38707"/>
    </row>
    <row r="38708" spans="30:30" x14ac:dyDescent="0.25">
      <c r="AD38708"/>
    </row>
    <row r="38709" spans="30:30" x14ac:dyDescent="0.25">
      <c r="AD38709"/>
    </row>
    <row r="38710" spans="30:30" x14ac:dyDescent="0.25">
      <c r="AD38710"/>
    </row>
    <row r="38711" spans="30:30" x14ac:dyDescent="0.25">
      <c r="AD38711"/>
    </row>
    <row r="38712" spans="30:30" x14ac:dyDescent="0.25">
      <c r="AD38712"/>
    </row>
    <row r="38713" spans="30:30" x14ac:dyDescent="0.25">
      <c r="AD38713"/>
    </row>
    <row r="38714" spans="30:30" x14ac:dyDescent="0.25">
      <c r="AD38714"/>
    </row>
    <row r="38715" spans="30:30" x14ac:dyDescent="0.25">
      <c r="AD38715"/>
    </row>
    <row r="38716" spans="30:30" x14ac:dyDescent="0.25">
      <c r="AD38716"/>
    </row>
    <row r="38717" spans="30:30" x14ac:dyDescent="0.25">
      <c r="AD38717"/>
    </row>
    <row r="38718" spans="30:30" x14ac:dyDescent="0.25">
      <c r="AD38718"/>
    </row>
    <row r="38719" spans="30:30" x14ac:dyDescent="0.25">
      <c r="AD38719"/>
    </row>
    <row r="38720" spans="30:30" x14ac:dyDescent="0.25">
      <c r="AD38720"/>
    </row>
    <row r="38721" spans="30:30" x14ac:dyDescent="0.25">
      <c r="AD38721"/>
    </row>
    <row r="38722" spans="30:30" x14ac:dyDescent="0.25">
      <c r="AD38722"/>
    </row>
    <row r="38723" spans="30:30" x14ac:dyDescent="0.25">
      <c r="AD38723"/>
    </row>
    <row r="38724" spans="30:30" x14ac:dyDescent="0.25">
      <c r="AD38724"/>
    </row>
    <row r="38725" spans="30:30" x14ac:dyDescent="0.25">
      <c r="AD38725"/>
    </row>
    <row r="38726" spans="30:30" x14ac:dyDescent="0.25">
      <c r="AD38726"/>
    </row>
    <row r="38727" spans="30:30" x14ac:dyDescent="0.25">
      <c r="AD38727"/>
    </row>
    <row r="38728" spans="30:30" x14ac:dyDescent="0.25">
      <c r="AD38728"/>
    </row>
    <row r="38729" spans="30:30" x14ac:dyDescent="0.25">
      <c r="AD38729"/>
    </row>
    <row r="38730" spans="30:30" x14ac:dyDescent="0.25">
      <c r="AD38730"/>
    </row>
    <row r="38731" spans="30:30" x14ac:dyDescent="0.25">
      <c r="AD38731"/>
    </row>
    <row r="38732" spans="30:30" x14ac:dyDescent="0.25">
      <c r="AD38732"/>
    </row>
    <row r="38733" spans="30:30" x14ac:dyDescent="0.25">
      <c r="AD38733"/>
    </row>
    <row r="38734" spans="30:30" x14ac:dyDescent="0.25">
      <c r="AD38734"/>
    </row>
    <row r="38735" spans="30:30" x14ac:dyDescent="0.25">
      <c r="AD38735"/>
    </row>
    <row r="38736" spans="30:30" x14ac:dyDescent="0.25">
      <c r="AD38736"/>
    </row>
    <row r="38737" spans="30:30" x14ac:dyDescent="0.25">
      <c r="AD38737"/>
    </row>
    <row r="38738" spans="30:30" x14ac:dyDescent="0.25">
      <c r="AD38738"/>
    </row>
    <row r="38739" spans="30:30" x14ac:dyDescent="0.25">
      <c r="AD38739"/>
    </row>
    <row r="38740" spans="30:30" x14ac:dyDescent="0.25">
      <c r="AD38740"/>
    </row>
    <row r="38741" spans="30:30" x14ac:dyDescent="0.25">
      <c r="AD38741"/>
    </row>
    <row r="38742" spans="30:30" x14ac:dyDescent="0.25">
      <c r="AD38742"/>
    </row>
    <row r="38743" spans="30:30" x14ac:dyDescent="0.25">
      <c r="AD38743"/>
    </row>
    <row r="38744" spans="30:30" x14ac:dyDescent="0.25">
      <c r="AD38744"/>
    </row>
    <row r="38745" spans="30:30" x14ac:dyDescent="0.25">
      <c r="AD38745"/>
    </row>
    <row r="38746" spans="30:30" x14ac:dyDescent="0.25">
      <c r="AD38746"/>
    </row>
    <row r="38747" spans="30:30" x14ac:dyDescent="0.25">
      <c r="AD38747"/>
    </row>
    <row r="38748" spans="30:30" x14ac:dyDescent="0.25">
      <c r="AD38748"/>
    </row>
    <row r="38749" spans="30:30" x14ac:dyDescent="0.25">
      <c r="AD38749"/>
    </row>
    <row r="38750" spans="30:30" x14ac:dyDescent="0.25">
      <c r="AD38750"/>
    </row>
    <row r="38751" spans="30:30" x14ac:dyDescent="0.25">
      <c r="AD38751"/>
    </row>
    <row r="38752" spans="30:30" x14ac:dyDescent="0.25">
      <c r="AD38752"/>
    </row>
    <row r="38753" spans="30:30" x14ac:dyDescent="0.25">
      <c r="AD38753"/>
    </row>
    <row r="38754" spans="30:30" x14ac:dyDescent="0.25">
      <c r="AD38754"/>
    </row>
    <row r="38755" spans="30:30" x14ac:dyDescent="0.25">
      <c r="AD38755"/>
    </row>
    <row r="38756" spans="30:30" x14ac:dyDescent="0.25">
      <c r="AD38756"/>
    </row>
    <row r="38757" spans="30:30" x14ac:dyDescent="0.25">
      <c r="AD38757"/>
    </row>
    <row r="38758" spans="30:30" x14ac:dyDescent="0.25">
      <c r="AD38758"/>
    </row>
    <row r="38759" spans="30:30" x14ac:dyDescent="0.25">
      <c r="AD38759"/>
    </row>
    <row r="38760" spans="30:30" x14ac:dyDescent="0.25">
      <c r="AD38760"/>
    </row>
    <row r="38761" spans="30:30" x14ac:dyDescent="0.25">
      <c r="AD38761"/>
    </row>
    <row r="38762" spans="30:30" x14ac:dyDescent="0.25">
      <c r="AD38762"/>
    </row>
    <row r="38763" spans="30:30" x14ac:dyDescent="0.25">
      <c r="AD38763"/>
    </row>
    <row r="38764" spans="30:30" x14ac:dyDescent="0.25">
      <c r="AD38764"/>
    </row>
    <row r="38765" spans="30:30" x14ac:dyDescent="0.25">
      <c r="AD38765"/>
    </row>
    <row r="38766" spans="30:30" x14ac:dyDescent="0.25">
      <c r="AD38766"/>
    </row>
    <row r="38767" spans="30:30" x14ac:dyDescent="0.25">
      <c r="AD38767"/>
    </row>
    <row r="38768" spans="30:30" x14ac:dyDescent="0.25">
      <c r="AD38768"/>
    </row>
    <row r="38769" spans="30:30" x14ac:dyDescent="0.25">
      <c r="AD38769"/>
    </row>
    <row r="38770" spans="30:30" x14ac:dyDescent="0.25">
      <c r="AD38770"/>
    </row>
    <row r="38771" spans="30:30" x14ac:dyDescent="0.25">
      <c r="AD38771"/>
    </row>
    <row r="38772" spans="30:30" x14ac:dyDescent="0.25">
      <c r="AD38772"/>
    </row>
    <row r="38773" spans="30:30" x14ac:dyDescent="0.25">
      <c r="AD38773"/>
    </row>
    <row r="38774" spans="30:30" x14ac:dyDescent="0.25">
      <c r="AD38774"/>
    </row>
    <row r="38775" spans="30:30" x14ac:dyDescent="0.25">
      <c r="AD38775"/>
    </row>
    <row r="38776" spans="30:30" x14ac:dyDescent="0.25">
      <c r="AD38776"/>
    </row>
    <row r="38777" spans="30:30" x14ac:dyDescent="0.25">
      <c r="AD38777"/>
    </row>
    <row r="38778" spans="30:30" x14ac:dyDescent="0.25">
      <c r="AD38778"/>
    </row>
    <row r="38779" spans="30:30" x14ac:dyDescent="0.25">
      <c r="AD38779"/>
    </row>
    <row r="38780" spans="30:30" x14ac:dyDescent="0.25">
      <c r="AD38780"/>
    </row>
    <row r="38781" spans="30:30" x14ac:dyDescent="0.25">
      <c r="AD38781"/>
    </row>
    <row r="38782" spans="30:30" x14ac:dyDescent="0.25">
      <c r="AD38782"/>
    </row>
    <row r="38783" spans="30:30" x14ac:dyDescent="0.25">
      <c r="AD38783"/>
    </row>
    <row r="38784" spans="30:30" x14ac:dyDescent="0.25">
      <c r="AD38784"/>
    </row>
    <row r="38785" spans="30:30" x14ac:dyDescent="0.25">
      <c r="AD38785"/>
    </row>
    <row r="38786" spans="30:30" x14ac:dyDescent="0.25">
      <c r="AD38786"/>
    </row>
    <row r="38787" spans="30:30" x14ac:dyDescent="0.25">
      <c r="AD38787"/>
    </row>
    <row r="38788" spans="30:30" x14ac:dyDescent="0.25">
      <c r="AD38788"/>
    </row>
    <row r="38789" spans="30:30" x14ac:dyDescent="0.25">
      <c r="AD38789"/>
    </row>
    <row r="38790" spans="30:30" x14ac:dyDescent="0.25">
      <c r="AD38790"/>
    </row>
    <row r="38791" spans="30:30" x14ac:dyDescent="0.25">
      <c r="AD38791"/>
    </row>
    <row r="38792" spans="30:30" x14ac:dyDescent="0.25">
      <c r="AD38792"/>
    </row>
    <row r="38793" spans="30:30" x14ac:dyDescent="0.25">
      <c r="AD38793"/>
    </row>
    <row r="38794" spans="30:30" x14ac:dyDescent="0.25">
      <c r="AD38794"/>
    </row>
    <row r="38795" spans="30:30" x14ac:dyDescent="0.25">
      <c r="AD38795"/>
    </row>
    <row r="38796" spans="30:30" x14ac:dyDescent="0.25">
      <c r="AD38796"/>
    </row>
    <row r="38797" spans="30:30" x14ac:dyDescent="0.25">
      <c r="AD38797"/>
    </row>
    <row r="38798" spans="30:30" x14ac:dyDescent="0.25">
      <c r="AD38798"/>
    </row>
    <row r="38799" spans="30:30" x14ac:dyDescent="0.25">
      <c r="AD38799"/>
    </row>
    <row r="38800" spans="30:30" x14ac:dyDescent="0.25">
      <c r="AD38800"/>
    </row>
    <row r="38801" spans="30:30" x14ac:dyDescent="0.25">
      <c r="AD38801"/>
    </row>
    <row r="38802" spans="30:30" x14ac:dyDescent="0.25">
      <c r="AD38802"/>
    </row>
    <row r="38803" spans="30:30" x14ac:dyDescent="0.25">
      <c r="AD38803"/>
    </row>
    <row r="38804" spans="30:30" x14ac:dyDescent="0.25">
      <c r="AD38804"/>
    </row>
    <row r="38805" spans="30:30" x14ac:dyDescent="0.25">
      <c r="AD38805"/>
    </row>
    <row r="38806" spans="30:30" x14ac:dyDescent="0.25">
      <c r="AD38806"/>
    </row>
    <row r="38807" spans="30:30" x14ac:dyDescent="0.25">
      <c r="AD38807"/>
    </row>
    <row r="38808" spans="30:30" x14ac:dyDescent="0.25">
      <c r="AD38808"/>
    </row>
    <row r="38809" spans="30:30" x14ac:dyDescent="0.25">
      <c r="AD38809"/>
    </row>
    <row r="38810" spans="30:30" x14ac:dyDescent="0.25">
      <c r="AD38810"/>
    </row>
    <row r="38811" spans="30:30" x14ac:dyDescent="0.25">
      <c r="AD38811"/>
    </row>
    <row r="38812" spans="30:30" x14ac:dyDescent="0.25">
      <c r="AD38812"/>
    </row>
    <row r="38813" spans="30:30" x14ac:dyDescent="0.25">
      <c r="AD38813"/>
    </row>
    <row r="38814" spans="30:30" x14ac:dyDescent="0.25">
      <c r="AD38814"/>
    </row>
    <row r="38815" spans="30:30" x14ac:dyDescent="0.25">
      <c r="AD38815"/>
    </row>
    <row r="38816" spans="30:30" x14ac:dyDescent="0.25">
      <c r="AD38816"/>
    </row>
    <row r="38817" spans="30:30" x14ac:dyDescent="0.25">
      <c r="AD38817"/>
    </row>
    <row r="38818" spans="30:30" x14ac:dyDescent="0.25">
      <c r="AD38818"/>
    </row>
    <row r="38819" spans="30:30" x14ac:dyDescent="0.25">
      <c r="AD38819"/>
    </row>
    <row r="38820" spans="30:30" x14ac:dyDescent="0.25">
      <c r="AD38820"/>
    </row>
    <row r="38821" spans="30:30" x14ac:dyDescent="0.25">
      <c r="AD38821"/>
    </row>
    <row r="38822" spans="30:30" x14ac:dyDescent="0.25">
      <c r="AD38822"/>
    </row>
    <row r="38823" spans="30:30" x14ac:dyDescent="0.25">
      <c r="AD38823"/>
    </row>
    <row r="38824" spans="30:30" x14ac:dyDescent="0.25">
      <c r="AD38824"/>
    </row>
    <row r="38825" spans="30:30" x14ac:dyDescent="0.25">
      <c r="AD38825"/>
    </row>
    <row r="38826" spans="30:30" x14ac:dyDescent="0.25">
      <c r="AD38826"/>
    </row>
    <row r="38827" spans="30:30" x14ac:dyDescent="0.25">
      <c r="AD38827"/>
    </row>
    <row r="38828" spans="30:30" x14ac:dyDescent="0.25">
      <c r="AD38828"/>
    </row>
    <row r="38829" spans="30:30" x14ac:dyDescent="0.25">
      <c r="AD38829"/>
    </row>
    <row r="38830" spans="30:30" x14ac:dyDescent="0.25">
      <c r="AD38830"/>
    </row>
    <row r="38831" spans="30:30" x14ac:dyDescent="0.25">
      <c r="AD38831"/>
    </row>
    <row r="38832" spans="30:30" x14ac:dyDescent="0.25">
      <c r="AD38832"/>
    </row>
    <row r="38833" spans="30:30" x14ac:dyDescent="0.25">
      <c r="AD38833"/>
    </row>
    <row r="38834" spans="30:30" x14ac:dyDescent="0.25">
      <c r="AD38834"/>
    </row>
    <row r="38835" spans="30:30" x14ac:dyDescent="0.25">
      <c r="AD38835"/>
    </row>
    <row r="38836" spans="30:30" x14ac:dyDescent="0.25">
      <c r="AD38836"/>
    </row>
    <row r="38837" spans="30:30" x14ac:dyDescent="0.25">
      <c r="AD38837"/>
    </row>
    <row r="38838" spans="30:30" x14ac:dyDescent="0.25">
      <c r="AD38838"/>
    </row>
    <row r="38839" spans="30:30" x14ac:dyDescent="0.25">
      <c r="AD38839"/>
    </row>
    <row r="38840" spans="30:30" x14ac:dyDescent="0.25">
      <c r="AD38840"/>
    </row>
    <row r="38841" spans="30:30" x14ac:dyDescent="0.25">
      <c r="AD38841"/>
    </row>
    <row r="38842" spans="30:30" x14ac:dyDescent="0.25">
      <c r="AD38842"/>
    </row>
    <row r="38843" spans="30:30" x14ac:dyDescent="0.25">
      <c r="AD38843"/>
    </row>
    <row r="38844" spans="30:30" x14ac:dyDescent="0.25">
      <c r="AD38844"/>
    </row>
    <row r="38845" spans="30:30" x14ac:dyDescent="0.25">
      <c r="AD38845"/>
    </row>
    <row r="38846" spans="30:30" x14ac:dyDescent="0.25">
      <c r="AD38846"/>
    </row>
    <row r="38847" spans="30:30" x14ac:dyDescent="0.25">
      <c r="AD38847"/>
    </row>
    <row r="38848" spans="30:30" x14ac:dyDescent="0.25">
      <c r="AD38848"/>
    </row>
    <row r="38849" spans="30:30" x14ac:dyDescent="0.25">
      <c r="AD38849"/>
    </row>
    <row r="38850" spans="30:30" x14ac:dyDescent="0.25">
      <c r="AD38850"/>
    </row>
    <row r="38851" spans="30:30" x14ac:dyDescent="0.25">
      <c r="AD38851"/>
    </row>
    <row r="38852" spans="30:30" x14ac:dyDescent="0.25">
      <c r="AD38852"/>
    </row>
    <row r="38853" spans="30:30" x14ac:dyDescent="0.25">
      <c r="AD38853"/>
    </row>
    <row r="38854" spans="30:30" x14ac:dyDescent="0.25">
      <c r="AD38854"/>
    </row>
    <row r="38855" spans="30:30" x14ac:dyDescent="0.25">
      <c r="AD38855"/>
    </row>
    <row r="38856" spans="30:30" x14ac:dyDescent="0.25">
      <c r="AD38856"/>
    </row>
    <row r="38857" spans="30:30" x14ac:dyDescent="0.25">
      <c r="AD38857"/>
    </row>
    <row r="38858" spans="30:30" x14ac:dyDescent="0.25">
      <c r="AD38858"/>
    </row>
    <row r="38859" spans="30:30" x14ac:dyDescent="0.25">
      <c r="AD38859"/>
    </row>
    <row r="38860" spans="30:30" x14ac:dyDescent="0.25">
      <c r="AD38860"/>
    </row>
    <row r="38861" spans="30:30" x14ac:dyDescent="0.25">
      <c r="AD38861"/>
    </row>
    <row r="38862" spans="30:30" x14ac:dyDescent="0.25">
      <c r="AD38862"/>
    </row>
    <row r="38863" spans="30:30" x14ac:dyDescent="0.25">
      <c r="AD38863"/>
    </row>
    <row r="38864" spans="30:30" x14ac:dyDescent="0.25">
      <c r="AD38864"/>
    </row>
    <row r="38865" spans="30:30" x14ac:dyDescent="0.25">
      <c r="AD38865"/>
    </row>
    <row r="38866" spans="30:30" x14ac:dyDescent="0.25">
      <c r="AD38866"/>
    </row>
    <row r="38867" spans="30:30" x14ac:dyDescent="0.25">
      <c r="AD38867"/>
    </row>
    <row r="38868" spans="30:30" x14ac:dyDescent="0.25">
      <c r="AD38868"/>
    </row>
    <row r="38869" spans="30:30" x14ac:dyDescent="0.25">
      <c r="AD38869"/>
    </row>
    <row r="38870" spans="30:30" x14ac:dyDescent="0.25">
      <c r="AD38870"/>
    </row>
    <row r="38871" spans="30:30" x14ac:dyDescent="0.25">
      <c r="AD38871"/>
    </row>
    <row r="38872" spans="30:30" x14ac:dyDescent="0.25">
      <c r="AD38872"/>
    </row>
    <row r="38873" spans="30:30" x14ac:dyDescent="0.25">
      <c r="AD38873"/>
    </row>
    <row r="38874" spans="30:30" x14ac:dyDescent="0.25">
      <c r="AD38874"/>
    </row>
    <row r="38875" spans="30:30" x14ac:dyDescent="0.25">
      <c r="AD38875"/>
    </row>
    <row r="38876" spans="30:30" x14ac:dyDescent="0.25">
      <c r="AD38876"/>
    </row>
    <row r="38877" spans="30:30" x14ac:dyDescent="0.25">
      <c r="AD38877"/>
    </row>
    <row r="38878" spans="30:30" x14ac:dyDescent="0.25">
      <c r="AD38878"/>
    </row>
    <row r="38879" spans="30:30" x14ac:dyDescent="0.25">
      <c r="AD38879"/>
    </row>
    <row r="38880" spans="30:30" x14ac:dyDescent="0.25">
      <c r="AD38880"/>
    </row>
    <row r="38881" spans="30:30" x14ac:dyDescent="0.25">
      <c r="AD38881"/>
    </row>
    <row r="38882" spans="30:30" x14ac:dyDescent="0.25">
      <c r="AD38882"/>
    </row>
    <row r="38883" spans="30:30" x14ac:dyDescent="0.25">
      <c r="AD38883"/>
    </row>
    <row r="38884" spans="30:30" x14ac:dyDescent="0.25">
      <c r="AD38884"/>
    </row>
    <row r="38885" spans="30:30" x14ac:dyDescent="0.25">
      <c r="AD38885"/>
    </row>
    <row r="38886" spans="30:30" x14ac:dyDescent="0.25">
      <c r="AD38886"/>
    </row>
    <row r="38887" spans="30:30" x14ac:dyDescent="0.25">
      <c r="AD38887"/>
    </row>
    <row r="38888" spans="30:30" x14ac:dyDescent="0.25">
      <c r="AD38888"/>
    </row>
    <row r="38889" spans="30:30" x14ac:dyDescent="0.25">
      <c r="AD38889"/>
    </row>
    <row r="38890" spans="30:30" x14ac:dyDescent="0.25">
      <c r="AD38890"/>
    </row>
    <row r="38891" spans="30:30" x14ac:dyDescent="0.25">
      <c r="AD38891"/>
    </row>
    <row r="38892" spans="30:30" x14ac:dyDescent="0.25">
      <c r="AD38892"/>
    </row>
    <row r="38893" spans="30:30" x14ac:dyDescent="0.25">
      <c r="AD38893"/>
    </row>
    <row r="38894" spans="30:30" x14ac:dyDescent="0.25">
      <c r="AD38894"/>
    </row>
    <row r="38895" spans="30:30" x14ac:dyDescent="0.25">
      <c r="AD38895"/>
    </row>
    <row r="38896" spans="30:30" x14ac:dyDescent="0.25">
      <c r="AD38896"/>
    </row>
    <row r="38897" spans="30:30" x14ac:dyDescent="0.25">
      <c r="AD38897"/>
    </row>
    <row r="38898" spans="30:30" x14ac:dyDescent="0.25">
      <c r="AD38898"/>
    </row>
    <row r="38899" spans="30:30" x14ac:dyDescent="0.25">
      <c r="AD38899"/>
    </row>
    <row r="38900" spans="30:30" x14ac:dyDescent="0.25">
      <c r="AD38900"/>
    </row>
    <row r="38901" spans="30:30" x14ac:dyDescent="0.25">
      <c r="AD38901"/>
    </row>
    <row r="38902" spans="30:30" x14ac:dyDescent="0.25">
      <c r="AD38902"/>
    </row>
    <row r="38903" spans="30:30" x14ac:dyDescent="0.25">
      <c r="AD38903"/>
    </row>
    <row r="38904" spans="30:30" x14ac:dyDescent="0.25">
      <c r="AD38904"/>
    </row>
    <row r="38905" spans="30:30" x14ac:dyDescent="0.25">
      <c r="AD38905"/>
    </row>
    <row r="38906" spans="30:30" x14ac:dyDescent="0.25">
      <c r="AD38906"/>
    </row>
    <row r="38907" spans="30:30" x14ac:dyDescent="0.25">
      <c r="AD38907"/>
    </row>
    <row r="38908" spans="30:30" x14ac:dyDescent="0.25">
      <c r="AD38908"/>
    </row>
    <row r="38909" spans="30:30" x14ac:dyDescent="0.25">
      <c r="AD38909"/>
    </row>
    <row r="38910" spans="30:30" x14ac:dyDescent="0.25">
      <c r="AD38910"/>
    </row>
    <row r="38911" spans="30:30" x14ac:dyDescent="0.25">
      <c r="AD38911"/>
    </row>
    <row r="38912" spans="30:30" x14ac:dyDescent="0.25">
      <c r="AD38912"/>
    </row>
    <row r="38913" spans="30:30" x14ac:dyDescent="0.25">
      <c r="AD38913"/>
    </row>
    <row r="38914" spans="30:30" x14ac:dyDescent="0.25">
      <c r="AD38914"/>
    </row>
    <row r="38915" spans="30:30" x14ac:dyDescent="0.25">
      <c r="AD38915"/>
    </row>
    <row r="38916" spans="30:30" x14ac:dyDescent="0.25">
      <c r="AD38916"/>
    </row>
    <row r="38917" spans="30:30" x14ac:dyDescent="0.25">
      <c r="AD38917"/>
    </row>
    <row r="38918" spans="30:30" x14ac:dyDescent="0.25">
      <c r="AD38918"/>
    </row>
    <row r="38919" spans="30:30" x14ac:dyDescent="0.25">
      <c r="AD38919"/>
    </row>
    <row r="38920" spans="30:30" x14ac:dyDescent="0.25">
      <c r="AD38920"/>
    </row>
    <row r="38921" spans="30:30" x14ac:dyDescent="0.25">
      <c r="AD38921"/>
    </row>
    <row r="38922" spans="30:30" x14ac:dyDescent="0.25">
      <c r="AD38922"/>
    </row>
    <row r="38923" spans="30:30" x14ac:dyDescent="0.25">
      <c r="AD38923"/>
    </row>
    <row r="38924" spans="30:30" x14ac:dyDescent="0.25">
      <c r="AD38924"/>
    </row>
    <row r="38925" spans="30:30" x14ac:dyDescent="0.25">
      <c r="AD38925"/>
    </row>
    <row r="38926" spans="30:30" x14ac:dyDescent="0.25">
      <c r="AD38926"/>
    </row>
    <row r="38927" spans="30:30" x14ac:dyDescent="0.25">
      <c r="AD38927"/>
    </row>
    <row r="38928" spans="30:30" x14ac:dyDescent="0.25">
      <c r="AD38928"/>
    </row>
    <row r="38929" spans="30:30" x14ac:dyDescent="0.25">
      <c r="AD38929"/>
    </row>
    <row r="38930" spans="30:30" x14ac:dyDescent="0.25">
      <c r="AD38930"/>
    </row>
    <row r="38931" spans="30:30" x14ac:dyDescent="0.25">
      <c r="AD38931"/>
    </row>
    <row r="38932" spans="30:30" x14ac:dyDescent="0.25">
      <c r="AD38932"/>
    </row>
    <row r="38933" spans="30:30" x14ac:dyDescent="0.25">
      <c r="AD38933"/>
    </row>
    <row r="38934" spans="30:30" x14ac:dyDescent="0.25">
      <c r="AD38934"/>
    </row>
    <row r="38935" spans="30:30" x14ac:dyDescent="0.25">
      <c r="AD38935"/>
    </row>
    <row r="38936" spans="30:30" x14ac:dyDescent="0.25">
      <c r="AD38936"/>
    </row>
    <row r="38937" spans="30:30" x14ac:dyDescent="0.25">
      <c r="AD38937"/>
    </row>
    <row r="38938" spans="30:30" x14ac:dyDescent="0.25">
      <c r="AD38938"/>
    </row>
    <row r="38939" spans="30:30" x14ac:dyDescent="0.25">
      <c r="AD38939"/>
    </row>
    <row r="38940" spans="30:30" x14ac:dyDescent="0.25">
      <c r="AD38940"/>
    </row>
    <row r="38941" spans="30:30" x14ac:dyDescent="0.25">
      <c r="AD38941"/>
    </row>
    <row r="38942" spans="30:30" x14ac:dyDescent="0.25">
      <c r="AD38942"/>
    </row>
    <row r="38943" spans="30:30" x14ac:dyDescent="0.25">
      <c r="AD38943"/>
    </row>
    <row r="38944" spans="30:30" x14ac:dyDescent="0.25">
      <c r="AD38944"/>
    </row>
    <row r="38945" spans="30:30" x14ac:dyDescent="0.25">
      <c r="AD38945"/>
    </row>
    <row r="38946" spans="30:30" x14ac:dyDescent="0.25">
      <c r="AD38946"/>
    </row>
    <row r="38947" spans="30:30" x14ac:dyDescent="0.25">
      <c r="AD38947"/>
    </row>
    <row r="38948" spans="30:30" x14ac:dyDescent="0.25">
      <c r="AD38948"/>
    </row>
    <row r="38949" spans="30:30" x14ac:dyDescent="0.25">
      <c r="AD38949"/>
    </row>
    <row r="38950" spans="30:30" x14ac:dyDescent="0.25">
      <c r="AD38950"/>
    </row>
    <row r="38951" spans="30:30" x14ac:dyDescent="0.25">
      <c r="AD38951"/>
    </row>
    <row r="38952" spans="30:30" x14ac:dyDescent="0.25">
      <c r="AD38952"/>
    </row>
    <row r="38953" spans="30:30" x14ac:dyDescent="0.25">
      <c r="AD38953"/>
    </row>
    <row r="38954" spans="30:30" x14ac:dyDescent="0.25">
      <c r="AD38954"/>
    </row>
    <row r="38955" spans="30:30" x14ac:dyDescent="0.25">
      <c r="AD38955"/>
    </row>
    <row r="38956" spans="30:30" x14ac:dyDescent="0.25">
      <c r="AD38956"/>
    </row>
    <row r="38957" spans="30:30" x14ac:dyDescent="0.25">
      <c r="AD38957"/>
    </row>
    <row r="38958" spans="30:30" x14ac:dyDescent="0.25">
      <c r="AD38958"/>
    </row>
    <row r="38959" spans="30:30" x14ac:dyDescent="0.25">
      <c r="AD38959"/>
    </row>
    <row r="38960" spans="30:30" x14ac:dyDescent="0.25">
      <c r="AD38960"/>
    </row>
    <row r="38961" spans="30:30" x14ac:dyDescent="0.25">
      <c r="AD38961"/>
    </row>
    <row r="38962" spans="30:30" x14ac:dyDescent="0.25">
      <c r="AD38962"/>
    </row>
    <row r="38963" spans="30:30" x14ac:dyDescent="0.25">
      <c r="AD38963"/>
    </row>
    <row r="38964" spans="30:30" x14ac:dyDescent="0.25">
      <c r="AD38964"/>
    </row>
    <row r="38965" spans="30:30" x14ac:dyDescent="0.25">
      <c r="AD38965"/>
    </row>
    <row r="38966" spans="30:30" x14ac:dyDescent="0.25">
      <c r="AD38966"/>
    </row>
    <row r="38967" spans="30:30" x14ac:dyDescent="0.25">
      <c r="AD38967"/>
    </row>
    <row r="38968" spans="30:30" x14ac:dyDescent="0.25">
      <c r="AD38968"/>
    </row>
    <row r="38969" spans="30:30" x14ac:dyDescent="0.25">
      <c r="AD38969"/>
    </row>
    <row r="38970" spans="30:30" x14ac:dyDescent="0.25">
      <c r="AD38970"/>
    </row>
    <row r="38971" spans="30:30" x14ac:dyDescent="0.25">
      <c r="AD38971"/>
    </row>
    <row r="38972" spans="30:30" x14ac:dyDescent="0.25">
      <c r="AD38972"/>
    </row>
    <row r="38973" spans="30:30" x14ac:dyDescent="0.25">
      <c r="AD38973"/>
    </row>
    <row r="38974" spans="30:30" x14ac:dyDescent="0.25">
      <c r="AD38974"/>
    </row>
    <row r="38975" spans="30:30" x14ac:dyDescent="0.25">
      <c r="AD38975"/>
    </row>
    <row r="38976" spans="30:30" x14ac:dyDescent="0.25">
      <c r="AD38976"/>
    </row>
    <row r="38977" spans="30:30" x14ac:dyDescent="0.25">
      <c r="AD38977"/>
    </row>
    <row r="38978" spans="30:30" x14ac:dyDescent="0.25">
      <c r="AD38978"/>
    </row>
    <row r="38979" spans="30:30" x14ac:dyDescent="0.25">
      <c r="AD38979"/>
    </row>
    <row r="38980" spans="30:30" x14ac:dyDescent="0.25">
      <c r="AD38980"/>
    </row>
    <row r="38981" spans="30:30" x14ac:dyDescent="0.25">
      <c r="AD38981"/>
    </row>
    <row r="38982" spans="30:30" x14ac:dyDescent="0.25">
      <c r="AD38982"/>
    </row>
    <row r="38983" spans="30:30" x14ac:dyDescent="0.25">
      <c r="AD38983"/>
    </row>
    <row r="38984" spans="30:30" x14ac:dyDescent="0.25">
      <c r="AD38984"/>
    </row>
    <row r="38985" spans="30:30" x14ac:dyDescent="0.25">
      <c r="AD38985"/>
    </row>
    <row r="38986" spans="30:30" x14ac:dyDescent="0.25">
      <c r="AD38986"/>
    </row>
    <row r="38987" spans="30:30" x14ac:dyDescent="0.25">
      <c r="AD38987"/>
    </row>
    <row r="38988" spans="30:30" x14ac:dyDescent="0.25">
      <c r="AD38988"/>
    </row>
    <row r="38989" spans="30:30" x14ac:dyDescent="0.25">
      <c r="AD38989"/>
    </row>
    <row r="38990" spans="30:30" x14ac:dyDescent="0.25">
      <c r="AD38990"/>
    </row>
    <row r="38991" spans="30:30" x14ac:dyDescent="0.25">
      <c r="AD38991"/>
    </row>
    <row r="38992" spans="30:30" x14ac:dyDescent="0.25">
      <c r="AD38992"/>
    </row>
    <row r="38993" spans="30:30" x14ac:dyDescent="0.25">
      <c r="AD38993"/>
    </row>
    <row r="38994" spans="30:30" x14ac:dyDescent="0.25">
      <c r="AD38994"/>
    </row>
    <row r="38995" spans="30:30" x14ac:dyDescent="0.25">
      <c r="AD38995"/>
    </row>
    <row r="38996" spans="30:30" x14ac:dyDescent="0.25">
      <c r="AD38996"/>
    </row>
    <row r="38997" spans="30:30" x14ac:dyDescent="0.25">
      <c r="AD38997"/>
    </row>
    <row r="38998" spans="30:30" x14ac:dyDescent="0.25">
      <c r="AD38998"/>
    </row>
    <row r="38999" spans="30:30" x14ac:dyDescent="0.25">
      <c r="AD38999"/>
    </row>
    <row r="39000" spans="30:30" x14ac:dyDescent="0.25">
      <c r="AD39000"/>
    </row>
    <row r="39001" spans="30:30" x14ac:dyDescent="0.25">
      <c r="AD39001"/>
    </row>
    <row r="39002" spans="30:30" x14ac:dyDescent="0.25">
      <c r="AD39002"/>
    </row>
    <row r="39003" spans="30:30" x14ac:dyDescent="0.25">
      <c r="AD39003"/>
    </row>
    <row r="39004" spans="30:30" x14ac:dyDescent="0.25">
      <c r="AD39004"/>
    </row>
    <row r="39005" spans="30:30" x14ac:dyDescent="0.25">
      <c r="AD39005"/>
    </row>
    <row r="39006" spans="30:30" x14ac:dyDescent="0.25">
      <c r="AD39006"/>
    </row>
    <row r="39007" spans="30:30" x14ac:dyDescent="0.25">
      <c r="AD39007"/>
    </row>
    <row r="39008" spans="30:30" x14ac:dyDescent="0.25">
      <c r="AD39008"/>
    </row>
    <row r="39009" spans="30:30" x14ac:dyDescent="0.25">
      <c r="AD39009"/>
    </row>
    <row r="39010" spans="30:30" x14ac:dyDescent="0.25">
      <c r="AD39010"/>
    </row>
    <row r="39011" spans="30:30" x14ac:dyDescent="0.25">
      <c r="AD39011"/>
    </row>
    <row r="39012" spans="30:30" x14ac:dyDescent="0.25">
      <c r="AD39012"/>
    </row>
    <row r="39013" spans="30:30" x14ac:dyDescent="0.25">
      <c r="AD39013"/>
    </row>
    <row r="39014" spans="30:30" x14ac:dyDescent="0.25">
      <c r="AD39014"/>
    </row>
    <row r="39015" spans="30:30" x14ac:dyDescent="0.25">
      <c r="AD39015"/>
    </row>
    <row r="39016" spans="30:30" x14ac:dyDescent="0.25">
      <c r="AD39016"/>
    </row>
    <row r="39017" spans="30:30" x14ac:dyDescent="0.25">
      <c r="AD39017"/>
    </row>
    <row r="39018" spans="30:30" x14ac:dyDescent="0.25">
      <c r="AD39018"/>
    </row>
    <row r="39019" spans="30:30" x14ac:dyDescent="0.25">
      <c r="AD39019"/>
    </row>
    <row r="39020" spans="30:30" x14ac:dyDescent="0.25">
      <c r="AD39020"/>
    </row>
    <row r="39021" spans="30:30" x14ac:dyDescent="0.25">
      <c r="AD39021"/>
    </row>
    <row r="39022" spans="30:30" x14ac:dyDescent="0.25">
      <c r="AD39022"/>
    </row>
    <row r="39023" spans="30:30" x14ac:dyDescent="0.25">
      <c r="AD39023"/>
    </row>
    <row r="39024" spans="30:30" x14ac:dyDescent="0.25">
      <c r="AD39024"/>
    </row>
    <row r="39025" spans="30:30" x14ac:dyDescent="0.25">
      <c r="AD39025"/>
    </row>
    <row r="39026" spans="30:30" x14ac:dyDescent="0.25">
      <c r="AD39026"/>
    </row>
    <row r="39027" spans="30:30" x14ac:dyDescent="0.25">
      <c r="AD39027"/>
    </row>
    <row r="39028" spans="30:30" x14ac:dyDescent="0.25">
      <c r="AD39028"/>
    </row>
    <row r="39029" spans="30:30" x14ac:dyDescent="0.25">
      <c r="AD39029"/>
    </row>
    <row r="39030" spans="30:30" x14ac:dyDescent="0.25">
      <c r="AD39030"/>
    </row>
    <row r="39031" spans="30:30" x14ac:dyDescent="0.25">
      <c r="AD39031"/>
    </row>
    <row r="39032" spans="30:30" x14ac:dyDescent="0.25">
      <c r="AD39032"/>
    </row>
    <row r="39033" spans="30:30" x14ac:dyDescent="0.25">
      <c r="AD39033"/>
    </row>
    <row r="39034" spans="30:30" x14ac:dyDescent="0.25">
      <c r="AD39034"/>
    </row>
    <row r="39035" spans="30:30" x14ac:dyDescent="0.25">
      <c r="AD39035"/>
    </row>
    <row r="39036" spans="30:30" x14ac:dyDescent="0.25">
      <c r="AD39036"/>
    </row>
    <row r="39037" spans="30:30" x14ac:dyDescent="0.25">
      <c r="AD39037"/>
    </row>
    <row r="39038" spans="30:30" x14ac:dyDescent="0.25">
      <c r="AD39038"/>
    </row>
    <row r="39039" spans="30:30" x14ac:dyDescent="0.25">
      <c r="AD39039"/>
    </row>
    <row r="39040" spans="30:30" x14ac:dyDescent="0.25">
      <c r="AD39040"/>
    </row>
    <row r="39041" spans="30:30" x14ac:dyDescent="0.25">
      <c r="AD39041"/>
    </row>
    <row r="39042" spans="30:30" x14ac:dyDescent="0.25">
      <c r="AD39042"/>
    </row>
    <row r="39043" spans="30:30" x14ac:dyDescent="0.25">
      <c r="AD39043"/>
    </row>
    <row r="39044" spans="30:30" x14ac:dyDescent="0.25">
      <c r="AD39044"/>
    </row>
    <row r="39045" spans="30:30" x14ac:dyDescent="0.25">
      <c r="AD39045"/>
    </row>
    <row r="39046" spans="30:30" x14ac:dyDescent="0.25">
      <c r="AD39046"/>
    </row>
    <row r="39047" spans="30:30" x14ac:dyDescent="0.25">
      <c r="AD39047"/>
    </row>
    <row r="39048" spans="30:30" x14ac:dyDescent="0.25">
      <c r="AD39048"/>
    </row>
    <row r="39049" spans="30:30" x14ac:dyDescent="0.25">
      <c r="AD39049"/>
    </row>
    <row r="39050" spans="30:30" x14ac:dyDescent="0.25">
      <c r="AD39050"/>
    </row>
    <row r="39051" spans="30:30" x14ac:dyDescent="0.25">
      <c r="AD39051"/>
    </row>
    <row r="39052" spans="30:30" x14ac:dyDescent="0.25">
      <c r="AD39052"/>
    </row>
    <row r="39053" spans="30:30" x14ac:dyDescent="0.25">
      <c r="AD39053"/>
    </row>
    <row r="39054" spans="30:30" x14ac:dyDescent="0.25">
      <c r="AD39054"/>
    </row>
    <row r="39055" spans="30:30" x14ac:dyDescent="0.25">
      <c r="AD39055"/>
    </row>
    <row r="39056" spans="30:30" x14ac:dyDescent="0.25">
      <c r="AD39056"/>
    </row>
    <row r="39057" spans="30:30" x14ac:dyDescent="0.25">
      <c r="AD39057"/>
    </row>
    <row r="39058" spans="30:30" x14ac:dyDescent="0.25">
      <c r="AD39058"/>
    </row>
    <row r="39059" spans="30:30" x14ac:dyDescent="0.25">
      <c r="AD39059"/>
    </row>
    <row r="39060" spans="30:30" x14ac:dyDescent="0.25">
      <c r="AD39060"/>
    </row>
    <row r="39061" spans="30:30" x14ac:dyDescent="0.25">
      <c r="AD39061"/>
    </row>
    <row r="39062" spans="30:30" x14ac:dyDescent="0.25">
      <c r="AD39062"/>
    </row>
    <row r="39063" spans="30:30" x14ac:dyDescent="0.25">
      <c r="AD39063"/>
    </row>
    <row r="39064" spans="30:30" x14ac:dyDescent="0.25">
      <c r="AD39064"/>
    </row>
    <row r="39065" spans="30:30" x14ac:dyDescent="0.25">
      <c r="AD39065"/>
    </row>
    <row r="39066" spans="30:30" x14ac:dyDescent="0.25">
      <c r="AD39066"/>
    </row>
    <row r="39067" spans="30:30" x14ac:dyDescent="0.25">
      <c r="AD39067"/>
    </row>
    <row r="39068" spans="30:30" x14ac:dyDescent="0.25">
      <c r="AD39068"/>
    </row>
    <row r="39069" spans="30:30" x14ac:dyDescent="0.25">
      <c r="AD39069"/>
    </row>
    <row r="39070" spans="30:30" x14ac:dyDescent="0.25">
      <c r="AD39070"/>
    </row>
    <row r="39071" spans="30:30" x14ac:dyDescent="0.25">
      <c r="AD39071"/>
    </row>
    <row r="39072" spans="30:30" x14ac:dyDescent="0.25">
      <c r="AD39072"/>
    </row>
    <row r="39073" spans="30:30" x14ac:dyDescent="0.25">
      <c r="AD39073"/>
    </row>
    <row r="39074" spans="30:30" x14ac:dyDescent="0.25">
      <c r="AD39074"/>
    </row>
    <row r="39075" spans="30:30" x14ac:dyDescent="0.25">
      <c r="AD39075"/>
    </row>
    <row r="39076" spans="30:30" x14ac:dyDescent="0.25">
      <c r="AD39076"/>
    </row>
    <row r="39077" spans="30:30" x14ac:dyDescent="0.25">
      <c r="AD39077"/>
    </row>
    <row r="39078" spans="30:30" x14ac:dyDescent="0.25">
      <c r="AD39078"/>
    </row>
    <row r="39079" spans="30:30" x14ac:dyDescent="0.25">
      <c r="AD39079"/>
    </row>
    <row r="39080" spans="30:30" x14ac:dyDescent="0.25">
      <c r="AD39080"/>
    </row>
    <row r="39081" spans="30:30" x14ac:dyDescent="0.25">
      <c r="AD39081"/>
    </row>
    <row r="39082" spans="30:30" x14ac:dyDescent="0.25">
      <c r="AD39082"/>
    </row>
    <row r="39083" spans="30:30" x14ac:dyDescent="0.25">
      <c r="AD39083"/>
    </row>
    <row r="39084" spans="30:30" x14ac:dyDescent="0.25">
      <c r="AD39084"/>
    </row>
    <row r="39085" spans="30:30" x14ac:dyDescent="0.25">
      <c r="AD39085"/>
    </row>
    <row r="39086" spans="30:30" x14ac:dyDescent="0.25">
      <c r="AD39086"/>
    </row>
    <row r="39087" spans="30:30" x14ac:dyDescent="0.25">
      <c r="AD39087"/>
    </row>
    <row r="39088" spans="30:30" x14ac:dyDescent="0.25">
      <c r="AD39088"/>
    </row>
    <row r="39089" spans="30:30" x14ac:dyDescent="0.25">
      <c r="AD39089"/>
    </row>
    <row r="39090" spans="30:30" x14ac:dyDescent="0.25">
      <c r="AD39090"/>
    </row>
    <row r="39091" spans="30:30" x14ac:dyDescent="0.25">
      <c r="AD39091"/>
    </row>
    <row r="39092" spans="30:30" x14ac:dyDescent="0.25">
      <c r="AD39092"/>
    </row>
    <row r="39093" spans="30:30" x14ac:dyDescent="0.25">
      <c r="AD39093"/>
    </row>
    <row r="39094" spans="30:30" x14ac:dyDescent="0.25">
      <c r="AD39094"/>
    </row>
    <row r="39095" spans="30:30" x14ac:dyDescent="0.25">
      <c r="AD39095"/>
    </row>
    <row r="39096" spans="30:30" x14ac:dyDescent="0.25">
      <c r="AD39096"/>
    </row>
    <row r="39097" spans="30:30" x14ac:dyDescent="0.25">
      <c r="AD39097"/>
    </row>
    <row r="39098" spans="30:30" x14ac:dyDescent="0.25">
      <c r="AD39098"/>
    </row>
    <row r="39099" spans="30:30" x14ac:dyDescent="0.25">
      <c r="AD39099"/>
    </row>
    <row r="39100" spans="30:30" x14ac:dyDescent="0.25">
      <c r="AD39100"/>
    </row>
    <row r="39101" spans="30:30" x14ac:dyDescent="0.25">
      <c r="AD39101"/>
    </row>
    <row r="39102" spans="30:30" x14ac:dyDescent="0.25">
      <c r="AD39102"/>
    </row>
    <row r="39103" spans="30:30" x14ac:dyDescent="0.25">
      <c r="AD39103"/>
    </row>
    <row r="39104" spans="30:30" x14ac:dyDescent="0.25">
      <c r="AD39104"/>
    </row>
    <row r="39105" spans="30:30" x14ac:dyDescent="0.25">
      <c r="AD39105"/>
    </row>
    <row r="39106" spans="30:30" x14ac:dyDescent="0.25">
      <c r="AD39106"/>
    </row>
    <row r="39107" spans="30:30" x14ac:dyDescent="0.25">
      <c r="AD39107"/>
    </row>
    <row r="39108" spans="30:30" x14ac:dyDescent="0.25">
      <c r="AD39108"/>
    </row>
    <row r="39109" spans="30:30" x14ac:dyDescent="0.25">
      <c r="AD39109"/>
    </row>
    <row r="39110" spans="30:30" x14ac:dyDescent="0.25">
      <c r="AD39110"/>
    </row>
    <row r="39111" spans="30:30" x14ac:dyDescent="0.25">
      <c r="AD39111"/>
    </row>
    <row r="39112" spans="30:30" x14ac:dyDescent="0.25">
      <c r="AD39112"/>
    </row>
    <row r="39113" spans="30:30" x14ac:dyDescent="0.25">
      <c r="AD39113"/>
    </row>
    <row r="39114" spans="30:30" x14ac:dyDescent="0.25">
      <c r="AD39114"/>
    </row>
    <row r="39115" spans="30:30" x14ac:dyDescent="0.25">
      <c r="AD39115"/>
    </row>
    <row r="39116" spans="30:30" x14ac:dyDescent="0.25">
      <c r="AD39116"/>
    </row>
    <row r="39117" spans="30:30" x14ac:dyDescent="0.25">
      <c r="AD39117"/>
    </row>
    <row r="39118" spans="30:30" x14ac:dyDescent="0.25">
      <c r="AD39118"/>
    </row>
    <row r="39119" spans="30:30" x14ac:dyDescent="0.25">
      <c r="AD39119"/>
    </row>
    <row r="39120" spans="30:30" x14ac:dyDescent="0.25">
      <c r="AD39120"/>
    </row>
    <row r="39121" spans="30:30" x14ac:dyDescent="0.25">
      <c r="AD39121"/>
    </row>
    <row r="39122" spans="30:30" x14ac:dyDescent="0.25">
      <c r="AD39122"/>
    </row>
    <row r="39123" spans="30:30" x14ac:dyDescent="0.25">
      <c r="AD39123"/>
    </row>
    <row r="39124" spans="30:30" x14ac:dyDescent="0.25">
      <c r="AD39124"/>
    </row>
    <row r="39125" spans="30:30" x14ac:dyDescent="0.25">
      <c r="AD39125"/>
    </row>
    <row r="39126" spans="30:30" x14ac:dyDescent="0.25">
      <c r="AD39126"/>
    </row>
    <row r="39127" spans="30:30" x14ac:dyDescent="0.25">
      <c r="AD39127"/>
    </row>
    <row r="39128" spans="30:30" x14ac:dyDescent="0.25">
      <c r="AD39128"/>
    </row>
    <row r="39129" spans="30:30" x14ac:dyDescent="0.25">
      <c r="AD39129"/>
    </row>
    <row r="39130" spans="30:30" x14ac:dyDescent="0.25">
      <c r="AD39130"/>
    </row>
    <row r="39131" spans="30:30" x14ac:dyDescent="0.25">
      <c r="AD39131"/>
    </row>
    <row r="39132" spans="30:30" x14ac:dyDescent="0.25">
      <c r="AD39132"/>
    </row>
    <row r="39133" spans="30:30" x14ac:dyDescent="0.25">
      <c r="AD39133"/>
    </row>
    <row r="39134" spans="30:30" x14ac:dyDescent="0.25">
      <c r="AD39134"/>
    </row>
    <row r="39135" spans="30:30" x14ac:dyDescent="0.25">
      <c r="AD39135"/>
    </row>
    <row r="39136" spans="30:30" x14ac:dyDescent="0.25">
      <c r="AD39136"/>
    </row>
    <row r="39137" spans="30:30" x14ac:dyDescent="0.25">
      <c r="AD39137"/>
    </row>
    <row r="39138" spans="30:30" x14ac:dyDescent="0.25">
      <c r="AD39138"/>
    </row>
    <row r="39139" spans="30:30" x14ac:dyDescent="0.25">
      <c r="AD39139"/>
    </row>
    <row r="39140" spans="30:30" x14ac:dyDescent="0.25">
      <c r="AD39140"/>
    </row>
    <row r="39141" spans="30:30" x14ac:dyDescent="0.25">
      <c r="AD39141"/>
    </row>
    <row r="39142" spans="30:30" x14ac:dyDescent="0.25">
      <c r="AD39142"/>
    </row>
    <row r="39143" spans="30:30" x14ac:dyDescent="0.25">
      <c r="AD39143"/>
    </row>
    <row r="39144" spans="30:30" x14ac:dyDescent="0.25">
      <c r="AD39144"/>
    </row>
    <row r="39145" spans="30:30" x14ac:dyDescent="0.25">
      <c r="AD39145"/>
    </row>
    <row r="39146" spans="30:30" x14ac:dyDescent="0.25">
      <c r="AD39146"/>
    </row>
    <row r="39147" spans="30:30" x14ac:dyDescent="0.25">
      <c r="AD39147"/>
    </row>
    <row r="39148" spans="30:30" x14ac:dyDescent="0.25">
      <c r="AD39148"/>
    </row>
    <row r="39149" spans="30:30" x14ac:dyDescent="0.25">
      <c r="AD39149"/>
    </row>
    <row r="39150" spans="30:30" x14ac:dyDescent="0.25">
      <c r="AD39150"/>
    </row>
    <row r="39151" spans="30:30" x14ac:dyDescent="0.25">
      <c r="AD39151"/>
    </row>
    <row r="39152" spans="30:30" x14ac:dyDescent="0.25">
      <c r="AD39152"/>
    </row>
    <row r="39153" spans="30:30" x14ac:dyDescent="0.25">
      <c r="AD39153"/>
    </row>
    <row r="39154" spans="30:30" x14ac:dyDescent="0.25">
      <c r="AD39154"/>
    </row>
    <row r="39155" spans="30:30" x14ac:dyDescent="0.25">
      <c r="AD39155"/>
    </row>
    <row r="39156" spans="30:30" x14ac:dyDescent="0.25">
      <c r="AD39156"/>
    </row>
    <row r="39157" spans="30:30" x14ac:dyDescent="0.25">
      <c r="AD39157"/>
    </row>
    <row r="39158" spans="30:30" x14ac:dyDescent="0.25">
      <c r="AD39158"/>
    </row>
    <row r="39159" spans="30:30" x14ac:dyDescent="0.25">
      <c r="AD39159"/>
    </row>
    <row r="39160" spans="30:30" x14ac:dyDescent="0.25">
      <c r="AD39160"/>
    </row>
    <row r="39161" spans="30:30" x14ac:dyDescent="0.25">
      <c r="AD39161"/>
    </row>
    <row r="39162" spans="30:30" x14ac:dyDescent="0.25">
      <c r="AD39162"/>
    </row>
    <row r="39163" spans="30:30" x14ac:dyDescent="0.25">
      <c r="AD39163"/>
    </row>
    <row r="39164" spans="30:30" x14ac:dyDescent="0.25">
      <c r="AD39164"/>
    </row>
    <row r="39165" spans="30:30" x14ac:dyDescent="0.25">
      <c r="AD39165"/>
    </row>
    <row r="39166" spans="30:30" x14ac:dyDescent="0.25">
      <c r="AD39166"/>
    </row>
    <row r="39167" spans="30:30" x14ac:dyDescent="0.25">
      <c r="AD39167"/>
    </row>
    <row r="39168" spans="30:30" x14ac:dyDescent="0.25">
      <c r="AD39168"/>
    </row>
    <row r="39169" spans="30:30" x14ac:dyDescent="0.25">
      <c r="AD39169"/>
    </row>
    <row r="39170" spans="30:30" x14ac:dyDescent="0.25">
      <c r="AD39170"/>
    </row>
    <row r="39171" spans="30:30" x14ac:dyDescent="0.25">
      <c r="AD39171"/>
    </row>
    <row r="39172" spans="30:30" x14ac:dyDescent="0.25">
      <c r="AD39172"/>
    </row>
    <row r="39173" spans="30:30" x14ac:dyDescent="0.25">
      <c r="AD39173"/>
    </row>
    <row r="39174" spans="30:30" x14ac:dyDescent="0.25">
      <c r="AD39174"/>
    </row>
    <row r="39175" spans="30:30" x14ac:dyDescent="0.25">
      <c r="AD39175"/>
    </row>
    <row r="39176" spans="30:30" x14ac:dyDescent="0.25">
      <c r="AD39176"/>
    </row>
    <row r="39177" spans="30:30" x14ac:dyDescent="0.25">
      <c r="AD39177"/>
    </row>
    <row r="39178" spans="30:30" x14ac:dyDescent="0.25">
      <c r="AD39178"/>
    </row>
    <row r="39179" spans="30:30" x14ac:dyDescent="0.25">
      <c r="AD39179"/>
    </row>
    <row r="39180" spans="30:30" x14ac:dyDescent="0.25">
      <c r="AD39180"/>
    </row>
    <row r="39181" spans="30:30" x14ac:dyDescent="0.25">
      <c r="AD39181"/>
    </row>
    <row r="39182" spans="30:30" x14ac:dyDescent="0.25">
      <c r="AD39182"/>
    </row>
    <row r="39183" spans="30:30" x14ac:dyDescent="0.25">
      <c r="AD39183"/>
    </row>
    <row r="39184" spans="30:30" x14ac:dyDescent="0.25">
      <c r="AD39184"/>
    </row>
    <row r="39185" spans="30:30" x14ac:dyDescent="0.25">
      <c r="AD39185"/>
    </row>
    <row r="39186" spans="30:30" x14ac:dyDescent="0.25">
      <c r="AD39186"/>
    </row>
    <row r="39187" spans="30:30" x14ac:dyDescent="0.25">
      <c r="AD39187"/>
    </row>
    <row r="39188" spans="30:30" x14ac:dyDescent="0.25">
      <c r="AD39188"/>
    </row>
    <row r="39189" spans="30:30" x14ac:dyDescent="0.25">
      <c r="AD39189"/>
    </row>
    <row r="39190" spans="30:30" x14ac:dyDescent="0.25">
      <c r="AD39190"/>
    </row>
    <row r="39191" spans="30:30" x14ac:dyDescent="0.25">
      <c r="AD39191"/>
    </row>
    <row r="39192" spans="30:30" x14ac:dyDescent="0.25">
      <c r="AD39192"/>
    </row>
    <row r="39193" spans="30:30" x14ac:dyDescent="0.25">
      <c r="AD39193"/>
    </row>
    <row r="39194" spans="30:30" x14ac:dyDescent="0.25">
      <c r="AD39194"/>
    </row>
    <row r="39195" spans="30:30" x14ac:dyDescent="0.25">
      <c r="AD39195"/>
    </row>
    <row r="39196" spans="30:30" x14ac:dyDescent="0.25">
      <c r="AD39196"/>
    </row>
    <row r="39197" spans="30:30" x14ac:dyDescent="0.25">
      <c r="AD39197"/>
    </row>
    <row r="39198" spans="30:30" x14ac:dyDescent="0.25">
      <c r="AD39198"/>
    </row>
    <row r="39199" spans="30:30" x14ac:dyDescent="0.25">
      <c r="AD39199"/>
    </row>
    <row r="39200" spans="30:30" x14ac:dyDescent="0.25">
      <c r="AD39200"/>
    </row>
    <row r="39201" spans="30:30" x14ac:dyDescent="0.25">
      <c r="AD39201"/>
    </row>
    <row r="39202" spans="30:30" x14ac:dyDescent="0.25">
      <c r="AD39202"/>
    </row>
    <row r="39203" spans="30:30" x14ac:dyDescent="0.25">
      <c r="AD39203"/>
    </row>
    <row r="39204" spans="30:30" x14ac:dyDescent="0.25">
      <c r="AD39204"/>
    </row>
    <row r="39205" spans="30:30" x14ac:dyDescent="0.25">
      <c r="AD39205"/>
    </row>
    <row r="39206" spans="30:30" x14ac:dyDescent="0.25">
      <c r="AD39206"/>
    </row>
    <row r="39207" spans="30:30" x14ac:dyDescent="0.25">
      <c r="AD39207"/>
    </row>
    <row r="39208" spans="30:30" x14ac:dyDescent="0.25">
      <c r="AD39208"/>
    </row>
    <row r="39209" spans="30:30" x14ac:dyDescent="0.25">
      <c r="AD39209"/>
    </row>
    <row r="39210" spans="30:30" x14ac:dyDescent="0.25">
      <c r="AD39210"/>
    </row>
    <row r="39211" spans="30:30" x14ac:dyDescent="0.25">
      <c r="AD39211"/>
    </row>
    <row r="39212" spans="30:30" x14ac:dyDescent="0.25">
      <c r="AD39212"/>
    </row>
    <row r="39213" spans="30:30" x14ac:dyDescent="0.25">
      <c r="AD39213"/>
    </row>
    <row r="39214" spans="30:30" x14ac:dyDescent="0.25">
      <c r="AD39214"/>
    </row>
    <row r="39215" spans="30:30" x14ac:dyDescent="0.25">
      <c r="AD39215"/>
    </row>
    <row r="39216" spans="30:30" x14ac:dyDescent="0.25">
      <c r="AD39216"/>
    </row>
    <row r="39217" spans="30:30" x14ac:dyDescent="0.25">
      <c r="AD39217"/>
    </row>
    <row r="39218" spans="30:30" x14ac:dyDescent="0.25">
      <c r="AD39218"/>
    </row>
    <row r="39219" spans="30:30" x14ac:dyDescent="0.25">
      <c r="AD39219"/>
    </row>
    <row r="39220" spans="30:30" x14ac:dyDescent="0.25">
      <c r="AD39220"/>
    </row>
    <row r="39221" spans="30:30" x14ac:dyDescent="0.25">
      <c r="AD39221"/>
    </row>
    <row r="39222" spans="30:30" x14ac:dyDescent="0.25">
      <c r="AD39222"/>
    </row>
    <row r="39223" spans="30:30" x14ac:dyDescent="0.25">
      <c r="AD39223"/>
    </row>
    <row r="39224" spans="30:30" x14ac:dyDescent="0.25">
      <c r="AD39224"/>
    </row>
    <row r="39225" spans="30:30" x14ac:dyDescent="0.25">
      <c r="AD39225"/>
    </row>
    <row r="39226" spans="30:30" x14ac:dyDescent="0.25">
      <c r="AD39226"/>
    </row>
    <row r="39227" spans="30:30" x14ac:dyDescent="0.25">
      <c r="AD39227"/>
    </row>
    <row r="39228" spans="30:30" x14ac:dyDescent="0.25">
      <c r="AD39228"/>
    </row>
    <row r="39229" spans="30:30" x14ac:dyDescent="0.25">
      <c r="AD39229"/>
    </row>
    <row r="39230" spans="30:30" x14ac:dyDescent="0.25">
      <c r="AD39230"/>
    </row>
    <row r="39231" spans="30:30" x14ac:dyDescent="0.25">
      <c r="AD39231"/>
    </row>
    <row r="39232" spans="30:30" x14ac:dyDescent="0.25">
      <c r="AD39232"/>
    </row>
    <row r="39233" spans="30:30" x14ac:dyDescent="0.25">
      <c r="AD39233"/>
    </row>
    <row r="39234" spans="30:30" x14ac:dyDescent="0.25">
      <c r="AD39234"/>
    </row>
    <row r="39235" spans="30:30" x14ac:dyDescent="0.25">
      <c r="AD39235"/>
    </row>
    <row r="39236" spans="30:30" x14ac:dyDescent="0.25">
      <c r="AD39236"/>
    </row>
    <row r="39237" spans="30:30" x14ac:dyDescent="0.25">
      <c r="AD39237"/>
    </row>
    <row r="39238" spans="30:30" x14ac:dyDescent="0.25">
      <c r="AD39238"/>
    </row>
    <row r="39239" spans="30:30" x14ac:dyDescent="0.25">
      <c r="AD39239"/>
    </row>
    <row r="39240" spans="30:30" x14ac:dyDescent="0.25">
      <c r="AD39240"/>
    </row>
    <row r="39241" spans="30:30" x14ac:dyDescent="0.25">
      <c r="AD39241"/>
    </row>
    <row r="39242" spans="30:30" x14ac:dyDescent="0.25">
      <c r="AD39242"/>
    </row>
    <row r="39243" spans="30:30" x14ac:dyDescent="0.25">
      <c r="AD39243"/>
    </row>
    <row r="39244" spans="30:30" x14ac:dyDescent="0.25">
      <c r="AD39244"/>
    </row>
    <row r="39245" spans="30:30" x14ac:dyDescent="0.25">
      <c r="AD39245"/>
    </row>
    <row r="39246" spans="30:30" x14ac:dyDescent="0.25">
      <c r="AD39246"/>
    </row>
    <row r="39247" spans="30:30" x14ac:dyDescent="0.25">
      <c r="AD39247"/>
    </row>
    <row r="39248" spans="30:30" x14ac:dyDescent="0.25">
      <c r="AD39248"/>
    </row>
    <row r="39249" spans="30:30" x14ac:dyDescent="0.25">
      <c r="AD39249"/>
    </row>
    <row r="39250" spans="30:30" x14ac:dyDescent="0.25">
      <c r="AD39250"/>
    </row>
    <row r="39251" spans="30:30" x14ac:dyDescent="0.25">
      <c r="AD39251"/>
    </row>
    <row r="39252" spans="30:30" x14ac:dyDescent="0.25">
      <c r="AD39252"/>
    </row>
    <row r="39253" spans="30:30" x14ac:dyDescent="0.25">
      <c r="AD39253"/>
    </row>
    <row r="39254" spans="30:30" x14ac:dyDescent="0.25">
      <c r="AD39254"/>
    </row>
    <row r="39255" spans="30:30" x14ac:dyDescent="0.25">
      <c r="AD39255"/>
    </row>
    <row r="39256" spans="30:30" x14ac:dyDescent="0.25">
      <c r="AD39256"/>
    </row>
    <row r="39257" spans="30:30" x14ac:dyDescent="0.25">
      <c r="AD39257"/>
    </row>
    <row r="39258" spans="30:30" x14ac:dyDescent="0.25">
      <c r="AD39258"/>
    </row>
    <row r="39259" spans="30:30" x14ac:dyDescent="0.25">
      <c r="AD39259"/>
    </row>
    <row r="39260" spans="30:30" x14ac:dyDescent="0.25">
      <c r="AD39260"/>
    </row>
    <row r="39261" spans="30:30" x14ac:dyDescent="0.25">
      <c r="AD39261"/>
    </row>
    <row r="39262" spans="30:30" x14ac:dyDescent="0.25">
      <c r="AD39262"/>
    </row>
    <row r="39263" spans="30:30" x14ac:dyDescent="0.25">
      <c r="AD39263"/>
    </row>
    <row r="39264" spans="30:30" x14ac:dyDescent="0.25">
      <c r="AD39264"/>
    </row>
    <row r="39265" spans="30:30" x14ac:dyDescent="0.25">
      <c r="AD39265"/>
    </row>
    <row r="39266" spans="30:30" x14ac:dyDescent="0.25">
      <c r="AD39266"/>
    </row>
    <row r="39267" spans="30:30" x14ac:dyDescent="0.25">
      <c r="AD39267"/>
    </row>
    <row r="39268" spans="30:30" x14ac:dyDescent="0.25">
      <c r="AD39268"/>
    </row>
    <row r="39269" spans="30:30" x14ac:dyDescent="0.25">
      <c r="AD39269"/>
    </row>
    <row r="39270" spans="30:30" x14ac:dyDescent="0.25">
      <c r="AD39270"/>
    </row>
    <row r="39271" spans="30:30" x14ac:dyDescent="0.25">
      <c r="AD39271"/>
    </row>
    <row r="39272" spans="30:30" x14ac:dyDescent="0.25">
      <c r="AD39272"/>
    </row>
    <row r="39273" spans="30:30" x14ac:dyDescent="0.25">
      <c r="AD39273"/>
    </row>
    <row r="39274" spans="30:30" x14ac:dyDescent="0.25">
      <c r="AD39274"/>
    </row>
    <row r="39275" spans="30:30" x14ac:dyDescent="0.25">
      <c r="AD39275"/>
    </row>
    <row r="39276" spans="30:30" x14ac:dyDescent="0.25">
      <c r="AD39276"/>
    </row>
    <row r="39277" spans="30:30" x14ac:dyDescent="0.25">
      <c r="AD39277"/>
    </row>
    <row r="39278" spans="30:30" x14ac:dyDescent="0.25">
      <c r="AD39278"/>
    </row>
    <row r="39279" spans="30:30" x14ac:dyDescent="0.25">
      <c r="AD39279"/>
    </row>
    <row r="39280" spans="30:30" x14ac:dyDescent="0.25">
      <c r="AD39280"/>
    </row>
    <row r="39281" spans="30:30" x14ac:dyDescent="0.25">
      <c r="AD39281"/>
    </row>
    <row r="39282" spans="30:30" x14ac:dyDescent="0.25">
      <c r="AD39282"/>
    </row>
    <row r="39283" spans="30:30" x14ac:dyDescent="0.25">
      <c r="AD39283"/>
    </row>
    <row r="39284" spans="30:30" x14ac:dyDescent="0.25">
      <c r="AD39284"/>
    </row>
    <row r="39285" spans="30:30" x14ac:dyDescent="0.25">
      <c r="AD39285"/>
    </row>
    <row r="39286" spans="30:30" x14ac:dyDescent="0.25">
      <c r="AD39286"/>
    </row>
    <row r="39287" spans="30:30" x14ac:dyDescent="0.25">
      <c r="AD39287"/>
    </row>
    <row r="39288" spans="30:30" x14ac:dyDescent="0.25">
      <c r="AD39288"/>
    </row>
    <row r="39289" spans="30:30" x14ac:dyDescent="0.25">
      <c r="AD39289"/>
    </row>
    <row r="39290" spans="30:30" x14ac:dyDescent="0.25">
      <c r="AD39290"/>
    </row>
    <row r="39291" spans="30:30" x14ac:dyDescent="0.25">
      <c r="AD39291"/>
    </row>
    <row r="39292" spans="30:30" x14ac:dyDescent="0.25">
      <c r="AD39292"/>
    </row>
    <row r="39293" spans="30:30" x14ac:dyDescent="0.25">
      <c r="AD39293"/>
    </row>
    <row r="39294" spans="30:30" x14ac:dyDescent="0.25">
      <c r="AD39294"/>
    </row>
    <row r="39295" spans="30:30" x14ac:dyDescent="0.25">
      <c r="AD39295"/>
    </row>
    <row r="39296" spans="30:30" x14ac:dyDescent="0.25">
      <c r="AD39296"/>
    </row>
    <row r="39297" spans="30:30" x14ac:dyDescent="0.25">
      <c r="AD39297"/>
    </row>
    <row r="39298" spans="30:30" x14ac:dyDescent="0.25">
      <c r="AD39298"/>
    </row>
    <row r="39299" spans="30:30" x14ac:dyDescent="0.25">
      <c r="AD39299"/>
    </row>
    <row r="39300" spans="30:30" x14ac:dyDescent="0.25">
      <c r="AD39300"/>
    </row>
    <row r="39301" spans="30:30" x14ac:dyDescent="0.25">
      <c r="AD39301"/>
    </row>
    <row r="39302" spans="30:30" x14ac:dyDescent="0.25">
      <c r="AD39302"/>
    </row>
    <row r="39303" spans="30:30" x14ac:dyDescent="0.25">
      <c r="AD39303"/>
    </row>
    <row r="39304" spans="30:30" x14ac:dyDescent="0.25">
      <c r="AD39304"/>
    </row>
    <row r="39305" spans="30:30" x14ac:dyDescent="0.25">
      <c r="AD39305"/>
    </row>
    <row r="39306" spans="30:30" x14ac:dyDescent="0.25">
      <c r="AD39306"/>
    </row>
    <row r="39307" spans="30:30" x14ac:dyDescent="0.25">
      <c r="AD39307"/>
    </row>
    <row r="39308" spans="30:30" x14ac:dyDescent="0.25">
      <c r="AD39308"/>
    </row>
    <row r="39309" spans="30:30" x14ac:dyDescent="0.25">
      <c r="AD39309"/>
    </row>
    <row r="39310" spans="30:30" x14ac:dyDescent="0.25">
      <c r="AD39310"/>
    </row>
    <row r="39311" spans="30:30" x14ac:dyDescent="0.25">
      <c r="AD39311"/>
    </row>
    <row r="39312" spans="30:30" x14ac:dyDescent="0.25">
      <c r="AD39312"/>
    </row>
    <row r="39313" spans="30:30" x14ac:dyDescent="0.25">
      <c r="AD39313"/>
    </row>
    <row r="39314" spans="30:30" x14ac:dyDescent="0.25">
      <c r="AD39314"/>
    </row>
    <row r="39315" spans="30:30" x14ac:dyDescent="0.25">
      <c r="AD39315"/>
    </row>
    <row r="39316" spans="30:30" x14ac:dyDescent="0.25">
      <c r="AD39316"/>
    </row>
    <row r="39317" spans="30:30" x14ac:dyDescent="0.25">
      <c r="AD39317"/>
    </row>
    <row r="39318" spans="30:30" x14ac:dyDescent="0.25">
      <c r="AD39318"/>
    </row>
    <row r="39319" spans="30:30" x14ac:dyDescent="0.25">
      <c r="AD39319"/>
    </row>
    <row r="39320" spans="30:30" x14ac:dyDescent="0.25">
      <c r="AD39320"/>
    </row>
    <row r="39321" spans="30:30" x14ac:dyDescent="0.25">
      <c r="AD39321"/>
    </row>
    <row r="39322" spans="30:30" x14ac:dyDescent="0.25">
      <c r="AD39322"/>
    </row>
    <row r="39323" spans="30:30" x14ac:dyDescent="0.25">
      <c r="AD39323"/>
    </row>
    <row r="39324" spans="30:30" x14ac:dyDescent="0.25">
      <c r="AD39324"/>
    </row>
    <row r="39325" spans="30:30" x14ac:dyDescent="0.25">
      <c r="AD39325"/>
    </row>
    <row r="39326" spans="30:30" x14ac:dyDescent="0.25">
      <c r="AD39326"/>
    </row>
    <row r="39327" spans="30:30" x14ac:dyDescent="0.25">
      <c r="AD39327"/>
    </row>
    <row r="39328" spans="30:30" x14ac:dyDescent="0.25">
      <c r="AD39328"/>
    </row>
    <row r="39329" spans="30:30" x14ac:dyDescent="0.25">
      <c r="AD39329"/>
    </row>
    <row r="39330" spans="30:30" x14ac:dyDescent="0.25">
      <c r="AD39330"/>
    </row>
    <row r="39331" spans="30:30" x14ac:dyDescent="0.25">
      <c r="AD39331"/>
    </row>
    <row r="39332" spans="30:30" x14ac:dyDescent="0.25">
      <c r="AD39332"/>
    </row>
    <row r="39333" spans="30:30" x14ac:dyDescent="0.25">
      <c r="AD39333"/>
    </row>
    <row r="39334" spans="30:30" x14ac:dyDescent="0.25">
      <c r="AD39334"/>
    </row>
    <row r="39335" spans="30:30" x14ac:dyDescent="0.25">
      <c r="AD39335"/>
    </row>
    <row r="39336" spans="30:30" x14ac:dyDescent="0.25">
      <c r="AD39336"/>
    </row>
    <row r="39337" spans="30:30" x14ac:dyDescent="0.25">
      <c r="AD39337"/>
    </row>
    <row r="39338" spans="30:30" x14ac:dyDescent="0.25">
      <c r="AD39338"/>
    </row>
    <row r="39339" spans="30:30" x14ac:dyDescent="0.25">
      <c r="AD39339"/>
    </row>
    <row r="39340" spans="30:30" x14ac:dyDescent="0.25">
      <c r="AD39340"/>
    </row>
    <row r="39341" spans="30:30" x14ac:dyDescent="0.25">
      <c r="AD39341"/>
    </row>
    <row r="39342" spans="30:30" x14ac:dyDescent="0.25">
      <c r="AD39342"/>
    </row>
    <row r="39343" spans="30:30" x14ac:dyDescent="0.25">
      <c r="AD39343"/>
    </row>
    <row r="39344" spans="30:30" x14ac:dyDescent="0.25">
      <c r="AD39344"/>
    </row>
    <row r="39345" spans="30:30" x14ac:dyDescent="0.25">
      <c r="AD39345"/>
    </row>
    <row r="39346" spans="30:30" x14ac:dyDescent="0.25">
      <c r="AD39346"/>
    </row>
    <row r="39347" spans="30:30" x14ac:dyDescent="0.25">
      <c r="AD39347"/>
    </row>
    <row r="39348" spans="30:30" x14ac:dyDescent="0.25">
      <c r="AD39348"/>
    </row>
    <row r="39349" spans="30:30" x14ac:dyDescent="0.25">
      <c r="AD39349"/>
    </row>
    <row r="39350" spans="30:30" x14ac:dyDescent="0.25">
      <c r="AD39350"/>
    </row>
    <row r="39351" spans="30:30" x14ac:dyDescent="0.25">
      <c r="AD39351"/>
    </row>
    <row r="39352" spans="30:30" x14ac:dyDescent="0.25">
      <c r="AD39352"/>
    </row>
    <row r="39353" spans="30:30" x14ac:dyDescent="0.25">
      <c r="AD39353"/>
    </row>
    <row r="39354" spans="30:30" x14ac:dyDescent="0.25">
      <c r="AD39354"/>
    </row>
    <row r="39355" spans="30:30" x14ac:dyDescent="0.25">
      <c r="AD39355"/>
    </row>
    <row r="39356" spans="30:30" x14ac:dyDescent="0.25">
      <c r="AD39356"/>
    </row>
    <row r="39357" spans="30:30" x14ac:dyDescent="0.25">
      <c r="AD39357"/>
    </row>
    <row r="39358" spans="30:30" x14ac:dyDescent="0.25">
      <c r="AD39358"/>
    </row>
    <row r="39359" spans="30:30" x14ac:dyDescent="0.25">
      <c r="AD39359"/>
    </row>
    <row r="39360" spans="30:30" x14ac:dyDescent="0.25">
      <c r="AD39360"/>
    </row>
    <row r="39361" spans="30:30" x14ac:dyDescent="0.25">
      <c r="AD39361"/>
    </row>
    <row r="39362" spans="30:30" x14ac:dyDescent="0.25">
      <c r="AD39362"/>
    </row>
    <row r="39363" spans="30:30" x14ac:dyDescent="0.25">
      <c r="AD39363"/>
    </row>
    <row r="39364" spans="30:30" x14ac:dyDescent="0.25">
      <c r="AD39364"/>
    </row>
    <row r="39365" spans="30:30" x14ac:dyDescent="0.25">
      <c r="AD39365"/>
    </row>
    <row r="39366" spans="30:30" x14ac:dyDescent="0.25">
      <c r="AD39366"/>
    </row>
    <row r="39367" spans="30:30" x14ac:dyDescent="0.25">
      <c r="AD39367"/>
    </row>
    <row r="39368" spans="30:30" x14ac:dyDescent="0.25">
      <c r="AD39368"/>
    </row>
    <row r="39369" spans="30:30" x14ac:dyDescent="0.25">
      <c r="AD39369"/>
    </row>
    <row r="39370" spans="30:30" x14ac:dyDescent="0.25">
      <c r="AD39370"/>
    </row>
    <row r="39371" spans="30:30" x14ac:dyDescent="0.25">
      <c r="AD39371"/>
    </row>
    <row r="39372" spans="30:30" x14ac:dyDescent="0.25">
      <c r="AD39372"/>
    </row>
    <row r="39373" spans="30:30" x14ac:dyDescent="0.25">
      <c r="AD39373"/>
    </row>
    <row r="39374" spans="30:30" x14ac:dyDescent="0.25">
      <c r="AD39374"/>
    </row>
    <row r="39375" spans="30:30" x14ac:dyDescent="0.25">
      <c r="AD39375"/>
    </row>
    <row r="39376" spans="30:30" x14ac:dyDescent="0.25">
      <c r="AD39376"/>
    </row>
    <row r="39377" spans="30:30" x14ac:dyDescent="0.25">
      <c r="AD39377"/>
    </row>
    <row r="39378" spans="30:30" x14ac:dyDescent="0.25">
      <c r="AD39378"/>
    </row>
    <row r="39379" spans="30:30" x14ac:dyDescent="0.25">
      <c r="AD39379"/>
    </row>
    <row r="39380" spans="30:30" x14ac:dyDescent="0.25">
      <c r="AD39380"/>
    </row>
    <row r="39381" spans="30:30" x14ac:dyDescent="0.25">
      <c r="AD39381"/>
    </row>
    <row r="39382" spans="30:30" x14ac:dyDescent="0.25">
      <c r="AD39382"/>
    </row>
    <row r="39383" spans="30:30" x14ac:dyDescent="0.25">
      <c r="AD39383"/>
    </row>
    <row r="39384" spans="30:30" x14ac:dyDescent="0.25">
      <c r="AD39384"/>
    </row>
    <row r="39385" spans="30:30" x14ac:dyDescent="0.25">
      <c r="AD39385"/>
    </row>
    <row r="39386" spans="30:30" x14ac:dyDescent="0.25">
      <c r="AD39386"/>
    </row>
    <row r="39387" spans="30:30" x14ac:dyDescent="0.25">
      <c r="AD39387"/>
    </row>
    <row r="39388" spans="30:30" x14ac:dyDescent="0.25">
      <c r="AD39388"/>
    </row>
    <row r="39389" spans="30:30" x14ac:dyDescent="0.25">
      <c r="AD39389"/>
    </row>
    <row r="39390" spans="30:30" x14ac:dyDescent="0.25">
      <c r="AD39390"/>
    </row>
    <row r="39391" spans="30:30" x14ac:dyDescent="0.25">
      <c r="AD39391"/>
    </row>
    <row r="39392" spans="30:30" x14ac:dyDescent="0.25">
      <c r="AD39392"/>
    </row>
    <row r="39393" spans="30:30" x14ac:dyDescent="0.25">
      <c r="AD39393"/>
    </row>
    <row r="39394" spans="30:30" x14ac:dyDescent="0.25">
      <c r="AD39394"/>
    </row>
    <row r="39395" spans="30:30" x14ac:dyDescent="0.25">
      <c r="AD39395"/>
    </row>
    <row r="39396" spans="30:30" x14ac:dyDescent="0.25">
      <c r="AD39396"/>
    </row>
    <row r="39397" spans="30:30" x14ac:dyDescent="0.25">
      <c r="AD39397"/>
    </row>
    <row r="39398" spans="30:30" x14ac:dyDescent="0.25">
      <c r="AD39398"/>
    </row>
    <row r="39399" spans="30:30" x14ac:dyDescent="0.25">
      <c r="AD39399"/>
    </row>
    <row r="39400" spans="30:30" x14ac:dyDescent="0.25">
      <c r="AD39400"/>
    </row>
    <row r="39401" spans="30:30" x14ac:dyDescent="0.25">
      <c r="AD39401"/>
    </row>
    <row r="39402" spans="30:30" x14ac:dyDescent="0.25">
      <c r="AD39402"/>
    </row>
    <row r="39403" spans="30:30" x14ac:dyDescent="0.25">
      <c r="AD39403"/>
    </row>
    <row r="39404" spans="30:30" x14ac:dyDescent="0.25">
      <c r="AD39404"/>
    </row>
    <row r="39405" spans="30:30" x14ac:dyDescent="0.25">
      <c r="AD39405"/>
    </row>
    <row r="39406" spans="30:30" x14ac:dyDescent="0.25">
      <c r="AD39406"/>
    </row>
    <row r="39407" spans="30:30" x14ac:dyDescent="0.25">
      <c r="AD39407"/>
    </row>
    <row r="39408" spans="30:30" x14ac:dyDescent="0.25">
      <c r="AD39408"/>
    </row>
    <row r="39409" spans="30:30" x14ac:dyDescent="0.25">
      <c r="AD39409"/>
    </row>
    <row r="39410" spans="30:30" x14ac:dyDescent="0.25">
      <c r="AD39410"/>
    </row>
    <row r="39411" spans="30:30" x14ac:dyDescent="0.25">
      <c r="AD39411"/>
    </row>
    <row r="39412" spans="30:30" x14ac:dyDescent="0.25">
      <c r="AD39412"/>
    </row>
    <row r="39413" spans="30:30" x14ac:dyDescent="0.25">
      <c r="AD39413"/>
    </row>
    <row r="39414" spans="30:30" x14ac:dyDescent="0.25">
      <c r="AD39414"/>
    </row>
    <row r="39415" spans="30:30" x14ac:dyDescent="0.25">
      <c r="AD39415"/>
    </row>
    <row r="39416" spans="30:30" x14ac:dyDescent="0.25">
      <c r="AD39416"/>
    </row>
    <row r="39417" spans="30:30" x14ac:dyDescent="0.25">
      <c r="AD39417"/>
    </row>
    <row r="39418" spans="30:30" x14ac:dyDescent="0.25">
      <c r="AD39418"/>
    </row>
    <row r="39419" spans="30:30" x14ac:dyDescent="0.25">
      <c r="AD39419"/>
    </row>
    <row r="39420" spans="30:30" x14ac:dyDescent="0.25">
      <c r="AD39420"/>
    </row>
    <row r="39421" spans="30:30" x14ac:dyDescent="0.25">
      <c r="AD39421"/>
    </row>
    <row r="39422" spans="30:30" x14ac:dyDescent="0.25">
      <c r="AD39422"/>
    </row>
    <row r="39423" spans="30:30" x14ac:dyDescent="0.25">
      <c r="AD39423"/>
    </row>
    <row r="39424" spans="30:30" x14ac:dyDescent="0.25">
      <c r="AD39424"/>
    </row>
    <row r="39425" spans="30:30" x14ac:dyDescent="0.25">
      <c r="AD39425"/>
    </row>
    <row r="39426" spans="30:30" x14ac:dyDescent="0.25">
      <c r="AD39426"/>
    </row>
    <row r="39427" spans="30:30" x14ac:dyDescent="0.25">
      <c r="AD39427"/>
    </row>
    <row r="39428" spans="30:30" x14ac:dyDescent="0.25">
      <c r="AD39428"/>
    </row>
    <row r="39429" spans="30:30" x14ac:dyDescent="0.25">
      <c r="AD39429"/>
    </row>
    <row r="39430" spans="30:30" x14ac:dyDescent="0.25">
      <c r="AD39430"/>
    </row>
    <row r="39431" spans="30:30" x14ac:dyDescent="0.25">
      <c r="AD39431"/>
    </row>
    <row r="39432" spans="30:30" x14ac:dyDescent="0.25">
      <c r="AD39432"/>
    </row>
    <row r="39433" spans="30:30" x14ac:dyDescent="0.25">
      <c r="AD39433"/>
    </row>
    <row r="39434" spans="30:30" x14ac:dyDescent="0.25">
      <c r="AD39434"/>
    </row>
    <row r="39435" spans="30:30" x14ac:dyDescent="0.25">
      <c r="AD39435"/>
    </row>
    <row r="39436" spans="30:30" x14ac:dyDescent="0.25">
      <c r="AD39436"/>
    </row>
    <row r="39437" spans="30:30" x14ac:dyDescent="0.25">
      <c r="AD39437"/>
    </row>
    <row r="39438" spans="30:30" x14ac:dyDescent="0.25">
      <c r="AD39438"/>
    </row>
    <row r="39439" spans="30:30" x14ac:dyDescent="0.25">
      <c r="AD39439"/>
    </row>
    <row r="39440" spans="30:30" x14ac:dyDescent="0.25">
      <c r="AD39440"/>
    </row>
    <row r="39441" spans="30:30" x14ac:dyDescent="0.25">
      <c r="AD39441"/>
    </row>
    <row r="39442" spans="30:30" x14ac:dyDescent="0.25">
      <c r="AD39442"/>
    </row>
    <row r="39443" spans="30:30" x14ac:dyDescent="0.25">
      <c r="AD39443"/>
    </row>
    <row r="39444" spans="30:30" x14ac:dyDescent="0.25">
      <c r="AD39444"/>
    </row>
    <row r="39445" spans="30:30" x14ac:dyDescent="0.25">
      <c r="AD39445"/>
    </row>
    <row r="39446" spans="30:30" x14ac:dyDescent="0.25">
      <c r="AD39446"/>
    </row>
    <row r="39447" spans="30:30" x14ac:dyDescent="0.25">
      <c r="AD39447"/>
    </row>
    <row r="39448" spans="30:30" x14ac:dyDescent="0.25">
      <c r="AD39448"/>
    </row>
    <row r="39449" spans="30:30" x14ac:dyDescent="0.25">
      <c r="AD39449"/>
    </row>
    <row r="39450" spans="30:30" x14ac:dyDescent="0.25">
      <c r="AD39450"/>
    </row>
    <row r="39451" spans="30:30" x14ac:dyDescent="0.25">
      <c r="AD39451"/>
    </row>
    <row r="39452" spans="30:30" x14ac:dyDescent="0.25">
      <c r="AD39452"/>
    </row>
    <row r="39453" spans="30:30" x14ac:dyDescent="0.25">
      <c r="AD39453"/>
    </row>
    <row r="39454" spans="30:30" x14ac:dyDescent="0.25">
      <c r="AD39454"/>
    </row>
    <row r="39455" spans="30:30" x14ac:dyDescent="0.25">
      <c r="AD39455"/>
    </row>
    <row r="39456" spans="30:30" x14ac:dyDescent="0.25">
      <c r="AD39456"/>
    </row>
    <row r="39457" spans="30:30" x14ac:dyDescent="0.25">
      <c r="AD39457"/>
    </row>
    <row r="39458" spans="30:30" x14ac:dyDescent="0.25">
      <c r="AD39458"/>
    </row>
    <row r="39459" spans="30:30" x14ac:dyDescent="0.25">
      <c r="AD39459"/>
    </row>
    <row r="39460" spans="30:30" x14ac:dyDescent="0.25">
      <c r="AD39460"/>
    </row>
    <row r="39461" spans="30:30" x14ac:dyDescent="0.25">
      <c r="AD39461"/>
    </row>
    <row r="39462" spans="30:30" x14ac:dyDescent="0.25">
      <c r="AD39462"/>
    </row>
    <row r="39463" spans="30:30" x14ac:dyDescent="0.25">
      <c r="AD39463"/>
    </row>
    <row r="39464" spans="30:30" x14ac:dyDescent="0.25">
      <c r="AD39464"/>
    </row>
    <row r="39465" spans="30:30" x14ac:dyDescent="0.25">
      <c r="AD39465"/>
    </row>
    <row r="39466" spans="30:30" x14ac:dyDescent="0.25">
      <c r="AD39466"/>
    </row>
    <row r="39467" spans="30:30" x14ac:dyDescent="0.25">
      <c r="AD39467"/>
    </row>
    <row r="39468" spans="30:30" x14ac:dyDescent="0.25">
      <c r="AD39468"/>
    </row>
    <row r="39469" spans="30:30" x14ac:dyDescent="0.25">
      <c r="AD39469"/>
    </row>
    <row r="39470" spans="30:30" x14ac:dyDescent="0.25">
      <c r="AD39470"/>
    </row>
    <row r="39471" spans="30:30" x14ac:dyDescent="0.25">
      <c r="AD39471"/>
    </row>
    <row r="39472" spans="30:30" x14ac:dyDescent="0.25">
      <c r="AD39472"/>
    </row>
    <row r="39473" spans="30:30" x14ac:dyDescent="0.25">
      <c r="AD39473"/>
    </row>
    <row r="39474" spans="30:30" x14ac:dyDescent="0.25">
      <c r="AD39474"/>
    </row>
    <row r="39475" spans="30:30" x14ac:dyDescent="0.25">
      <c r="AD39475"/>
    </row>
    <row r="39476" spans="30:30" x14ac:dyDescent="0.25">
      <c r="AD39476"/>
    </row>
    <row r="39477" spans="30:30" x14ac:dyDescent="0.25">
      <c r="AD39477"/>
    </row>
    <row r="39478" spans="30:30" x14ac:dyDescent="0.25">
      <c r="AD39478"/>
    </row>
    <row r="39479" spans="30:30" x14ac:dyDescent="0.25">
      <c r="AD39479"/>
    </row>
    <row r="39480" spans="30:30" x14ac:dyDescent="0.25">
      <c r="AD39480"/>
    </row>
    <row r="39481" spans="30:30" x14ac:dyDescent="0.25">
      <c r="AD39481"/>
    </row>
    <row r="39482" spans="30:30" x14ac:dyDescent="0.25">
      <c r="AD39482"/>
    </row>
    <row r="39483" spans="30:30" x14ac:dyDescent="0.25">
      <c r="AD39483"/>
    </row>
    <row r="39484" spans="30:30" x14ac:dyDescent="0.25">
      <c r="AD39484"/>
    </row>
    <row r="39485" spans="30:30" x14ac:dyDescent="0.25">
      <c r="AD39485"/>
    </row>
    <row r="39486" spans="30:30" x14ac:dyDescent="0.25">
      <c r="AD39486"/>
    </row>
    <row r="39487" spans="30:30" x14ac:dyDescent="0.25">
      <c r="AD39487"/>
    </row>
    <row r="39488" spans="30:30" x14ac:dyDescent="0.25">
      <c r="AD39488"/>
    </row>
    <row r="39489" spans="30:30" x14ac:dyDescent="0.25">
      <c r="AD39489"/>
    </row>
    <row r="39490" spans="30:30" x14ac:dyDescent="0.25">
      <c r="AD39490"/>
    </row>
    <row r="39491" spans="30:30" x14ac:dyDescent="0.25">
      <c r="AD39491"/>
    </row>
    <row r="39492" spans="30:30" x14ac:dyDescent="0.25">
      <c r="AD39492"/>
    </row>
    <row r="39493" spans="30:30" x14ac:dyDescent="0.25">
      <c r="AD39493"/>
    </row>
    <row r="39494" spans="30:30" x14ac:dyDescent="0.25">
      <c r="AD39494"/>
    </row>
    <row r="39495" spans="30:30" x14ac:dyDescent="0.25">
      <c r="AD39495"/>
    </row>
    <row r="39496" spans="30:30" x14ac:dyDescent="0.25">
      <c r="AD39496"/>
    </row>
    <row r="39497" spans="30:30" x14ac:dyDescent="0.25">
      <c r="AD39497"/>
    </row>
    <row r="39498" spans="30:30" x14ac:dyDescent="0.25">
      <c r="AD39498"/>
    </row>
    <row r="39499" spans="30:30" x14ac:dyDescent="0.25">
      <c r="AD39499"/>
    </row>
    <row r="39500" spans="30:30" x14ac:dyDescent="0.25">
      <c r="AD39500"/>
    </row>
    <row r="39501" spans="30:30" x14ac:dyDescent="0.25">
      <c r="AD39501"/>
    </row>
    <row r="39502" spans="30:30" x14ac:dyDescent="0.25">
      <c r="AD39502"/>
    </row>
    <row r="39503" spans="30:30" x14ac:dyDescent="0.25">
      <c r="AD39503"/>
    </row>
    <row r="39504" spans="30:30" x14ac:dyDescent="0.25">
      <c r="AD39504"/>
    </row>
    <row r="39505" spans="30:30" x14ac:dyDescent="0.25">
      <c r="AD39505"/>
    </row>
    <row r="39506" spans="30:30" x14ac:dyDescent="0.25">
      <c r="AD39506"/>
    </row>
    <row r="39507" spans="30:30" x14ac:dyDescent="0.25">
      <c r="AD39507"/>
    </row>
    <row r="39508" spans="30:30" x14ac:dyDescent="0.25">
      <c r="AD39508"/>
    </row>
    <row r="39509" spans="30:30" x14ac:dyDescent="0.25">
      <c r="AD39509"/>
    </row>
    <row r="39510" spans="30:30" x14ac:dyDescent="0.25">
      <c r="AD39510"/>
    </row>
    <row r="39511" spans="30:30" x14ac:dyDescent="0.25">
      <c r="AD39511"/>
    </row>
    <row r="39512" spans="30:30" x14ac:dyDescent="0.25">
      <c r="AD39512"/>
    </row>
    <row r="39513" spans="30:30" x14ac:dyDescent="0.25">
      <c r="AD39513"/>
    </row>
    <row r="39514" spans="30:30" x14ac:dyDescent="0.25">
      <c r="AD39514"/>
    </row>
    <row r="39515" spans="30:30" x14ac:dyDescent="0.25">
      <c r="AD39515"/>
    </row>
    <row r="39516" spans="30:30" x14ac:dyDescent="0.25">
      <c r="AD39516"/>
    </row>
    <row r="39517" spans="30:30" x14ac:dyDescent="0.25">
      <c r="AD39517"/>
    </row>
    <row r="39518" spans="30:30" x14ac:dyDescent="0.25">
      <c r="AD39518"/>
    </row>
    <row r="39519" spans="30:30" x14ac:dyDescent="0.25">
      <c r="AD39519"/>
    </row>
    <row r="39520" spans="30:30" x14ac:dyDescent="0.25">
      <c r="AD39520"/>
    </row>
    <row r="39521" spans="30:30" x14ac:dyDescent="0.25">
      <c r="AD39521"/>
    </row>
    <row r="39522" spans="30:30" x14ac:dyDescent="0.25">
      <c r="AD39522"/>
    </row>
    <row r="39523" spans="30:30" x14ac:dyDescent="0.25">
      <c r="AD39523"/>
    </row>
    <row r="39524" spans="30:30" x14ac:dyDescent="0.25">
      <c r="AD39524"/>
    </row>
    <row r="39525" spans="30:30" x14ac:dyDescent="0.25">
      <c r="AD39525"/>
    </row>
    <row r="39526" spans="30:30" x14ac:dyDescent="0.25">
      <c r="AD39526"/>
    </row>
    <row r="39527" spans="30:30" x14ac:dyDescent="0.25">
      <c r="AD39527"/>
    </row>
    <row r="39528" spans="30:30" x14ac:dyDescent="0.25">
      <c r="AD39528"/>
    </row>
    <row r="39529" spans="30:30" x14ac:dyDescent="0.25">
      <c r="AD39529"/>
    </row>
    <row r="39530" spans="30:30" x14ac:dyDescent="0.25">
      <c r="AD39530"/>
    </row>
    <row r="39531" spans="30:30" x14ac:dyDescent="0.25">
      <c r="AD39531"/>
    </row>
    <row r="39532" spans="30:30" x14ac:dyDescent="0.25">
      <c r="AD39532"/>
    </row>
    <row r="39533" spans="30:30" x14ac:dyDescent="0.25">
      <c r="AD39533"/>
    </row>
    <row r="39534" spans="30:30" x14ac:dyDescent="0.25">
      <c r="AD39534"/>
    </row>
    <row r="39535" spans="30:30" x14ac:dyDescent="0.25">
      <c r="AD39535"/>
    </row>
    <row r="39536" spans="30:30" x14ac:dyDescent="0.25">
      <c r="AD39536"/>
    </row>
    <row r="39537" spans="30:30" x14ac:dyDescent="0.25">
      <c r="AD39537"/>
    </row>
    <row r="39538" spans="30:30" x14ac:dyDescent="0.25">
      <c r="AD39538"/>
    </row>
    <row r="39539" spans="30:30" x14ac:dyDescent="0.25">
      <c r="AD39539"/>
    </row>
    <row r="39540" spans="30:30" x14ac:dyDescent="0.25">
      <c r="AD39540"/>
    </row>
    <row r="39541" spans="30:30" x14ac:dyDescent="0.25">
      <c r="AD39541"/>
    </row>
    <row r="39542" spans="30:30" x14ac:dyDescent="0.25">
      <c r="AD39542"/>
    </row>
    <row r="39543" spans="30:30" x14ac:dyDescent="0.25">
      <c r="AD39543"/>
    </row>
    <row r="39544" spans="30:30" x14ac:dyDescent="0.25">
      <c r="AD39544"/>
    </row>
    <row r="39545" spans="30:30" x14ac:dyDescent="0.25">
      <c r="AD39545"/>
    </row>
    <row r="39546" spans="30:30" x14ac:dyDescent="0.25">
      <c r="AD39546"/>
    </row>
    <row r="39547" spans="30:30" x14ac:dyDescent="0.25">
      <c r="AD39547"/>
    </row>
    <row r="39548" spans="30:30" x14ac:dyDescent="0.25">
      <c r="AD39548"/>
    </row>
    <row r="39549" spans="30:30" x14ac:dyDescent="0.25">
      <c r="AD39549"/>
    </row>
    <row r="39550" spans="30:30" x14ac:dyDescent="0.25">
      <c r="AD39550"/>
    </row>
    <row r="39551" spans="30:30" x14ac:dyDescent="0.25">
      <c r="AD39551"/>
    </row>
    <row r="39552" spans="30:30" x14ac:dyDescent="0.25">
      <c r="AD39552"/>
    </row>
    <row r="39553" spans="30:30" x14ac:dyDescent="0.25">
      <c r="AD39553"/>
    </row>
    <row r="39554" spans="30:30" x14ac:dyDescent="0.25">
      <c r="AD39554"/>
    </row>
    <row r="39555" spans="30:30" x14ac:dyDescent="0.25">
      <c r="AD39555"/>
    </row>
    <row r="39556" spans="30:30" x14ac:dyDescent="0.25">
      <c r="AD39556"/>
    </row>
    <row r="39557" spans="30:30" x14ac:dyDescent="0.25">
      <c r="AD39557"/>
    </row>
    <row r="39558" spans="30:30" x14ac:dyDescent="0.25">
      <c r="AD39558"/>
    </row>
    <row r="39559" spans="30:30" x14ac:dyDescent="0.25">
      <c r="AD39559"/>
    </row>
    <row r="39560" spans="30:30" x14ac:dyDescent="0.25">
      <c r="AD39560"/>
    </row>
    <row r="39561" spans="30:30" x14ac:dyDescent="0.25">
      <c r="AD39561"/>
    </row>
    <row r="39562" spans="30:30" x14ac:dyDescent="0.25">
      <c r="AD39562"/>
    </row>
    <row r="39563" spans="30:30" x14ac:dyDescent="0.25">
      <c r="AD39563"/>
    </row>
    <row r="39564" spans="30:30" x14ac:dyDescent="0.25">
      <c r="AD39564"/>
    </row>
    <row r="39565" spans="30:30" x14ac:dyDescent="0.25">
      <c r="AD39565"/>
    </row>
    <row r="39566" spans="30:30" x14ac:dyDescent="0.25">
      <c r="AD39566"/>
    </row>
    <row r="39567" spans="30:30" x14ac:dyDescent="0.25">
      <c r="AD39567"/>
    </row>
    <row r="39568" spans="30:30" x14ac:dyDescent="0.25">
      <c r="AD39568"/>
    </row>
    <row r="39569" spans="30:30" x14ac:dyDescent="0.25">
      <c r="AD39569"/>
    </row>
    <row r="39570" spans="30:30" x14ac:dyDescent="0.25">
      <c r="AD39570"/>
    </row>
    <row r="39571" spans="30:30" x14ac:dyDescent="0.25">
      <c r="AD39571"/>
    </row>
    <row r="39572" spans="30:30" x14ac:dyDescent="0.25">
      <c r="AD39572"/>
    </row>
    <row r="39573" spans="30:30" x14ac:dyDescent="0.25">
      <c r="AD39573"/>
    </row>
    <row r="39574" spans="30:30" x14ac:dyDescent="0.25">
      <c r="AD39574"/>
    </row>
    <row r="39575" spans="30:30" x14ac:dyDescent="0.25">
      <c r="AD39575"/>
    </row>
    <row r="39576" spans="30:30" x14ac:dyDescent="0.25">
      <c r="AD39576"/>
    </row>
    <row r="39577" spans="30:30" x14ac:dyDescent="0.25">
      <c r="AD39577"/>
    </row>
    <row r="39578" spans="30:30" x14ac:dyDescent="0.25">
      <c r="AD39578"/>
    </row>
    <row r="39579" spans="30:30" x14ac:dyDescent="0.25">
      <c r="AD39579"/>
    </row>
    <row r="39580" spans="30:30" x14ac:dyDescent="0.25">
      <c r="AD39580"/>
    </row>
    <row r="39581" spans="30:30" x14ac:dyDescent="0.25">
      <c r="AD39581"/>
    </row>
    <row r="39582" spans="30:30" x14ac:dyDescent="0.25">
      <c r="AD39582"/>
    </row>
    <row r="39583" spans="30:30" x14ac:dyDescent="0.25">
      <c r="AD39583"/>
    </row>
    <row r="39584" spans="30:30" x14ac:dyDescent="0.25">
      <c r="AD39584"/>
    </row>
    <row r="39585" spans="30:30" x14ac:dyDescent="0.25">
      <c r="AD39585"/>
    </row>
    <row r="39586" spans="30:30" x14ac:dyDescent="0.25">
      <c r="AD39586"/>
    </row>
    <row r="39587" spans="30:30" x14ac:dyDescent="0.25">
      <c r="AD39587"/>
    </row>
    <row r="39588" spans="30:30" x14ac:dyDescent="0.25">
      <c r="AD39588"/>
    </row>
    <row r="39589" spans="30:30" x14ac:dyDescent="0.25">
      <c r="AD39589"/>
    </row>
    <row r="39590" spans="30:30" x14ac:dyDescent="0.25">
      <c r="AD39590"/>
    </row>
    <row r="39591" spans="30:30" x14ac:dyDescent="0.25">
      <c r="AD39591"/>
    </row>
    <row r="39592" spans="30:30" x14ac:dyDescent="0.25">
      <c r="AD39592"/>
    </row>
    <row r="39593" spans="30:30" x14ac:dyDescent="0.25">
      <c r="AD39593"/>
    </row>
    <row r="39594" spans="30:30" x14ac:dyDescent="0.25">
      <c r="AD39594"/>
    </row>
    <row r="39595" spans="30:30" x14ac:dyDescent="0.25">
      <c r="AD39595"/>
    </row>
    <row r="39596" spans="30:30" x14ac:dyDescent="0.25">
      <c r="AD39596"/>
    </row>
    <row r="39597" spans="30:30" x14ac:dyDescent="0.25">
      <c r="AD39597"/>
    </row>
    <row r="39598" spans="30:30" x14ac:dyDescent="0.25">
      <c r="AD39598"/>
    </row>
    <row r="39599" spans="30:30" x14ac:dyDescent="0.25">
      <c r="AD39599"/>
    </row>
    <row r="39600" spans="30:30" x14ac:dyDescent="0.25">
      <c r="AD39600"/>
    </row>
    <row r="39601" spans="30:30" x14ac:dyDescent="0.25">
      <c r="AD39601"/>
    </row>
    <row r="39602" spans="30:30" x14ac:dyDescent="0.25">
      <c r="AD39602"/>
    </row>
    <row r="39603" spans="30:30" x14ac:dyDescent="0.25">
      <c r="AD39603"/>
    </row>
    <row r="39604" spans="30:30" x14ac:dyDescent="0.25">
      <c r="AD39604"/>
    </row>
    <row r="39605" spans="30:30" x14ac:dyDescent="0.25">
      <c r="AD39605"/>
    </row>
    <row r="39606" spans="30:30" x14ac:dyDescent="0.25">
      <c r="AD39606"/>
    </row>
    <row r="39607" spans="30:30" x14ac:dyDescent="0.25">
      <c r="AD39607"/>
    </row>
    <row r="39608" spans="30:30" x14ac:dyDescent="0.25">
      <c r="AD39608"/>
    </row>
    <row r="39609" spans="30:30" x14ac:dyDescent="0.25">
      <c r="AD39609"/>
    </row>
    <row r="39610" spans="30:30" x14ac:dyDescent="0.25">
      <c r="AD39610"/>
    </row>
    <row r="39611" spans="30:30" x14ac:dyDescent="0.25">
      <c r="AD39611"/>
    </row>
    <row r="39612" spans="30:30" x14ac:dyDescent="0.25">
      <c r="AD39612"/>
    </row>
    <row r="39613" spans="30:30" x14ac:dyDescent="0.25">
      <c r="AD39613"/>
    </row>
    <row r="39614" spans="30:30" x14ac:dyDescent="0.25">
      <c r="AD39614"/>
    </row>
    <row r="39615" spans="30:30" x14ac:dyDescent="0.25">
      <c r="AD39615"/>
    </row>
    <row r="39616" spans="30:30" x14ac:dyDescent="0.25">
      <c r="AD39616"/>
    </row>
    <row r="39617" spans="30:30" x14ac:dyDescent="0.25">
      <c r="AD39617"/>
    </row>
    <row r="39618" spans="30:30" x14ac:dyDescent="0.25">
      <c r="AD39618"/>
    </row>
    <row r="39619" spans="30:30" x14ac:dyDescent="0.25">
      <c r="AD39619"/>
    </row>
    <row r="39620" spans="30:30" x14ac:dyDescent="0.25">
      <c r="AD39620"/>
    </row>
    <row r="39621" spans="30:30" x14ac:dyDescent="0.25">
      <c r="AD39621"/>
    </row>
    <row r="39622" spans="30:30" x14ac:dyDescent="0.25">
      <c r="AD39622"/>
    </row>
    <row r="39623" spans="30:30" x14ac:dyDescent="0.25">
      <c r="AD39623"/>
    </row>
    <row r="39624" spans="30:30" x14ac:dyDescent="0.25">
      <c r="AD39624"/>
    </row>
    <row r="39625" spans="30:30" x14ac:dyDescent="0.25">
      <c r="AD39625"/>
    </row>
    <row r="39626" spans="30:30" x14ac:dyDescent="0.25">
      <c r="AD39626"/>
    </row>
    <row r="39627" spans="30:30" x14ac:dyDescent="0.25">
      <c r="AD39627"/>
    </row>
    <row r="39628" spans="30:30" x14ac:dyDescent="0.25">
      <c r="AD39628"/>
    </row>
    <row r="39629" spans="30:30" x14ac:dyDescent="0.25">
      <c r="AD39629"/>
    </row>
    <row r="39630" spans="30:30" x14ac:dyDescent="0.25">
      <c r="AD39630"/>
    </row>
    <row r="39631" spans="30:30" x14ac:dyDescent="0.25">
      <c r="AD39631"/>
    </row>
    <row r="39632" spans="30:30" x14ac:dyDescent="0.25">
      <c r="AD39632"/>
    </row>
    <row r="39633" spans="30:30" x14ac:dyDescent="0.25">
      <c r="AD39633"/>
    </row>
    <row r="39634" spans="30:30" x14ac:dyDescent="0.25">
      <c r="AD39634"/>
    </row>
    <row r="39635" spans="30:30" x14ac:dyDescent="0.25">
      <c r="AD39635"/>
    </row>
    <row r="39636" spans="30:30" x14ac:dyDescent="0.25">
      <c r="AD39636"/>
    </row>
    <row r="39637" spans="30:30" x14ac:dyDescent="0.25">
      <c r="AD39637"/>
    </row>
    <row r="39638" spans="30:30" x14ac:dyDescent="0.25">
      <c r="AD39638"/>
    </row>
    <row r="39639" spans="30:30" x14ac:dyDescent="0.25">
      <c r="AD39639"/>
    </row>
    <row r="39640" spans="30:30" x14ac:dyDescent="0.25">
      <c r="AD39640"/>
    </row>
    <row r="39641" spans="30:30" x14ac:dyDescent="0.25">
      <c r="AD39641"/>
    </row>
    <row r="39642" spans="30:30" x14ac:dyDescent="0.25">
      <c r="AD39642"/>
    </row>
    <row r="39643" spans="30:30" x14ac:dyDescent="0.25">
      <c r="AD39643"/>
    </row>
    <row r="39644" spans="30:30" x14ac:dyDescent="0.25">
      <c r="AD39644"/>
    </row>
    <row r="39645" spans="30:30" x14ac:dyDescent="0.25">
      <c r="AD39645"/>
    </row>
    <row r="39646" spans="30:30" x14ac:dyDescent="0.25">
      <c r="AD39646"/>
    </row>
    <row r="39647" spans="30:30" x14ac:dyDescent="0.25">
      <c r="AD39647"/>
    </row>
    <row r="39648" spans="30:30" x14ac:dyDescent="0.25">
      <c r="AD39648"/>
    </row>
    <row r="39649" spans="30:30" x14ac:dyDescent="0.25">
      <c r="AD39649"/>
    </row>
    <row r="39650" spans="30:30" x14ac:dyDescent="0.25">
      <c r="AD39650"/>
    </row>
    <row r="39651" spans="30:30" x14ac:dyDescent="0.25">
      <c r="AD39651"/>
    </row>
    <row r="39652" spans="30:30" x14ac:dyDescent="0.25">
      <c r="AD39652"/>
    </row>
    <row r="39653" spans="30:30" x14ac:dyDescent="0.25">
      <c r="AD39653"/>
    </row>
    <row r="39654" spans="30:30" x14ac:dyDescent="0.25">
      <c r="AD39654"/>
    </row>
    <row r="39655" spans="30:30" x14ac:dyDescent="0.25">
      <c r="AD39655"/>
    </row>
    <row r="39656" spans="30:30" x14ac:dyDescent="0.25">
      <c r="AD39656"/>
    </row>
    <row r="39657" spans="30:30" x14ac:dyDescent="0.25">
      <c r="AD39657"/>
    </row>
    <row r="39658" spans="30:30" x14ac:dyDescent="0.25">
      <c r="AD39658"/>
    </row>
    <row r="39659" spans="30:30" x14ac:dyDescent="0.25">
      <c r="AD39659"/>
    </row>
    <row r="39660" spans="30:30" x14ac:dyDescent="0.25">
      <c r="AD39660"/>
    </row>
    <row r="39661" spans="30:30" x14ac:dyDescent="0.25">
      <c r="AD39661"/>
    </row>
    <row r="39662" spans="30:30" x14ac:dyDescent="0.25">
      <c r="AD39662"/>
    </row>
    <row r="39663" spans="30:30" x14ac:dyDescent="0.25">
      <c r="AD39663"/>
    </row>
    <row r="39664" spans="30:30" x14ac:dyDescent="0.25">
      <c r="AD39664"/>
    </row>
    <row r="39665" spans="30:30" x14ac:dyDescent="0.25">
      <c r="AD39665"/>
    </row>
    <row r="39666" spans="30:30" x14ac:dyDescent="0.25">
      <c r="AD39666"/>
    </row>
    <row r="39667" spans="30:30" x14ac:dyDescent="0.25">
      <c r="AD39667"/>
    </row>
    <row r="39668" spans="30:30" x14ac:dyDescent="0.25">
      <c r="AD39668"/>
    </row>
    <row r="39669" spans="30:30" x14ac:dyDescent="0.25">
      <c r="AD39669"/>
    </row>
    <row r="39670" spans="30:30" x14ac:dyDescent="0.25">
      <c r="AD39670"/>
    </row>
    <row r="39671" spans="30:30" x14ac:dyDescent="0.25">
      <c r="AD39671"/>
    </row>
    <row r="39672" spans="30:30" x14ac:dyDescent="0.25">
      <c r="AD39672"/>
    </row>
    <row r="39673" spans="30:30" x14ac:dyDescent="0.25">
      <c r="AD39673"/>
    </row>
    <row r="39674" spans="30:30" x14ac:dyDescent="0.25">
      <c r="AD39674"/>
    </row>
    <row r="39675" spans="30:30" x14ac:dyDescent="0.25">
      <c r="AD39675"/>
    </row>
    <row r="39676" spans="30:30" x14ac:dyDescent="0.25">
      <c r="AD39676"/>
    </row>
    <row r="39677" spans="30:30" x14ac:dyDescent="0.25">
      <c r="AD39677"/>
    </row>
    <row r="39678" spans="30:30" x14ac:dyDescent="0.25">
      <c r="AD39678"/>
    </row>
    <row r="39679" spans="30:30" x14ac:dyDescent="0.25">
      <c r="AD39679"/>
    </row>
    <row r="39680" spans="30:30" x14ac:dyDescent="0.25">
      <c r="AD39680"/>
    </row>
    <row r="39681" spans="30:30" x14ac:dyDescent="0.25">
      <c r="AD39681"/>
    </row>
    <row r="39682" spans="30:30" x14ac:dyDescent="0.25">
      <c r="AD39682"/>
    </row>
    <row r="39683" spans="30:30" x14ac:dyDescent="0.25">
      <c r="AD39683"/>
    </row>
    <row r="39684" spans="30:30" x14ac:dyDescent="0.25">
      <c r="AD39684"/>
    </row>
    <row r="39685" spans="30:30" x14ac:dyDescent="0.25">
      <c r="AD39685"/>
    </row>
    <row r="39686" spans="30:30" x14ac:dyDescent="0.25">
      <c r="AD39686"/>
    </row>
    <row r="39687" spans="30:30" x14ac:dyDescent="0.25">
      <c r="AD39687"/>
    </row>
    <row r="39688" spans="30:30" x14ac:dyDescent="0.25">
      <c r="AD39688"/>
    </row>
    <row r="39689" spans="30:30" x14ac:dyDescent="0.25">
      <c r="AD39689"/>
    </row>
    <row r="39690" spans="30:30" x14ac:dyDescent="0.25">
      <c r="AD39690"/>
    </row>
    <row r="39691" spans="30:30" x14ac:dyDescent="0.25">
      <c r="AD39691"/>
    </row>
    <row r="39692" spans="30:30" x14ac:dyDescent="0.25">
      <c r="AD39692"/>
    </row>
    <row r="39693" spans="30:30" x14ac:dyDescent="0.25">
      <c r="AD39693"/>
    </row>
    <row r="39694" spans="30:30" x14ac:dyDescent="0.25">
      <c r="AD39694"/>
    </row>
    <row r="39695" spans="30:30" x14ac:dyDescent="0.25">
      <c r="AD39695"/>
    </row>
    <row r="39696" spans="30:30" x14ac:dyDescent="0.25">
      <c r="AD39696"/>
    </row>
    <row r="39697" spans="30:30" x14ac:dyDescent="0.25">
      <c r="AD39697"/>
    </row>
    <row r="39698" spans="30:30" x14ac:dyDescent="0.25">
      <c r="AD39698"/>
    </row>
    <row r="39699" spans="30:30" x14ac:dyDescent="0.25">
      <c r="AD39699"/>
    </row>
    <row r="39700" spans="30:30" x14ac:dyDescent="0.25">
      <c r="AD39700"/>
    </row>
    <row r="39701" spans="30:30" x14ac:dyDescent="0.25">
      <c r="AD39701"/>
    </row>
    <row r="39702" spans="30:30" x14ac:dyDescent="0.25">
      <c r="AD39702"/>
    </row>
    <row r="39703" spans="30:30" x14ac:dyDescent="0.25">
      <c r="AD39703"/>
    </row>
    <row r="39704" spans="30:30" x14ac:dyDescent="0.25">
      <c r="AD39704"/>
    </row>
    <row r="39705" spans="30:30" x14ac:dyDescent="0.25">
      <c r="AD39705"/>
    </row>
    <row r="39706" spans="30:30" x14ac:dyDescent="0.25">
      <c r="AD39706"/>
    </row>
    <row r="39707" spans="30:30" x14ac:dyDescent="0.25">
      <c r="AD39707"/>
    </row>
    <row r="39708" spans="30:30" x14ac:dyDescent="0.25">
      <c r="AD39708"/>
    </row>
    <row r="39709" spans="30:30" x14ac:dyDescent="0.25">
      <c r="AD39709"/>
    </row>
    <row r="39710" spans="30:30" x14ac:dyDescent="0.25">
      <c r="AD39710"/>
    </row>
    <row r="39711" spans="30:30" x14ac:dyDescent="0.25">
      <c r="AD39711"/>
    </row>
    <row r="39712" spans="30:30" x14ac:dyDescent="0.25">
      <c r="AD39712"/>
    </row>
    <row r="39713" spans="30:30" x14ac:dyDescent="0.25">
      <c r="AD39713"/>
    </row>
    <row r="39714" spans="30:30" x14ac:dyDescent="0.25">
      <c r="AD39714"/>
    </row>
    <row r="39715" spans="30:30" x14ac:dyDescent="0.25">
      <c r="AD39715"/>
    </row>
    <row r="39716" spans="30:30" x14ac:dyDescent="0.25">
      <c r="AD39716"/>
    </row>
    <row r="39717" spans="30:30" x14ac:dyDescent="0.25">
      <c r="AD39717"/>
    </row>
    <row r="39718" spans="30:30" x14ac:dyDescent="0.25">
      <c r="AD39718"/>
    </row>
    <row r="39719" spans="30:30" x14ac:dyDescent="0.25">
      <c r="AD39719"/>
    </row>
    <row r="39720" spans="30:30" x14ac:dyDescent="0.25">
      <c r="AD39720"/>
    </row>
    <row r="39721" spans="30:30" x14ac:dyDescent="0.25">
      <c r="AD39721"/>
    </row>
    <row r="39722" spans="30:30" x14ac:dyDescent="0.25">
      <c r="AD39722"/>
    </row>
    <row r="39723" spans="30:30" x14ac:dyDescent="0.25">
      <c r="AD39723"/>
    </row>
    <row r="39724" spans="30:30" x14ac:dyDescent="0.25">
      <c r="AD39724"/>
    </row>
    <row r="39725" spans="30:30" x14ac:dyDescent="0.25">
      <c r="AD39725"/>
    </row>
    <row r="39726" spans="30:30" x14ac:dyDescent="0.25">
      <c r="AD39726"/>
    </row>
    <row r="39727" spans="30:30" x14ac:dyDescent="0.25">
      <c r="AD39727"/>
    </row>
    <row r="39728" spans="30:30" x14ac:dyDescent="0.25">
      <c r="AD39728"/>
    </row>
    <row r="39729" spans="30:30" x14ac:dyDescent="0.25">
      <c r="AD39729"/>
    </row>
    <row r="39730" spans="30:30" x14ac:dyDescent="0.25">
      <c r="AD39730"/>
    </row>
    <row r="39731" spans="30:30" x14ac:dyDescent="0.25">
      <c r="AD39731"/>
    </row>
    <row r="39732" spans="30:30" x14ac:dyDescent="0.25">
      <c r="AD39732"/>
    </row>
    <row r="39733" spans="30:30" x14ac:dyDescent="0.25">
      <c r="AD39733"/>
    </row>
    <row r="39734" spans="30:30" x14ac:dyDescent="0.25">
      <c r="AD39734"/>
    </row>
    <row r="39735" spans="30:30" x14ac:dyDescent="0.25">
      <c r="AD39735"/>
    </row>
    <row r="39736" spans="30:30" x14ac:dyDescent="0.25">
      <c r="AD39736"/>
    </row>
    <row r="39737" spans="30:30" x14ac:dyDescent="0.25">
      <c r="AD39737"/>
    </row>
    <row r="39738" spans="30:30" x14ac:dyDescent="0.25">
      <c r="AD39738"/>
    </row>
    <row r="39739" spans="30:30" x14ac:dyDescent="0.25">
      <c r="AD39739"/>
    </row>
    <row r="39740" spans="30:30" x14ac:dyDescent="0.25">
      <c r="AD39740"/>
    </row>
    <row r="39741" spans="30:30" x14ac:dyDescent="0.25">
      <c r="AD39741"/>
    </row>
    <row r="39742" spans="30:30" x14ac:dyDescent="0.25">
      <c r="AD39742"/>
    </row>
    <row r="39743" spans="30:30" x14ac:dyDescent="0.25">
      <c r="AD39743"/>
    </row>
    <row r="39744" spans="30:30" x14ac:dyDescent="0.25">
      <c r="AD39744"/>
    </row>
    <row r="39745" spans="30:30" x14ac:dyDescent="0.25">
      <c r="AD39745"/>
    </row>
    <row r="39746" spans="30:30" x14ac:dyDescent="0.25">
      <c r="AD39746"/>
    </row>
    <row r="39747" spans="30:30" x14ac:dyDescent="0.25">
      <c r="AD39747"/>
    </row>
    <row r="39748" spans="30:30" x14ac:dyDescent="0.25">
      <c r="AD39748"/>
    </row>
    <row r="39749" spans="30:30" x14ac:dyDescent="0.25">
      <c r="AD39749"/>
    </row>
    <row r="39750" spans="30:30" x14ac:dyDescent="0.25">
      <c r="AD39750"/>
    </row>
    <row r="39751" spans="30:30" x14ac:dyDescent="0.25">
      <c r="AD39751"/>
    </row>
    <row r="39752" spans="30:30" x14ac:dyDescent="0.25">
      <c r="AD39752"/>
    </row>
    <row r="39753" spans="30:30" x14ac:dyDescent="0.25">
      <c r="AD39753"/>
    </row>
    <row r="39754" spans="30:30" x14ac:dyDescent="0.25">
      <c r="AD39754"/>
    </row>
    <row r="39755" spans="30:30" x14ac:dyDescent="0.25">
      <c r="AD39755"/>
    </row>
    <row r="39756" spans="30:30" x14ac:dyDescent="0.25">
      <c r="AD39756"/>
    </row>
    <row r="39757" spans="30:30" x14ac:dyDescent="0.25">
      <c r="AD39757"/>
    </row>
    <row r="39758" spans="30:30" x14ac:dyDescent="0.25">
      <c r="AD39758"/>
    </row>
    <row r="39759" spans="30:30" x14ac:dyDescent="0.25">
      <c r="AD39759"/>
    </row>
    <row r="39760" spans="30:30" x14ac:dyDescent="0.25">
      <c r="AD39760"/>
    </row>
    <row r="39761" spans="30:30" x14ac:dyDescent="0.25">
      <c r="AD39761"/>
    </row>
    <row r="39762" spans="30:30" x14ac:dyDescent="0.25">
      <c r="AD39762"/>
    </row>
    <row r="39763" spans="30:30" x14ac:dyDescent="0.25">
      <c r="AD39763"/>
    </row>
    <row r="39764" spans="30:30" x14ac:dyDescent="0.25">
      <c r="AD39764"/>
    </row>
    <row r="39765" spans="30:30" x14ac:dyDescent="0.25">
      <c r="AD39765"/>
    </row>
    <row r="39766" spans="30:30" x14ac:dyDescent="0.25">
      <c r="AD39766"/>
    </row>
    <row r="39767" spans="30:30" x14ac:dyDescent="0.25">
      <c r="AD39767"/>
    </row>
    <row r="39768" spans="30:30" x14ac:dyDescent="0.25">
      <c r="AD39768"/>
    </row>
    <row r="39769" spans="30:30" x14ac:dyDescent="0.25">
      <c r="AD39769"/>
    </row>
    <row r="39770" spans="30:30" x14ac:dyDescent="0.25">
      <c r="AD39770"/>
    </row>
    <row r="39771" spans="30:30" x14ac:dyDescent="0.25">
      <c r="AD39771"/>
    </row>
    <row r="39772" spans="30:30" x14ac:dyDescent="0.25">
      <c r="AD39772"/>
    </row>
    <row r="39773" spans="30:30" x14ac:dyDescent="0.25">
      <c r="AD39773"/>
    </row>
    <row r="39774" spans="30:30" x14ac:dyDescent="0.25">
      <c r="AD39774"/>
    </row>
    <row r="39775" spans="30:30" x14ac:dyDescent="0.25">
      <c r="AD39775"/>
    </row>
    <row r="39776" spans="30:30" x14ac:dyDescent="0.25">
      <c r="AD39776"/>
    </row>
    <row r="39777" spans="30:30" x14ac:dyDescent="0.25">
      <c r="AD39777"/>
    </row>
    <row r="39778" spans="30:30" x14ac:dyDescent="0.25">
      <c r="AD39778"/>
    </row>
    <row r="39779" spans="30:30" x14ac:dyDescent="0.25">
      <c r="AD39779"/>
    </row>
    <row r="39780" spans="30:30" x14ac:dyDescent="0.25">
      <c r="AD39780"/>
    </row>
    <row r="39781" spans="30:30" x14ac:dyDescent="0.25">
      <c r="AD39781"/>
    </row>
    <row r="39782" spans="30:30" x14ac:dyDescent="0.25">
      <c r="AD39782"/>
    </row>
    <row r="39783" spans="30:30" x14ac:dyDescent="0.25">
      <c r="AD39783"/>
    </row>
    <row r="39784" spans="30:30" x14ac:dyDescent="0.25">
      <c r="AD39784"/>
    </row>
    <row r="39785" spans="30:30" x14ac:dyDescent="0.25">
      <c r="AD39785"/>
    </row>
    <row r="39786" spans="30:30" x14ac:dyDescent="0.25">
      <c r="AD39786"/>
    </row>
    <row r="39787" spans="30:30" x14ac:dyDescent="0.25">
      <c r="AD39787"/>
    </row>
    <row r="39788" spans="30:30" x14ac:dyDescent="0.25">
      <c r="AD39788"/>
    </row>
    <row r="39789" spans="30:30" x14ac:dyDescent="0.25">
      <c r="AD39789"/>
    </row>
    <row r="39790" spans="30:30" x14ac:dyDescent="0.25">
      <c r="AD39790"/>
    </row>
    <row r="39791" spans="30:30" x14ac:dyDescent="0.25">
      <c r="AD39791"/>
    </row>
    <row r="39792" spans="30:30" x14ac:dyDescent="0.25">
      <c r="AD39792"/>
    </row>
    <row r="39793" spans="30:30" x14ac:dyDescent="0.25">
      <c r="AD39793"/>
    </row>
    <row r="39794" spans="30:30" x14ac:dyDescent="0.25">
      <c r="AD39794"/>
    </row>
    <row r="39795" spans="30:30" x14ac:dyDescent="0.25">
      <c r="AD39795"/>
    </row>
    <row r="39796" spans="30:30" x14ac:dyDescent="0.25">
      <c r="AD39796"/>
    </row>
    <row r="39797" spans="30:30" x14ac:dyDescent="0.25">
      <c r="AD39797"/>
    </row>
    <row r="39798" spans="30:30" x14ac:dyDescent="0.25">
      <c r="AD39798"/>
    </row>
    <row r="39799" spans="30:30" x14ac:dyDescent="0.25">
      <c r="AD39799"/>
    </row>
    <row r="39800" spans="30:30" x14ac:dyDescent="0.25">
      <c r="AD39800"/>
    </row>
    <row r="39801" spans="30:30" x14ac:dyDescent="0.25">
      <c r="AD39801"/>
    </row>
    <row r="39802" spans="30:30" x14ac:dyDescent="0.25">
      <c r="AD39802"/>
    </row>
    <row r="39803" spans="30:30" x14ac:dyDescent="0.25">
      <c r="AD39803"/>
    </row>
    <row r="39804" spans="30:30" x14ac:dyDescent="0.25">
      <c r="AD39804"/>
    </row>
    <row r="39805" spans="30:30" x14ac:dyDescent="0.25">
      <c r="AD39805"/>
    </row>
    <row r="39806" spans="30:30" x14ac:dyDescent="0.25">
      <c r="AD39806"/>
    </row>
    <row r="39807" spans="30:30" x14ac:dyDescent="0.25">
      <c r="AD39807"/>
    </row>
    <row r="39808" spans="30:30" x14ac:dyDescent="0.25">
      <c r="AD39808"/>
    </row>
    <row r="39809" spans="30:30" x14ac:dyDescent="0.25">
      <c r="AD39809"/>
    </row>
    <row r="39810" spans="30:30" x14ac:dyDescent="0.25">
      <c r="AD39810"/>
    </row>
    <row r="39811" spans="30:30" x14ac:dyDescent="0.25">
      <c r="AD39811"/>
    </row>
    <row r="39812" spans="30:30" x14ac:dyDescent="0.25">
      <c r="AD39812"/>
    </row>
    <row r="39813" spans="30:30" x14ac:dyDescent="0.25">
      <c r="AD39813"/>
    </row>
    <row r="39814" spans="30:30" x14ac:dyDescent="0.25">
      <c r="AD39814"/>
    </row>
    <row r="39815" spans="30:30" x14ac:dyDescent="0.25">
      <c r="AD39815"/>
    </row>
    <row r="39816" spans="30:30" x14ac:dyDescent="0.25">
      <c r="AD39816"/>
    </row>
    <row r="39817" spans="30:30" x14ac:dyDescent="0.25">
      <c r="AD39817"/>
    </row>
    <row r="39818" spans="30:30" x14ac:dyDescent="0.25">
      <c r="AD39818"/>
    </row>
    <row r="39819" spans="30:30" x14ac:dyDescent="0.25">
      <c r="AD39819"/>
    </row>
    <row r="39820" spans="30:30" x14ac:dyDescent="0.25">
      <c r="AD39820"/>
    </row>
    <row r="39821" spans="30:30" x14ac:dyDescent="0.25">
      <c r="AD39821"/>
    </row>
    <row r="39822" spans="30:30" x14ac:dyDescent="0.25">
      <c r="AD39822"/>
    </row>
    <row r="39823" spans="30:30" x14ac:dyDescent="0.25">
      <c r="AD39823"/>
    </row>
    <row r="39824" spans="30:30" x14ac:dyDescent="0.25">
      <c r="AD39824"/>
    </row>
    <row r="39825" spans="30:30" x14ac:dyDescent="0.25">
      <c r="AD39825"/>
    </row>
    <row r="39826" spans="30:30" x14ac:dyDescent="0.25">
      <c r="AD39826"/>
    </row>
    <row r="39827" spans="30:30" x14ac:dyDescent="0.25">
      <c r="AD39827"/>
    </row>
    <row r="39828" spans="30:30" x14ac:dyDescent="0.25">
      <c r="AD39828"/>
    </row>
    <row r="39829" spans="30:30" x14ac:dyDescent="0.25">
      <c r="AD39829"/>
    </row>
    <row r="39830" spans="30:30" x14ac:dyDescent="0.25">
      <c r="AD39830"/>
    </row>
    <row r="39831" spans="30:30" x14ac:dyDescent="0.25">
      <c r="AD39831"/>
    </row>
    <row r="39832" spans="30:30" x14ac:dyDescent="0.25">
      <c r="AD39832"/>
    </row>
    <row r="39833" spans="30:30" x14ac:dyDescent="0.25">
      <c r="AD39833"/>
    </row>
    <row r="39834" spans="30:30" x14ac:dyDescent="0.25">
      <c r="AD39834"/>
    </row>
    <row r="39835" spans="30:30" x14ac:dyDescent="0.25">
      <c r="AD39835"/>
    </row>
    <row r="39836" spans="30:30" x14ac:dyDescent="0.25">
      <c r="AD39836"/>
    </row>
    <row r="39837" spans="30:30" x14ac:dyDescent="0.25">
      <c r="AD39837"/>
    </row>
    <row r="39838" spans="30:30" x14ac:dyDescent="0.25">
      <c r="AD39838"/>
    </row>
    <row r="39839" spans="30:30" x14ac:dyDescent="0.25">
      <c r="AD39839"/>
    </row>
    <row r="39840" spans="30:30" x14ac:dyDescent="0.25">
      <c r="AD39840"/>
    </row>
    <row r="39841" spans="30:30" x14ac:dyDescent="0.25">
      <c r="AD39841"/>
    </row>
    <row r="39842" spans="30:30" x14ac:dyDescent="0.25">
      <c r="AD39842"/>
    </row>
    <row r="39843" spans="30:30" x14ac:dyDescent="0.25">
      <c r="AD39843"/>
    </row>
    <row r="39844" spans="30:30" x14ac:dyDescent="0.25">
      <c r="AD39844"/>
    </row>
    <row r="39845" spans="30:30" x14ac:dyDescent="0.25">
      <c r="AD39845"/>
    </row>
    <row r="39846" spans="30:30" x14ac:dyDescent="0.25">
      <c r="AD39846"/>
    </row>
    <row r="39847" spans="30:30" x14ac:dyDescent="0.25">
      <c r="AD39847"/>
    </row>
    <row r="39848" spans="30:30" x14ac:dyDescent="0.25">
      <c r="AD39848"/>
    </row>
    <row r="39849" spans="30:30" x14ac:dyDescent="0.25">
      <c r="AD39849"/>
    </row>
    <row r="39850" spans="30:30" x14ac:dyDescent="0.25">
      <c r="AD39850"/>
    </row>
    <row r="39851" spans="30:30" x14ac:dyDescent="0.25">
      <c r="AD39851"/>
    </row>
    <row r="39852" spans="30:30" x14ac:dyDescent="0.25">
      <c r="AD39852"/>
    </row>
    <row r="39853" spans="30:30" x14ac:dyDescent="0.25">
      <c r="AD39853"/>
    </row>
    <row r="39854" spans="30:30" x14ac:dyDescent="0.25">
      <c r="AD39854"/>
    </row>
    <row r="39855" spans="30:30" x14ac:dyDescent="0.25">
      <c r="AD39855"/>
    </row>
    <row r="39856" spans="30:30" x14ac:dyDescent="0.25">
      <c r="AD39856"/>
    </row>
    <row r="39857" spans="30:30" x14ac:dyDescent="0.25">
      <c r="AD39857"/>
    </row>
    <row r="39858" spans="30:30" x14ac:dyDescent="0.25">
      <c r="AD39858"/>
    </row>
    <row r="39859" spans="30:30" x14ac:dyDescent="0.25">
      <c r="AD39859"/>
    </row>
    <row r="39860" spans="30:30" x14ac:dyDescent="0.25">
      <c r="AD39860"/>
    </row>
    <row r="39861" spans="30:30" x14ac:dyDescent="0.25">
      <c r="AD39861"/>
    </row>
    <row r="39862" spans="30:30" x14ac:dyDescent="0.25">
      <c r="AD39862"/>
    </row>
    <row r="39863" spans="30:30" x14ac:dyDescent="0.25">
      <c r="AD39863"/>
    </row>
    <row r="39864" spans="30:30" x14ac:dyDescent="0.25">
      <c r="AD39864"/>
    </row>
    <row r="39865" spans="30:30" x14ac:dyDescent="0.25">
      <c r="AD39865"/>
    </row>
    <row r="39866" spans="30:30" x14ac:dyDescent="0.25">
      <c r="AD39866"/>
    </row>
    <row r="39867" spans="30:30" x14ac:dyDescent="0.25">
      <c r="AD39867"/>
    </row>
    <row r="39868" spans="30:30" x14ac:dyDescent="0.25">
      <c r="AD39868"/>
    </row>
    <row r="39869" spans="30:30" x14ac:dyDescent="0.25">
      <c r="AD39869"/>
    </row>
    <row r="39870" spans="30:30" x14ac:dyDescent="0.25">
      <c r="AD39870"/>
    </row>
    <row r="39871" spans="30:30" x14ac:dyDescent="0.25">
      <c r="AD39871"/>
    </row>
    <row r="39872" spans="30:30" x14ac:dyDescent="0.25">
      <c r="AD39872"/>
    </row>
    <row r="39873" spans="30:30" x14ac:dyDescent="0.25">
      <c r="AD39873"/>
    </row>
    <row r="39874" spans="30:30" x14ac:dyDescent="0.25">
      <c r="AD39874"/>
    </row>
    <row r="39875" spans="30:30" x14ac:dyDescent="0.25">
      <c r="AD39875"/>
    </row>
    <row r="39876" spans="30:30" x14ac:dyDescent="0.25">
      <c r="AD39876"/>
    </row>
    <row r="39877" spans="30:30" x14ac:dyDescent="0.25">
      <c r="AD39877"/>
    </row>
    <row r="39878" spans="30:30" x14ac:dyDescent="0.25">
      <c r="AD39878"/>
    </row>
    <row r="39879" spans="30:30" x14ac:dyDescent="0.25">
      <c r="AD39879"/>
    </row>
    <row r="39880" spans="30:30" x14ac:dyDescent="0.25">
      <c r="AD39880"/>
    </row>
    <row r="39881" spans="30:30" x14ac:dyDescent="0.25">
      <c r="AD39881"/>
    </row>
    <row r="39882" spans="30:30" x14ac:dyDescent="0.25">
      <c r="AD39882"/>
    </row>
    <row r="39883" spans="30:30" x14ac:dyDescent="0.25">
      <c r="AD39883"/>
    </row>
    <row r="39884" spans="30:30" x14ac:dyDescent="0.25">
      <c r="AD39884"/>
    </row>
    <row r="39885" spans="30:30" x14ac:dyDescent="0.25">
      <c r="AD39885"/>
    </row>
    <row r="39886" spans="30:30" x14ac:dyDescent="0.25">
      <c r="AD39886"/>
    </row>
    <row r="39887" spans="30:30" x14ac:dyDescent="0.25">
      <c r="AD39887"/>
    </row>
    <row r="39888" spans="30:30" x14ac:dyDescent="0.25">
      <c r="AD39888"/>
    </row>
    <row r="39889" spans="30:30" x14ac:dyDescent="0.25">
      <c r="AD39889"/>
    </row>
    <row r="39890" spans="30:30" x14ac:dyDescent="0.25">
      <c r="AD39890"/>
    </row>
    <row r="39891" spans="30:30" x14ac:dyDescent="0.25">
      <c r="AD39891"/>
    </row>
    <row r="39892" spans="30:30" x14ac:dyDescent="0.25">
      <c r="AD39892"/>
    </row>
    <row r="39893" spans="30:30" x14ac:dyDescent="0.25">
      <c r="AD39893"/>
    </row>
    <row r="39894" spans="30:30" x14ac:dyDescent="0.25">
      <c r="AD39894"/>
    </row>
    <row r="39895" spans="30:30" x14ac:dyDescent="0.25">
      <c r="AD39895"/>
    </row>
    <row r="39896" spans="30:30" x14ac:dyDescent="0.25">
      <c r="AD39896"/>
    </row>
    <row r="39897" spans="30:30" x14ac:dyDescent="0.25">
      <c r="AD39897"/>
    </row>
    <row r="39898" spans="30:30" x14ac:dyDescent="0.25">
      <c r="AD39898"/>
    </row>
    <row r="39899" spans="30:30" x14ac:dyDescent="0.25">
      <c r="AD39899"/>
    </row>
    <row r="39900" spans="30:30" x14ac:dyDescent="0.25">
      <c r="AD39900"/>
    </row>
    <row r="39901" spans="30:30" x14ac:dyDescent="0.25">
      <c r="AD39901"/>
    </row>
    <row r="39902" spans="30:30" x14ac:dyDescent="0.25">
      <c r="AD39902"/>
    </row>
    <row r="39903" spans="30:30" x14ac:dyDescent="0.25">
      <c r="AD39903"/>
    </row>
    <row r="39904" spans="30:30" x14ac:dyDescent="0.25">
      <c r="AD39904"/>
    </row>
    <row r="39905" spans="30:30" x14ac:dyDescent="0.25">
      <c r="AD39905"/>
    </row>
    <row r="39906" spans="30:30" x14ac:dyDescent="0.25">
      <c r="AD39906"/>
    </row>
    <row r="39907" spans="30:30" x14ac:dyDescent="0.25">
      <c r="AD39907"/>
    </row>
    <row r="39908" spans="30:30" x14ac:dyDescent="0.25">
      <c r="AD39908"/>
    </row>
    <row r="39909" spans="30:30" x14ac:dyDescent="0.25">
      <c r="AD39909"/>
    </row>
    <row r="39910" spans="30:30" x14ac:dyDescent="0.25">
      <c r="AD39910"/>
    </row>
    <row r="39911" spans="30:30" x14ac:dyDescent="0.25">
      <c r="AD39911"/>
    </row>
    <row r="39912" spans="30:30" x14ac:dyDescent="0.25">
      <c r="AD39912"/>
    </row>
    <row r="39913" spans="30:30" x14ac:dyDescent="0.25">
      <c r="AD39913"/>
    </row>
    <row r="39914" spans="30:30" x14ac:dyDescent="0.25">
      <c r="AD39914"/>
    </row>
    <row r="39915" spans="30:30" x14ac:dyDescent="0.25">
      <c r="AD39915"/>
    </row>
    <row r="39916" spans="30:30" x14ac:dyDescent="0.25">
      <c r="AD39916"/>
    </row>
    <row r="39917" spans="30:30" x14ac:dyDescent="0.25">
      <c r="AD39917"/>
    </row>
    <row r="39918" spans="30:30" x14ac:dyDescent="0.25">
      <c r="AD39918"/>
    </row>
    <row r="39919" spans="30:30" x14ac:dyDescent="0.25">
      <c r="AD39919"/>
    </row>
    <row r="39920" spans="30:30" x14ac:dyDescent="0.25">
      <c r="AD39920"/>
    </row>
    <row r="39921" spans="30:30" x14ac:dyDescent="0.25">
      <c r="AD39921"/>
    </row>
    <row r="39922" spans="30:30" x14ac:dyDescent="0.25">
      <c r="AD39922"/>
    </row>
    <row r="39923" spans="30:30" x14ac:dyDescent="0.25">
      <c r="AD39923"/>
    </row>
    <row r="39924" spans="30:30" x14ac:dyDescent="0.25">
      <c r="AD39924"/>
    </row>
    <row r="39925" spans="30:30" x14ac:dyDescent="0.25">
      <c r="AD39925"/>
    </row>
    <row r="39926" spans="30:30" x14ac:dyDescent="0.25">
      <c r="AD39926"/>
    </row>
    <row r="39927" spans="30:30" x14ac:dyDescent="0.25">
      <c r="AD39927"/>
    </row>
    <row r="39928" spans="30:30" x14ac:dyDescent="0.25">
      <c r="AD39928"/>
    </row>
    <row r="39929" spans="30:30" x14ac:dyDescent="0.25">
      <c r="AD39929"/>
    </row>
    <row r="39930" spans="30:30" x14ac:dyDescent="0.25">
      <c r="AD39930"/>
    </row>
    <row r="39931" spans="30:30" x14ac:dyDescent="0.25">
      <c r="AD39931"/>
    </row>
    <row r="39932" spans="30:30" x14ac:dyDescent="0.25">
      <c r="AD39932"/>
    </row>
    <row r="39933" spans="30:30" x14ac:dyDescent="0.25">
      <c r="AD39933"/>
    </row>
    <row r="39934" spans="30:30" x14ac:dyDescent="0.25">
      <c r="AD39934"/>
    </row>
    <row r="39935" spans="30:30" x14ac:dyDescent="0.25">
      <c r="AD39935"/>
    </row>
    <row r="39936" spans="30:30" x14ac:dyDescent="0.25">
      <c r="AD39936"/>
    </row>
    <row r="39937" spans="30:30" x14ac:dyDescent="0.25">
      <c r="AD39937"/>
    </row>
    <row r="39938" spans="30:30" x14ac:dyDescent="0.25">
      <c r="AD39938"/>
    </row>
    <row r="39939" spans="30:30" x14ac:dyDescent="0.25">
      <c r="AD39939"/>
    </row>
    <row r="39940" spans="30:30" x14ac:dyDescent="0.25">
      <c r="AD39940"/>
    </row>
    <row r="39941" spans="30:30" x14ac:dyDescent="0.25">
      <c r="AD39941"/>
    </row>
    <row r="39942" spans="30:30" x14ac:dyDescent="0.25">
      <c r="AD39942"/>
    </row>
    <row r="39943" spans="30:30" x14ac:dyDescent="0.25">
      <c r="AD39943"/>
    </row>
    <row r="39944" spans="30:30" x14ac:dyDescent="0.25">
      <c r="AD39944"/>
    </row>
    <row r="39945" spans="30:30" x14ac:dyDescent="0.25">
      <c r="AD39945"/>
    </row>
    <row r="39946" spans="30:30" x14ac:dyDescent="0.25">
      <c r="AD39946"/>
    </row>
    <row r="39947" spans="30:30" x14ac:dyDescent="0.25">
      <c r="AD39947"/>
    </row>
    <row r="39948" spans="30:30" x14ac:dyDescent="0.25">
      <c r="AD39948"/>
    </row>
    <row r="39949" spans="30:30" x14ac:dyDescent="0.25">
      <c r="AD39949"/>
    </row>
    <row r="39950" spans="30:30" x14ac:dyDescent="0.25">
      <c r="AD39950"/>
    </row>
    <row r="39951" spans="30:30" x14ac:dyDescent="0.25">
      <c r="AD39951"/>
    </row>
    <row r="39952" spans="30:30" x14ac:dyDescent="0.25">
      <c r="AD39952"/>
    </row>
    <row r="39953" spans="30:30" x14ac:dyDescent="0.25">
      <c r="AD39953"/>
    </row>
    <row r="39954" spans="30:30" x14ac:dyDescent="0.25">
      <c r="AD39954"/>
    </row>
    <row r="39955" spans="30:30" x14ac:dyDescent="0.25">
      <c r="AD39955"/>
    </row>
    <row r="39956" spans="30:30" x14ac:dyDescent="0.25">
      <c r="AD39956"/>
    </row>
    <row r="39957" spans="30:30" x14ac:dyDescent="0.25">
      <c r="AD39957"/>
    </row>
    <row r="39958" spans="30:30" x14ac:dyDescent="0.25">
      <c r="AD39958"/>
    </row>
    <row r="39959" spans="30:30" x14ac:dyDescent="0.25">
      <c r="AD39959"/>
    </row>
    <row r="39960" spans="30:30" x14ac:dyDescent="0.25">
      <c r="AD39960"/>
    </row>
    <row r="39961" spans="30:30" x14ac:dyDescent="0.25">
      <c r="AD39961"/>
    </row>
    <row r="39962" spans="30:30" x14ac:dyDescent="0.25">
      <c r="AD39962"/>
    </row>
    <row r="39963" spans="30:30" x14ac:dyDescent="0.25">
      <c r="AD39963"/>
    </row>
    <row r="39964" spans="30:30" x14ac:dyDescent="0.25">
      <c r="AD39964"/>
    </row>
    <row r="39965" spans="30:30" x14ac:dyDescent="0.25">
      <c r="AD39965"/>
    </row>
    <row r="39966" spans="30:30" x14ac:dyDescent="0.25">
      <c r="AD39966"/>
    </row>
    <row r="39967" spans="30:30" x14ac:dyDescent="0.25">
      <c r="AD39967"/>
    </row>
    <row r="39968" spans="30:30" x14ac:dyDescent="0.25">
      <c r="AD39968"/>
    </row>
    <row r="39969" spans="30:30" x14ac:dyDescent="0.25">
      <c r="AD39969"/>
    </row>
    <row r="39970" spans="30:30" x14ac:dyDescent="0.25">
      <c r="AD39970"/>
    </row>
    <row r="39971" spans="30:30" x14ac:dyDescent="0.25">
      <c r="AD39971"/>
    </row>
    <row r="39972" spans="30:30" x14ac:dyDescent="0.25">
      <c r="AD39972"/>
    </row>
    <row r="39973" spans="30:30" x14ac:dyDescent="0.25">
      <c r="AD39973"/>
    </row>
    <row r="39974" spans="30:30" x14ac:dyDescent="0.25">
      <c r="AD39974"/>
    </row>
    <row r="39975" spans="30:30" x14ac:dyDescent="0.25">
      <c r="AD39975"/>
    </row>
    <row r="39976" spans="30:30" x14ac:dyDescent="0.25">
      <c r="AD39976"/>
    </row>
    <row r="39977" spans="30:30" x14ac:dyDescent="0.25">
      <c r="AD39977"/>
    </row>
    <row r="39978" spans="30:30" x14ac:dyDescent="0.25">
      <c r="AD39978"/>
    </row>
    <row r="39979" spans="30:30" x14ac:dyDescent="0.25">
      <c r="AD39979"/>
    </row>
    <row r="39980" spans="30:30" x14ac:dyDescent="0.25">
      <c r="AD39980"/>
    </row>
    <row r="39981" spans="30:30" x14ac:dyDescent="0.25">
      <c r="AD39981"/>
    </row>
    <row r="39982" spans="30:30" x14ac:dyDescent="0.25">
      <c r="AD39982"/>
    </row>
    <row r="39983" spans="30:30" x14ac:dyDescent="0.25">
      <c r="AD39983"/>
    </row>
    <row r="39984" spans="30:30" x14ac:dyDescent="0.25">
      <c r="AD39984"/>
    </row>
    <row r="39985" spans="30:30" x14ac:dyDescent="0.25">
      <c r="AD39985"/>
    </row>
    <row r="39986" spans="30:30" x14ac:dyDescent="0.25">
      <c r="AD39986"/>
    </row>
    <row r="39987" spans="30:30" x14ac:dyDescent="0.25">
      <c r="AD39987"/>
    </row>
    <row r="39988" spans="30:30" x14ac:dyDescent="0.25">
      <c r="AD39988"/>
    </row>
    <row r="39989" spans="30:30" x14ac:dyDescent="0.25">
      <c r="AD39989"/>
    </row>
    <row r="39990" spans="30:30" x14ac:dyDescent="0.25">
      <c r="AD39990"/>
    </row>
    <row r="39991" spans="30:30" x14ac:dyDescent="0.25">
      <c r="AD39991"/>
    </row>
    <row r="39992" spans="30:30" x14ac:dyDescent="0.25">
      <c r="AD39992"/>
    </row>
    <row r="39993" spans="30:30" x14ac:dyDescent="0.25">
      <c r="AD39993"/>
    </row>
    <row r="39994" spans="30:30" x14ac:dyDescent="0.25">
      <c r="AD39994"/>
    </row>
    <row r="39995" spans="30:30" x14ac:dyDescent="0.25">
      <c r="AD39995"/>
    </row>
    <row r="39996" spans="30:30" x14ac:dyDescent="0.25">
      <c r="AD39996"/>
    </row>
    <row r="39997" spans="30:30" x14ac:dyDescent="0.25">
      <c r="AD39997"/>
    </row>
    <row r="39998" spans="30:30" x14ac:dyDescent="0.25">
      <c r="AD39998"/>
    </row>
    <row r="39999" spans="30:30" x14ac:dyDescent="0.25">
      <c r="AD39999"/>
    </row>
    <row r="40000" spans="30:30" x14ac:dyDescent="0.25">
      <c r="AD40000"/>
    </row>
    <row r="40001" spans="30:30" x14ac:dyDescent="0.25">
      <c r="AD40001"/>
    </row>
    <row r="40002" spans="30:30" x14ac:dyDescent="0.25">
      <c r="AD40002"/>
    </row>
    <row r="40003" spans="30:30" x14ac:dyDescent="0.25">
      <c r="AD40003"/>
    </row>
    <row r="40004" spans="30:30" x14ac:dyDescent="0.25">
      <c r="AD40004"/>
    </row>
    <row r="40005" spans="30:30" x14ac:dyDescent="0.25">
      <c r="AD40005"/>
    </row>
    <row r="40006" spans="30:30" x14ac:dyDescent="0.25">
      <c r="AD40006"/>
    </row>
    <row r="40007" spans="30:30" x14ac:dyDescent="0.25">
      <c r="AD40007"/>
    </row>
    <row r="40008" spans="30:30" x14ac:dyDescent="0.25">
      <c r="AD40008"/>
    </row>
    <row r="40009" spans="30:30" x14ac:dyDescent="0.25">
      <c r="AD40009"/>
    </row>
    <row r="40010" spans="30:30" x14ac:dyDescent="0.25">
      <c r="AD40010"/>
    </row>
    <row r="40011" spans="30:30" x14ac:dyDescent="0.25">
      <c r="AD40011"/>
    </row>
    <row r="40012" spans="30:30" x14ac:dyDescent="0.25">
      <c r="AD40012"/>
    </row>
    <row r="40013" spans="30:30" x14ac:dyDescent="0.25">
      <c r="AD40013"/>
    </row>
    <row r="40014" spans="30:30" x14ac:dyDescent="0.25">
      <c r="AD40014"/>
    </row>
    <row r="40015" spans="30:30" x14ac:dyDescent="0.25">
      <c r="AD40015"/>
    </row>
    <row r="40016" spans="30:30" x14ac:dyDescent="0.25">
      <c r="AD40016"/>
    </row>
    <row r="40017" spans="30:30" x14ac:dyDescent="0.25">
      <c r="AD40017"/>
    </row>
    <row r="40018" spans="30:30" x14ac:dyDescent="0.25">
      <c r="AD40018"/>
    </row>
    <row r="40019" spans="30:30" x14ac:dyDescent="0.25">
      <c r="AD40019"/>
    </row>
    <row r="40020" spans="30:30" x14ac:dyDescent="0.25">
      <c r="AD40020"/>
    </row>
    <row r="40021" spans="30:30" x14ac:dyDescent="0.25">
      <c r="AD40021"/>
    </row>
    <row r="40022" spans="30:30" x14ac:dyDescent="0.25">
      <c r="AD40022"/>
    </row>
    <row r="40023" spans="30:30" x14ac:dyDescent="0.25">
      <c r="AD40023"/>
    </row>
    <row r="40024" spans="30:30" x14ac:dyDescent="0.25">
      <c r="AD40024"/>
    </row>
    <row r="40025" spans="30:30" x14ac:dyDescent="0.25">
      <c r="AD40025"/>
    </row>
    <row r="40026" spans="30:30" x14ac:dyDescent="0.25">
      <c r="AD40026"/>
    </row>
    <row r="40027" spans="30:30" x14ac:dyDescent="0.25">
      <c r="AD40027"/>
    </row>
    <row r="40028" spans="30:30" x14ac:dyDescent="0.25">
      <c r="AD40028"/>
    </row>
    <row r="40029" spans="30:30" x14ac:dyDescent="0.25">
      <c r="AD40029"/>
    </row>
    <row r="40030" spans="30:30" x14ac:dyDescent="0.25">
      <c r="AD40030"/>
    </row>
    <row r="40031" spans="30:30" x14ac:dyDescent="0.25">
      <c r="AD40031"/>
    </row>
    <row r="40032" spans="30:30" x14ac:dyDescent="0.25">
      <c r="AD40032"/>
    </row>
    <row r="40033" spans="30:30" x14ac:dyDescent="0.25">
      <c r="AD40033"/>
    </row>
    <row r="40034" spans="30:30" x14ac:dyDescent="0.25">
      <c r="AD40034"/>
    </row>
    <row r="40035" spans="30:30" x14ac:dyDescent="0.25">
      <c r="AD40035"/>
    </row>
    <row r="40036" spans="30:30" x14ac:dyDescent="0.25">
      <c r="AD40036"/>
    </row>
    <row r="40037" spans="30:30" x14ac:dyDescent="0.25">
      <c r="AD40037"/>
    </row>
    <row r="40038" spans="30:30" x14ac:dyDescent="0.25">
      <c r="AD40038"/>
    </row>
    <row r="40039" spans="30:30" x14ac:dyDescent="0.25">
      <c r="AD40039"/>
    </row>
    <row r="40040" spans="30:30" x14ac:dyDescent="0.25">
      <c r="AD40040"/>
    </row>
    <row r="40041" spans="30:30" x14ac:dyDescent="0.25">
      <c r="AD40041"/>
    </row>
    <row r="40042" spans="30:30" x14ac:dyDescent="0.25">
      <c r="AD40042"/>
    </row>
    <row r="40043" spans="30:30" x14ac:dyDescent="0.25">
      <c r="AD40043"/>
    </row>
    <row r="40044" spans="30:30" x14ac:dyDescent="0.25">
      <c r="AD40044"/>
    </row>
    <row r="40045" spans="30:30" x14ac:dyDescent="0.25">
      <c r="AD40045"/>
    </row>
    <row r="40046" spans="30:30" x14ac:dyDescent="0.25">
      <c r="AD40046"/>
    </row>
    <row r="40047" spans="30:30" x14ac:dyDescent="0.25">
      <c r="AD40047"/>
    </row>
    <row r="40048" spans="30:30" x14ac:dyDescent="0.25">
      <c r="AD40048"/>
    </row>
    <row r="40049" spans="30:30" x14ac:dyDescent="0.25">
      <c r="AD40049"/>
    </row>
    <row r="40050" spans="30:30" x14ac:dyDescent="0.25">
      <c r="AD40050"/>
    </row>
    <row r="40051" spans="30:30" x14ac:dyDescent="0.25">
      <c r="AD40051"/>
    </row>
    <row r="40052" spans="30:30" x14ac:dyDescent="0.25">
      <c r="AD40052"/>
    </row>
    <row r="40053" spans="30:30" x14ac:dyDescent="0.25">
      <c r="AD40053"/>
    </row>
    <row r="40054" spans="30:30" x14ac:dyDescent="0.25">
      <c r="AD40054"/>
    </row>
    <row r="40055" spans="30:30" x14ac:dyDescent="0.25">
      <c r="AD40055"/>
    </row>
    <row r="40056" spans="30:30" x14ac:dyDescent="0.25">
      <c r="AD40056"/>
    </row>
    <row r="40057" spans="30:30" x14ac:dyDescent="0.25">
      <c r="AD40057"/>
    </row>
    <row r="40058" spans="30:30" x14ac:dyDescent="0.25">
      <c r="AD40058"/>
    </row>
    <row r="40059" spans="30:30" x14ac:dyDescent="0.25">
      <c r="AD40059"/>
    </row>
    <row r="40060" spans="30:30" x14ac:dyDescent="0.25">
      <c r="AD40060"/>
    </row>
    <row r="40061" spans="30:30" x14ac:dyDescent="0.25">
      <c r="AD40061"/>
    </row>
    <row r="40062" spans="30:30" x14ac:dyDescent="0.25">
      <c r="AD40062"/>
    </row>
    <row r="40063" spans="30:30" x14ac:dyDescent="0.25">
      <c r="AD40063"/>
    </row>
    <row r="40064" spans="30:30" x14ac:dyDescent="0.25">
      <c r="AD40064"/>
    </row>
    <row r="40065" spans="30:30" x14ac:dyDescent="0.25">
      <c r="AD40065"/>
    </row>
    <row r="40066" spans="30:30" x14ac:dyDescent="0.25">
      <c r="AD40066"/>
    </row>
    <row r="40067" spans="30:30" x14ac:dyDescent="0.25">
      <c r="AD40067"/>
    </row>
    <row r="40068" spans="30:30" x14ac:dyDescent="0.25">
      <c r="AD40068"/>
    </row>
    <row r="40069" spans="30:30" x14ac:dyDescent="0.25">
      <c r="AD40069"/>
    </row>
    <row r="40070" spans="30:30" x14ac:dyDescent="0.25">
      <c r="AD40070"/>
    </row>
    <row r="40071" spans="30:30" x14ac:dyDescent="0.25">
      <c r="AD40071"/>
    </row>
    <row r="40072" spans="30:30" x14ac:dyDescent="0.25">
      <c r="AD40072"/>
    </row>
    <row r="40073" spans="30:30" x14ac:dyDescent="0.25">
      <c r="AD40073"/>
    </row>
    <row r="40074" spans="30:30" x14ac:dyDescent="0.25">
      <c r="AD40074"/>
    </row>
    <row r="40075" spans="30:30" x14ac:dyDescent="0.25">
      <c r="AD40075"/>
    </row>
    <row r="40076" spans="30:30" x14ac:dyDescent="0.25">
      <c r="AD40076"/>
    </row>
    <row r="40077" spans="30:30" x14ac:dyDescent="0.25">
      <c r="AD40077"/>
    </row>
    <row r="40078" spans="30:30" x14ac:dyDescent="0.25">
      <c r="AD40078"/>
    </row>
    <row r="40079" spans="30:30" x14ac:dyDescent="0.25">
      <c r="AD40079"/>
    </row>
    <row r="40080" spans="30:30" x14ac:dyDescent="0.25">
      <c r="AD40080"/>
    </row>
    <row r="40081" spans="30:30" x14ac:dyDescent="0.25">
      <c r="AD40081"/>
    </row>
    <row r="40082" spans="30:30" x14ac:dyDescent="0.25">
      <c r="AD40082"/>
    </row>
    <row r="40083" spans="30:30" x14ac:dyDescent="0.25">
      <c r="AD40083"/>
    </row>
    <row r="40084" spans="30:30" x14ac:dyDescent="0.25">
      <c r="AD40084"/>
    </row>
    <row r="40085" spans="30:30" x14ac:dyDescent="0.25">
      <c r="AD40085"/>
    </row>
    <row r="40086" spans="30:30" x14ac:dyDescent="0.25">
      <c r="AD40086"/>
    </row>
    <row r="40087" spans="30:30" x14ac:dyDescent="0.25">
      <c r="AD40087"/>
    </row>
    <row r="40088" spans="30:30" x14ac:dyDescent="0.25">
      <c r="AD40088"/>
    </row>
    <row r="40089" spans="30:30" x14ac:dyDescent="0.25">
      <c r="AD40089"/>
    </row>
    <row r="40090" spans="30:30" x14ac:dyDescent="0.25">
      <c r="AD40090"/>
    </row>
    <row r="40091" spans="30:30" x14ac:dyDescent="0.25">
      <c r="AD40091"/>
    </row>
    <row r="40092" spans="30:30" x14ac:dyDescent="0.25">
      <c r="AD40092"/>
    </row>
    <row r="40093" spans="30:30" x14ac:dyDescent="0.25">
      <c r="AD40093"/>
    </row>
    <row r="40094" spans="30:30" x14ac:dyDescent="0.25">
      <c r="AD40094"/>
    </row>
    <row r="40095" spans="30:30" x14ac:dyDescent="0.25">
      <c r="AD40095"/>
    </row>
    <row r="40096" spans="30:30" x14ac:dyDescent="0.25">
      <c r="AD40096"/>
    </row>
    <row r="40097" spans="30:30" x14ac:dyDescent="0.25">
      <c r="AD40097"/>
    </row>
    <row r="40098" spans="30:30" x14ac:dyDescent="0.25">
      <c r="AD40098"/>
    </row>
    <row r="40099" spans="30:30" x14ac:dyDescent="0.25">
      <c r="AD40099"/>
    </row>
    <row r="40100" spans="30:30" x14ac:dyDescent="0.25">
      <c r="AD40100"/>
    </row>
    <row r="40101" spans="30:30" x14ac:dyDescent="0.25">
      <c r="AD40101"/>
    </row>
    <row r="40102" spans="30:30" x14ac:dyDescent="0.25">
      <c r="AD40102"/>
    </row>
    <row r="40103" spans="30:30" x14ac:dyDescent="0.25">
      <c r="AD40103"/>
    </row>
    <row r="40104" spans="30:30" x14ac:dyDescent="0.25">
      <c r="AD40104"/>
    </row>
    <row r="40105" spans="30:30" x14ac:dyDescent="0.25">
      <c r="AD40105"/>
    </row>
    <row r="40106" spans="30:30" x14ac:dyDescent="0.25">
      <c r="AD40106"/>
    </row>
    <row r="40107" spans="30:30" x14ac:dyDescent="0.25">
      <c r="AD40107"/>
    </row>
    <row r="40108" spans="30:30" x14ac:dyDescent="0.25">
      <c r="AD40108"/>
    </row>
    <row r="40109" spans="30:30" x14ac:dyDescent="0.25">
      <c r="AD40109"/>
    </row>
    <row r="40110" spans="30:30" x14ac:dyDescent="0.25">
      <c r="AD40110"/>
    </row>
    <row r="40111" spans="30:30" x14ac:dyDescent="0.25">
      <c r="AD40111"/>
    </row>
    <row r="40112" spans="30:30" x14ac:dyDescent="0.25">
      <c r="AD40112"/>
    </row>
    <row r="40113" spans="30:30" x14ac:dyDescent="0.25">
      <c r="AD40113"/>
    </row>
    <row r="40114" spans="30:30" x14ac:dyDescent="0.25">
      <c r="AD40114"/>
    </row>
    <row r="40115" spans="30:30" x14ac:dyDescent="0.25">
      <c r="AD40115"/>
    </row>
    <row r="40116" spans="30:30" x14ac:dyDescent="0.25">
      <c r="AD40116"/>
    </row>
    <row r="40117" spans="30:30" x14ac:dyDescent="0.25">
      <c r="AD40117"/>
    </row>
    <row r="40118" spans="30:30" x14ac:dyDescent="0.25">
      <c r="AD40118"/>
    </row>
    <row r="40119" spans="30:30" x14ac:dyDescent="0.25">
      <c r="AD40119"/>
    </row>
    <row r="40120" spans="30:30" x14ac:dyDescent="0.25">
      <c r="AD40120"/>
    </row>
    <row r="40121" spans="30:30" x14ac:dyDescent="0.25">
      <c r="AD40121"/>
    </row>
    <row r="40122" spans="30:30" x14ac:dyDescent="0.25">
      <c r="AD40122"/>
    </row>
    <row r="40123" spans="30:30" x14ac:dyDescent="0.25">
      <c r="AD40123"/>
    </row>
    <row r="40124" spans="30:30" x14ac:dyDescent="0.25">
      <c r="AD40124"/>
    </row>
    <row r="40125" spans="30:30" x14ac:dyDescent="0.25">
      <c r="AD40125"/>
    </row>
    <row r="40126" spans="30:30" x14ac:dyDescent="0.25">
      <c r="AD40126"/>
    </row>
    <row r="40127" spans="30:30" x14ac:dyDescent="0.25">
      <c r="AD40127"/>
    </row>
    <row r="40128" spans="30:30" x14ac:dyDescent="0.25">
      <c r="AD40128"/>
    </row>
    <row r="40129" spans="30:30" x14ac:dyDescent="0.25">
      <c r="AD40129"/>
    </row>
    <row r="40130" spans="30:30" x14ac:dyDescent="0.25">
      <c r="AD40130"/>
    </row>
    <row r="40131" spans="30:30" x14ac:dyDescent="0.25">
      <c r="AD40131"/>
    </row>
    <row r="40132" spans="30:30" x14ac:dyDescent="0.25">
      <c r="AD40132"/>
    </row>
    <row r="40133" spans="30:30" x14ac:dyDescent="0.25">
      <c r="AD40133"/>
    </row>
    <row r="40134" spans="30:30" x14ac:dyDescent="0.25">
      <c r="AD40134"/>
    </row>
    <row r="40135" spans="30:30" x14ac:dyDescent="0.25">
      <c r="AD40135"/>
    </row>
    <row r="40136" spans="30:30" x14ac:dyDescent="0.25">
      <c r="AD40136"/>
    </row>
    <row r="40137" spans="30:30" x14ac:dyDescent="0.25">
      <c r="AD40137"/>
    </row>
    <row r="40138" spans="30:30" x14ac:dyDescent="0.25">
      <c r="AD40138"/>
    </row>
    <row r="40139" spans="30:30" x14ac:dyDescent="0.25">
      <c r="AD40139"/>
    </row>
    <row r="40140" spans="30:30" x14ac:dyDescent="0.25">
      <c r="AD40140"/>
    </row>
    <row r="40141" spans="30:30" x14ac:dyDescent="0.25">
      <c r="AD40141"/>
    </row>
    <row r="40142" spans="30:30" x14ac:dyDescent="0.25">
      <c r="AD40142"/>
    </row>
    <row r="40143" spans="30:30" x14ac:dyDescent="0.25">
      <c r="AD40143"/>
    </row>
    <row r="40144" spans="30:30" x14ac:dyDescent="0.25">
      <c r="AD40144"/>
    </row>
    <row r="40145" spans="30:30" x14ac:dyDescent="0.25">
      <c r="AD40145"/>
    </row>
    <row r="40146" spans="30:30" x14ac:dyDescent="0.25">
      <c r="AD40146"/>
    </row>
    <row r="40147" spans="30:30" x14ac:dyDescent="0.25">
      <c r="AD40147"/>
    </row>
    <row r="40148" spans="30:30" x14ac:dyDescent="0.25">
      <c r="AD40148"/>
    </row>
    <row r="40149" spans="30:30" x14ac:dyDescent="0.25">
      <c r="AD40149"/>
    </row>
    <row r="40150" spans="30:30" x14ac:dyDescent="0.25">
      <c r="AD40150"/>
    </row>
    <row r="40151" spans="30:30" x14ac:dyDescent="0.25">
      <c r="AD40151"/>
    </row>
    <row r="40152" spans="30:30" x14ac:dyDescent="0.25">
      <c r="AD40152"/>
    </row>
    <row r="40153" spans="30:30" x14ac:dyDescent="0.25">
      <c r="AD40153"/>
    </row>
    <row r="40154" spans="30:30" x14ac:dyDescent="0.25">
      <c r="AD40154"/>
    </row>
    <row r="40155" spans="30:30" x14ac:dyDescent="0.25">
      <c r="AD40155"/>
    </row>
    <row r="40156" spans="30:30" x14ac:dyDescent="0.25">
      <c r="AD40156"/>
    </row>
    <row r="40157" spans="30:30" x14ac:dyDescent="0.25">
      <c r="AD40157"/>
    </row>
    <row r="40158" spans="30:30" x14ac:dyDescent="0.25">
      <c r="AD40158"/>
    </row>
    <row r="40159" spans="30:30" x14ac:dyDescent="0.25">
      <c r="AD40159"/>
    </row>
    <row r="40160" spans="30:30" x14ac:dyDescent="0.25">
      <c r="AD40160"/>
    </row>
    <row r="40161" spans="30:30" x14ac:dyDescent="0.25">
      <c r="AD40161"/>
    </row>
    <row r="40162" spans="30:30" x14ac:dyDescent="0.25">
      <c r="AD40162"/>
    </row>
    <row r="40163" spans="30:30" x14ac:dyDescent="0.25">
      <c r="AD40163"/>
    </row>
    <row r="40164" spans="30:30" x14ac:dyDescent="0.25">
      <c r="AD40164"/>
    </row>
    <row r="40165" spans="30:30" x14ac:dyDescent="0.25">
      <c r="AD40165"/>
    </row>
    <row r="40166" spans="30:30" x14ac:dyDescent="0.25">
      <c r="AD40166"/>
    </row>
    <row r="40167" spans="30:30" x14ac:dyDescent="0.25">
      <c r="AD40167"/>
    </row>
    <row r="40168" spans="30:30" x14ac:dyDescent="0.25">
      <c r="AD40168"/>
    </row>
    <row r="40169" spans="30:30" x14ac:dyDescent="0.25">
      <c r="AD40169"/>
    </row>
    <row r="40170" spans="30:30" x14ac:dyDescent="0.25">
      <c r="AD40170"/>
    </row>
    <row r="40171" spans="30:30" x14ac:dyDescent="0.25">
      <c r="AD40171"/>
    </row>
    <row r="40172" spans="30:30" x14ac:dyDescent="0.25">
      <c r="AD40172"/>
    </row>
    <row r="40173" spans="30:30" x14ac:dyDescent="0.25">
      <c r="AD40173"/>
    </row>
    <row r="40174" spans="30:30" x14ac:dyDescent="0.25">
      <c r="AD40174"/>
    </row>
    <row r="40175" spans="30:30" x14ac:dyDescent="0.25">
      <c r="AD40175"/>
    </row>
    <row r="40176" spans="30:30" x14ac:dyDescent="0.25">
      <c r="AD40176"/>
    </row>
    <row r="40177" spans="30:30" x14ac:dyDescent="0.25">
      <c r="AD40177"/>
    </row>
    <row r="40178" spans="30:30" x14ac:dyDescent="0.25">
      <c r="AD40178"/>
    </row>
    <row r="40179" spans="30:30" x14ac:dyDescent="0.25">
      <c r="AD40179"/>
    </row>
    <row r="40180" spans="30:30" x14ac:dyDescent="0.25">
      <c r="AD40180"/>
    </row>
    <row r="40181" spans="30:30" x14ac:dyDescent="0.25">
      <c r="AD40181"/>
    </row>
    <row r="40182" spans="30:30" x14ac:dyDescent="0.25">
      <c r="AD40182"/>
    </row>
    <row r="40183" spans="30:30" x14ac:dyDescent="0.25">
      <c r="AD40183"/>
    </row>
    <row r="40184" spans="30:30" x14ac:dyDescent="0.25">
      <c r="AD40184"/>
    </row>
    <row r="40185" spans="30:30" x14ac:dyDescent="0.25">
      <c r="AD40185"/>
    </row>
    <row r="40186" spans="30:30" x14ac:dyDescent="0.25">
      <c r="AD40186"/>
    </row>
    <row r="40187" spans="30:30" x14ac:dyDescent="0.25">
      <c r="AD40187"/>
    </row>
    <row r="40188" spans="30:30" x14ac:dyDescent="0.25">
      <c r="AD40188"/>
    </row>
    <row r="40189" spans="30:30" x14ac:dyDescent="0.25">
      <c r="AD40189"/>
    </row>
    <row r="40190" spans="30:30" x14ac:dyDescent="0.25">
      <c r="AD40190"/>
    </row>
    <row r="40191" spans="30:30" x14ac:dyDescent="0.25">
      <c r="AD40191"/>
    </row>
    <row r="40192" spans="30:30" x14ac:dyDescent="0.25">
      <c r="AD40192"/>
    </row>
    <row r="40193" spans="30:30" x14ac:dyDescent="0.25">
      <c r="AD40193"/>
    </row>
    <row r="40194" spans="30:30" x14ac:dyDescent="0.25">
      <c r="AD40194"/>
    </row>
    <row r="40195" spans="30:30" x14ac:dyDescent="0.25">
      <c r="AD40195"/>
    </row>
    <row r="40196" spans="30:30" x14ac:dyDescent="0.25">
      <c r="AD40196"/>
    </row>
    <row r="40197" spans="30:30" x14ac:dyDescent="0.25">
      <c r="AD40197"/>
    </row>
    <row r="40198" spans="30:30" x14ac:dyDescent="0.25">
      <c r="AD40198"/>
    </row>
    <row r="40199" spans="30:30" x14ac:dyDescent="0.25">
      <c r="AD40199"/>
    </row>
    <row r="40200" spans="30:30" x14ac:dyDescent="0.25">
      <c r="AD40200"/>
    </row>
    <row r="40201" spans="30:30" x14ac:dyDescent="0.25">
      <c r="AD40201"/>
    </row>
    <row r="40202" spans="30:30" x14ac:dyDescent="0.25">
      <c r="AD40202"/>
    </row>
    <row r="40203" spans="30:30" x14ac:dyDescent="0.25">
      <c r="AD40203"/>
    </row>
    <row r="40204" spans="30:30" x14ac:dyDescent="0.25">
      <c r="AD40204"/>
    </row>
    <row r="40205" spans="30:30" x14ac:dyDescent="0.25">
      <c r="AD40205"/>
    </row>
    <row r="40206" spans="30:30" x14ac:dyDescent="0.25">
      <c r="AD40206"/>
    </row>
    <row r="40207" spans="30:30" x14ac:dyDescent="0.25">
      <c r="AD40207"/>
    </row>
    <row r="40208" spans="30:30" x14ac:dyDescent="0.25">
      <c r="AD40208"/>
    </row>
    <row r="40209" spans="30:30" x14ac:dyDescent="0.25">
      <c r="AD40209"/>
    </row>
    <row r="40210" spans="30:30" x14ac:dyDescent="0.25">
      <c r="AD40210"/>
    </row>
    <row r="40211" spans="30:30" x14ac:dyDescent="0.25">
      <c r="AD40211"/>
    </row>
    <row r="40212" spans="30:30" x14ac:dyDescent="0.25">
      <c r="AD40212"/>
    </row>
    <row r="40213" spans="30:30" x14ac:dyDescent="0.25">
      <c r="AD40213"/>
    </row>
    <row r="40214" spans="30:30" x14ac:dyDescent="0.25">
      <c r="AD40214"/>
    </row>
    <row r="40215" spans="30:30" x14ac:dyDescent="0.25">
      <c r="AD40215"/>
    </row>
    <row r="40216" spans="30:30" x14ac:dyDescent="0.25">
      <c r="AD40216"/>
    </row>
    <row r="40217" spans="30:30" x14ac:dyDescent="0.25">
      <c r="AD40217"/>
    </row>
    <row r="40218" spans="30:30" x14ac:dyDescent="0.25">
      <c r="AD40218"/>
    </row>
    <row r="40219" spans="30:30" x14ac:dyDescent="0.25">
      <c r="AD40219"/>
    </row>
    <row r="40220" spans="30:30" x14ac:dyDescent="0.25">
      <c r="AD40220"/>
    </row>
    <row r="40221" spans="30:30" x14ac:dyDescent="0.25">
      <c r="AD40221"/>
    </row>
    <row r="40222" spans="30:30" x14ac:dyDescent="0.25">
      <c r="AD40222"/>
    </row>
    <row r="40223" spans="30:30" x14ac:dyDescent="0.25">
      <c r="AD40223"/>
    </row>
    <row r="40224" spans="30:30" x14ac:dyDescent="0.25">
      <c r="AD40224"/>
    </row>
    <row r="40225" spans="30:30" x14ac:dyDescent="0.25">
      <c r="AD40225"/>
    </row>
    <row r="40226" spans="30:30" x14ac:dyDescent="0.25">
      <c r="AD40226"/>
    </row>
    <row r="40227" spans="30:30" x14ac:dyDescent="0.25">
      <c r="AD40227"/>
    </row>
    <row r="40228" spans="30:30" x14ac:dyDescent="0.25">
      <c r="AD40228"/>
    </row>
    <row r="40229" spans="30:30" x14ac:dyDescent="0.25">
      <c r="AD40229"/>
    </row>
    <row r="40230" spans="30:30" x14ac:dyDescent="0.25">
      <c r="AD40230"/>
    </row>
    <row r="40231" spans="30:30" x14ac:dyDescent="0.25">
      <c r="AD40231"/>
    </row>
    <row r="40232" spans="30:30" x14ac:dyDescent="0.25">
      <c r="AD40232"/>
    </row>
    <row r="40233" spans="30:30" x14ac:dyDescent="0.25">
      <c r="AD40233"/>
    </row>
    <row r="40234" spans="30:30" x14ac:dyDescent="0.25">
      <c r="AD40234"/>
    </row>
    <row r="40235" spans="30:30" x14ac:dyDescent="0.25">
      <c r="AD40235"/>
    </row>
    <row r="40236" spans="30:30" x14ac:dyDescent="0.25">
      <c r="AD40236"/>
    </row>
    <row r="40237" spans="30:30" x14ac:dyDescent="0.25">
      <c r="AD40237"/>
    </row>
    <row r="40238" spans="30:30" x14ac:dyDescent="0.25">
      <c r="AD40238"/>
    </row>
    <row r="40239" spans="30:30" x14ac:dyDescent="0.25">
      <c r="AD40239"/>
    </row>
    <row r="40240" spans="30:30" x14ac:dyDescent="0.25">
      <c r="AD40240"/>
    </row>
    <row r="40241" spans="30:30" x14ac:dyDescent="0.25">
      <c r="AD40241"/>
    </row>
    <row r="40242" spans="30:30" x14ac:dyDescent="0.25">
      <c r="AD40242"/>
    </row>
    <row r="40243" spans="30:30" x14ac:dyDescent="0.25">
      <c r="AD40243"/>
    </row>
    <row r="40244" spans="30:30" x14ac:dyDescent="0.25">
      <c r="AD40244"/>
    </row>
    <row r="40245" spans="30:30" x14ac:dyDescent="0.25">
      <c r="AD40245"/>
    </row>
    <row r="40246" spans="30:30" x14ac:dyDescent="0.25">
      <c r="AD40246"/>
    </row>
    <row r="40247" spans="30:30" x14ac:dyDescent="0.25">
      <c r="AD40247"/>
    </row>
    <row r="40248" spans="30:30" x14ac:dyDescent="0.25">
      <c r="AD40248"/>
    </row>
    <row r="40249" spans="30:30" x14ac:dyDescent="0.25">
      <c r="AD40249"/>
    </row>
    <row r="40250" spans="30:30" x14ac:dyDescent="0.25">
      <c r="AD40250"/>
    </row>
    <row r="40251" spans="30:30" x14ac:dyDescent="0.25">
      <c r="AD40251"/>
    </row>
    <row r="40252" spans="30:30" x14ac:dyDescent="0.25">
      <c r="AD40252"/>
    </row>
    <row r="40253" spans="30:30" x14ac:dyDescent="0.25">
      <c r="AD40253"/>
    </row>
    <row r="40254" spans="30:30" x14ac:dyDescent="0.25">
      <c r="AD40254"/>
    </row>
    <row r="40255" spans="30:30" x14ac:dyDescent="0.25">
      <c r="AD40255"/>
    </row>
    <row r="40256" spans="30:30" x14ac:dyDescent="0.25">
      <c r="AD40256"/>
    </row>
    <row r="40257" spans="30:30" x14ac:dyDescent="0.25">
      <c r="AD40257"/>
    </row>
    <row r="40258" spans="30:30" x14ac:dyDescent="0.25">
      <c r="AD40258"/>
    </row>
    <row r="40259" spans="30:30" x14ac:dyDescent="0.25">
      <c r="AD40259"/>
    </row>
    <row r="40260" spans="30:30" x14ac:dyDescent="0.25">
      <c r="AD40260"/>
    </row>
    <row r="40261" spans="30:30" x14ac:dyDescent="0.25">
      <c r="AD40261"/>
    </row>
    <row r="40262" spans="30:30" x14ac:dyDescent="0.25">
      <c r="AD40262"/>
    </row>
    <row r="40263" spans="30:30" x14ac:dyDescent="0.25">
      <c r="AD40263"/>
    </row>
    <row r="40264" spans="30:30" x14ac:dyDescent="0.25">
      <c r="AD40264"/>
    </row>
    <row r="40265" spans="30:30" x14ac:dyDescent="0.25">
      <c r="AD40265"/>
    </row>
    <row r="40266" spans="30:30" x14ac:dyDescent="0.25">
      <c r="AD40266"/>
    </row>
    <row r="40267" spans="30:30" x14ac:dyDescent="0.25">
      <c r="AD40267"/>
    </row>
    <row r="40268" spans="30:30" x14ac:dyDescent="0.25">
      <c r="AD40268"/>
    </row>
    <row r="40269" spans="30:30" x14ac:dyDescent="0.25">
      <c r="AD40269"/>
    </row>
    <row r="40270" spans="30:30" x14ac:dyDescent="0.25">
      <c r="AD40270"/>
    </row>
    <row r="40271" spans="30:30" x14ac:dyDescent="0.25">
      <c r="AD40271"/>
    </row>
    <row r="40272" spans="30:30" x14ac:dyDescent="0.25">
      <c r="AD40272"/>
    </row>
    <row r="40273" spans="30:30" x14ac:dyDescent="0.25">
      <c r="AD40273"/>
    </row>
    <row r="40274" spans="30:30" x14ac:dyDescent="0.25">
      <c r="AD40274"/>
    </row>
    <row r="40275" spans="30:30" x14ac:dyDescent="0.25">
      <c r="AD40275"/>
    </row>
    <row r="40276" spans="30:30" x14ac:dyDescent="0.25">
      <c r="AD40276"/>
    </row>
    <row r="40277" spans="30:30" x14ac:dyDescent="0.25">
      <c r="AD40277"/>
    </row>
    <row r="40278" spans="30:30" x14ac:dyDescent="0.25">
      <c r="AD40278"/>
    </row>
    <row r="40279" spans="30:30" x14ac:dyDescent="0.25">
      <c r="AD40279"/>
    </row>
    <row r="40280" spans="30:30" x14ac:dyDescent="0.25">
      <c r="AD40280"/>
    </row>
    <row r="40281" spans="30:30" x14ac:dyDescent="0.25">
      <c r="AD40281"/>
    </row>
    <row r="40282" spans="30:30" x14ac:dyDescent="0.25">
      <c r="AD40282"/>
    </row>
    <row r="40283" spans="30:30" x14ac:dyDescent="0.25">
      <c r="AD40283"/>
    </row>
    <row r="40284" spans="30:30" x14ac:dyDescent="0.25">
      <c r="AD40284"/>
    </row>
    <row r="40285" spans="30:30" x14ac:dyDescent="0.25">
      <c r="AD40285"/>
    </row>
    <row r="40286" spans="30:30" x14ac:dyDescent="0.25">
      <c r="AD40286"/>
    </row>
    <row r="40287" spans="30:30" x14ac:dyDescent="0.25">
      <c r="AD40287"/>
    </row>
    <row r="40288" spans="30:30" x14ac:dyDescent="0.25">
      <c r="AD40288"/>
    </row>
    <row r="40289" spans="30:30" x14ac:dyDescent="0.25">
      <c r="AD40289"/>
    </row>
    <row r="40290" spans="30:30" x14ac:dyDescent="0.25">
      <c r="AD40290"/>
    </row>
    <row r="40291" spans="30:30" x14ac:dyDescent="0.25">
      <c r="AD40291"/>
    </row>
    <row r="40292" spans="30:30" x14ac:dyDescent="0.25">
      <c r="AD40292"/>
    </row>
    <row r="40293" spans="30:30" x14ac:dyDescent="0.25">
      <c r="AD40293"/>
    </row>
    <row r="40294" spans="30:30" x14ac:dyDescent="0.25">
      <c r="AD40294"/>
    </row>
    <row r="40295" spans="30:30" x14ac:dyDescent="0.25">
      <c r="AD40295"/>
    </row>
    <row r="40296" spans="30:30" x14ac:dyDescent="0.25">
      <c r="AD40296"/>
    </row>
    <row r="40297" spans="30:30" x14ac:dyDescent="0.25">
      <c r="AD40297"/>
    </row>
    <row r="40298" spans="30:30" x14ac:dyDescent="0.25">
      <c r="AD40298"/>
    </row>
    <row r="40299" spans="30:30" x14ac:dyDescent="0.25">
      <c r="AD40299"/>
    </row>
    <row r="40300" spans="30:30" x14ac:dyDescent="0.25">
      <c r="AD40300"/>
    </row>
    <row r="40301" spans="30:30" x14ac:dyDescent="0.25">
      <c r="AD40301"/>
    </row>
    <row r="40302" spans="30:30" x14ac:dyDescent="0.25">
      <c r="AD40302"/>
    </row>
    <row r="40303" spans="30:30" x14ac:dyDescent="0.25">
      <c r="AD40303"/>
    </row>
    <row r="40304" spans="30:30" x14ac:dyDescent="0.25">
      <c r="AD40304"/>
    </row>
    <row r="40305" spans="30:30" x14ac:dyDescent="0.25">
      <c r="AD40305"/>
    </row>
    <row r="40306" spans="30:30" x14ac:dyDescent="0.25">
      <c r="AD40306"/>
    </row>
    <row r="40307" spans="30:30" x14ac:dyDescent="0.25">
      <c r="AD40307"/>
    </row>
    <row r="40308" spans="30:30" x14ac:dyDescent="0.25">
      <c r="AD40308"/>
    </row>
    <row r="40309" spans="30:30" x14ac:dyDescent="0.25">
      <c r="AD40309"/>
    </row>
    <row r="40310" spans="30:30" x14ac:dyDescent="0.25">
      <c r="AD40310"/>
    </row>
    <row r="40311" spans="30:30" x14ac:dyDescent="0.25">
      <c r="AD40311"/>
    </row>
    <row r="40312" spans="30:30" x14ac:dyDescent="0.25">
      <c r="AD40312"/>
    </row>
    <row r="40313" spans="30:30" x14ac:dyDescent="0.25">
      <c r="AD40313"/>
    </row>
    <row r="40314" spans="30:30" x14ac:dyDescent="0.25">
      <c r="AD40314"/>
    </row>
    <row r="40315" spans="30:30" x14ac:dyDescent="0.25">
      <c r="AD40315"/>
    </row>
    <row r="40316" spans="30:30" x14ac:dyDescent="0.25">
      <c r="AD40316"/>
    </row>
    <row r="40317" spans="30:30" x14ac:dyDescent="0.25">
      <c r="AD40317"/>
    </row>
    <row r="40318" spans="30:30" x14ac:dyDescent="0.25">
      <c r="AD40318"/>
    </row>
    <row r="40319" spans="30:30" x14ac:dyDescent="0.25">
      <c r="AD40319"/>
    </row>
    <row r="40320" spans="30:30" x14ac:dyDescent="0.25">
      <c r="AD40320"/>
    </row>
    <row r="40321" spans="30:30" x14ac:dyDescent="0.25">
      <c r="AD40321"/>
    </row>
    <row r="40322" spans="30:30" x14ac:dyDescent="0.25">
      <c r="AD40322"/>
    </row>
    <row r="40323" spans="30:30" x14ac:dyDescent="0.25">
      <c r="AD40323"/>
    </row>
    <row r="40324" spans="30:30" x14ac:dyDescent="0.25">
      <c r="AD40324"/>
    </row>
    <row r="40325" spans="30:30" x14ac:dyDescent="0.25">
      <c r="AD40325"/>
    </row>
    <row r="40326" spans="30:30" x14ac:dyDescent="0.25">
      <c r="AD40326"/>
    </row>
    <row r="40327" spans="30:30" x14ac:dyDescent="0.25">
      <c r="AD40327"/>
    </row>
    <row r="40328" spans="30:30" x14ac:dyDescent="0.25">
      <c r="AD40328"/>
    </row>
    <row r="40329" spans="30:30" x14ac:dyDescent="0.25">
      <c r="AD40329"/>
    </row>
    <row r="40330" spans="30:30" x14ac:dyDescent="0.25">
      <c r="AD40330"/>
    </row>
    <row r="40331" spans="30:30" x14ac:dyDescent="0.25">
      <c r="AD40331"/>
    </row>
    <row r="40332" spans="30:30" x14ac:dyDescent="0.25">
      <c r="AD40332"/>
    </row>
    <row r="40333" spans="30:30" x14ac:dyDescent="0.25">
      <c r="AD40333"/>
    </row>
    <row r="40334" spans="30:30" x14ac:dyDescent="0.25">
      <c r="AD40334"/>
    </row>
    <row r="40335" spans="30:30" x14ac:dyDescent="0.25">
      <c r="AD40335"/>
    </row>
    <row r="40336" spans="30:30" x14ac:dyDescent="0.25">
      <c r="AD40336"/>
    </row>
    <row r="40337" spans="30:30" x14ac:dyDescent="0.25">
      <c r="AD40337"/>
    </row>
    <row r="40338" spans="30:30" x14ac:dyDescent="0.25">
      <c r="AD40338"/>
    </row>
    <row r="40339" spans="30:30" x14ac:dyDescent="0.25">
      <c r="AD40339"/>
    </row>
    <row r="40340" spans="30:30" x14ac:dyDescent="0.25">
      <c r="AD40340"/>
    </row>
    <row r="40341" spans="30:30" x14ac:dyDescent="0.25">
      <c r="AD40341"/>
    </row>
    <row r="40342" spans="30:30" x14ac:dyDescent="0.25">
      <c r="AD40342"/>
    </row>
    <row r="40343" spans="30:30" x14ac:dyDescent="0.25">
      <c r="AD40343"/>
    </row>
    <row r="40344" spans="30:30" x14ac:dyDescent="0.25">
      <c r="AD40344"/>
    </row>
    <row r="40345" spans="30:30" x14ac:dyDescent="0.25">
      <c r="AD40345"/>
    </row>
    <row r="40346" spans="30:30" x14ac:dyDescent="0.25">
      <c r="AD40346"/>
    </row>
    <row r="40347" spans="30:30" x14ac:dyDescent="0.25">
      <c r="AD40347"/>
    </row>
    <row r="40348" spans="30:30" x14ac:dyDescent="0.25">
      <c r="AD40348"/>
    </row>
    <row r="40349" spans="30:30" x14ac:dyDescent="0.25">
      <c r="AD40349"/>
    </row>
    <row r="40350" spans="30:30" x14ac:dyDescent="0.25">
      <c r="AD40350"/>
    </row>
    <row r="40351" spans="30:30" x14ac:dyDescent="0.25">
      <c r="AD40351"/>
    </row>
    <row r="40352" spans="30:30" x14ac:dyDescent="0.25">
      <c r="AD40352"/>
    </row>
    <row r="40353" spans="30:30" x14ac:dyDescent="0.25">
      <c r="AD40353"/>
    </row>
    <row r="40354" spans="30:30" x14ac:dyDescent="0.25">
      <c r="AD40354"/>
    </row>
    <row r="40355" spans="30:30" x14ac:dyDescent="0.25">
      <c r="AD40355"/>
    </row>
    <row r="40356" spans="30:30" x14ac:dyDescent="0.25">
      <c r="AD40356"/>
    </row>
    <row r="40357" spans="30:30" x14ac:dyDescent="0.25">
      <c r="AD40357"/>
    </row>
    <row r="40358" spans="30:30" x14ac:dyDescent="0.25">
      <c r="AD40358"/>
    </row>
    <row r="40359" spans="30:30" x14ac:dyDescent="0.25">
      <c r="AD40359"/>
    </row>
    <row r="40360" spans="30:30" x14ac:dyDescent="0.25">
      <c r="AD40360"/>
    </row>
    <row r="40361" spans="30:30" x14ac:dyDescent="0.25">
      <c r="AD40361"/>
    </row>
    <row r="40362" spans="30:30" x14ac:dyDescent="0.25">
      <c r="AD40362"/>
    </row>
    <row r="40363" spans="30:30" x14ac:dyDescent="0.25">
      <c r="AD40363"/>
    </row>
    <row r="40364" spans="30:30" x14ac:dyDescent="0.25">
      <c r="AD40364"/>
    </row>
    <row r="40365" spans="30:30" x14ac:dyDescent="0.25">
      <c r="AD40365"/>
    </row>
    <row r="40366" spans="30:30" x14ac:dyDescent="0.25">
      <c r="AD40366"/>
    </row>
    <row r="40367" spans="30:30" x14ac:dyDescent="0.25">
      <c r="AD40367"/>
    </row>
    <row r="40368" spans="30:30" x14ac:dyDescent="0.25">
      <c r="AD40368"/>
    </row>
    <row r="40369" spans="30:30" x14ac:dyDescent="0.25">
      <c r="AD40369"/>
    </row>
    <row r="40370" spans="30:30" x14ac:dyDescent="0.25">
      <c r="AD40370"/>
    </row>
    <row r="40371" spans="30:30" x14ac:dyDescent="0.25">
      <c r="AD40371"/>
    </row>
    <row r="40372" spans="30:30" x14ac:dyDescent="0.25">
      <c r="AD40372"/>
    </row>
    <row r="40373" spans="30:30" x14ac:dyDescent="0.25">
      <c r="AD40373"/>
    </row>
    <row r="40374" spans="30:30" x14ac:dyDescent="0.25">
      <c r="AD40374"/>
    </row>
    <row r="40375" spans="30:30" x14ac:dyDescent="0.25">
      <c r="AD40375"/>
    </row>
    <row r="40376" spans="30:30" x14ac:dyDescent="0.25">
      <c r="AD40376"/>
    </row>
    <row r="40377" spans="30:30" x14ac:dyDescent="0.25">
      <c r="AD40377"/>
    </row>
    <row r="40378" spans="30:30" x14ac:dyDescent="0.25">
      <c r="AD40378"/>
    </row>
    <row r="40379" spans="30:30" x14ac:dyDescent="0.25">
      <c r="AD40379"/>
    </row>
    <row r="40380" spans="30:30" x14ac:dyDescent="0.25">
      <c r="AD40380"/>
    </row>
    <row r="40381" spans="30:30" x14ac:dyDescent="0.25">
      <c r="AD40381"/>
    </row>
    <row r="40382" spans="30:30" x14ac:dyDescent="0.25">
      <c r="AD40382"/>
    </row>
    <row r="40383" spans="30:30" x14ac:dyDescent="0.25">
      <c r="AD40383"/>
    </row>
    <row r="40384" spans="30:30" x14ac:dyDescent="0.25">
      <c r="AD40384"/>
    </row>
    <row r="40385" spans="30:30" x14ac:dyDescent="0.25">
      <c r="AD40385"/>
    </row>
    <row r="40386" spans="30:30" x14ac:dyDescent="0.25">
      <c r="AD40386"/>
    </row>
    <row r="40387" spans="30:30" x14ac:dyDescent="0.25">
      <c r="AD40387"/>
    </row>
    <row r="40388" spans="30:30" x14ac:dyDescent="0.25">
      <c r="AD40388"/>
    </row>
    <row r="40389" spans="30:30" x14ac:dyDescent="0.25">
      <c r="AD40389"/>
    </row>
    <row r="40390" spans="30:30" x14ac:dyDescent="0.25">
      <c r="AD40390"/>
    </row>
    <row r="40391" spans="30:30" x14ac:dyDescent="0.25">
      <c r="AD40391"/>
    </row>
    <row r="40392" spans="30:30" x14ac:dyDescent="0.25">
      <c r="AD40392"/>
    </row>
    <row r="40393" spans="30:30" x14ac:dyDescent="0.25">
      <c r="AD40393"/>
    </row>
    <row r="40394" spans="30:30" x14ac:dyDescent="0.25">
      <c r="AD40394"/>
    </row>
    <row r="40395" spans="30:30" x14ac:dyDescent="0.25">
      <c r="AD40395"/>
    </row>
    <row r="40396" spans="30:30" x14ac:dyDescent="0.25">
      <c r="AD40396"/>
    </row>
    <row r="40397" spans="30:30" x14ac:dyDescent="0.25">
      <c r="AD40397"/>
    </row>
    <row r="40398" spans="30:30" x14ac:dyDescent="0.25">
      <c r="AD40398"/>
    </row>
    <row r="40399" spans="30:30" x14ac:dyDescent="0.25">
      <c r="AD40399"/>
    </row>
    <row r="40400" spans="30:30" x14ac:dyDescent="0.25">
      <c r="AD40400"/>
    </row>
    <row r="40401" spans="30:30" x14ac:dyDescent="0.25">
      <c r="AD40401"/>
    </row>
    <row r="40402" spans="30:30" x14ac:dyDescent="0.25">
      <c r="AD40402"/>
    </row>
    <row r="40403" spans="30:30" x14ac:dyDescent="0.25">
      <c r="AD40403"/>
    </row>
    <row r="40404" spans="30:30" x14ac:dyDescent="0.25">
      <c r="AD40404"/>
    </row>
    <row r="40405" spans="30:30" x14ac:dyDescent="0.25">
      <c r="AD40405"/>
    </row>
    <row r="40406" spans="30:30" x14ac:dyDescent="0.25">
      <c r="AD40406"/>
    </row>
    <row r="40407" spans="30:30" x14ac:dyDescent="0.25">
      <c r="AD40407"/>
    </row>
    <row r="40408" spans="30:30" x14ac:dyDescent="0.25">
      <c r="AD40408"/>
    </row>
    <row r="40409" spans="30:30" x14ac:dyDescent="0.25">
      <c r="AD40409"/>
    </row>
    <row r="40410" spans="30:30" x14ac:dyDescent="0.25">
      <c r="AD40410"/>
    </row>
    <row r="40411" spans="30:30" x14ac:dyDescent="0.25">
      <c r="AD40411"/>
    </row>
    <row r="40412" spans="30:30" x14ac:dyDescent="0.25">
      <c r="AD40412"/>
    </row>
    <row r="40413" spans="30:30" x14ac:dyDescent="0.25">
      <c r="AD40413"/>
    </row>
    <row r="40414" spans="30:30" x14ac:dyDescent="0.25">
      <c r="AD40414"/>
    </row>
    <row r="40415" spans="30:30" x14ac:dyDescent="0.25">
      <c r="AD40415"/>
    </row>
    <row r="40416" spans="30:30" x14ac:dyDescent="0.25">
      <c r="AD40416"/>
    </row>
    <row r="40417" spans="30:30" x14ac:dyDescent="0.25">
      <c r="AD40417"/>
    </row>
    <row r="40418" spans="30:30" x14ac:dyDescent="0.25">
      <c r="AD40418"/>
    </row>
    <row r="40419" spans="30:30" x14ac:dyDescent="0.25">
      <c r="AD40419"/>
    </row>
    <row r="40420" spans="30:30" x14ac:dyDescent="0.25">
      <c r="AD40420"/>
    </row>
    <row r="40421" spans="30:30" x14ac:dyDescent="0.25">
      <c r="AD40421"/>
    </row>
    <row r="40422" spans="30:30" x14ac:dyDescent="0.25">
      <c r="AD40422"/>
    </row>
    <row r="40423" spans="30:30" x14ac:dyDescent="0.25">
      <c r="AD40423"/>
    </row>
    <row r="40424" spans="30:30" x14ac:dyDescent="0.25">
      <c r="AD40424"/>
    </row>
    <row r="40425" spans="30:30" x14ac:dyDescent="0.25">
      <c r="AD40425"/>
    </row>
    <row r="40426" spans="30:30" x14ac:dyDescent="0.25">
      <c r="AD40426"/>
    </row>
    <row r="40427" spans="30:30" x14ac:dyDescent="0.25">
      <c r="AD40427"/>
    </row>
    <row r="40428" spans="30:30" x14ac:dyDescent="0.25">
      <c r="AD40428"/>
    </row>
    <row r="40429" spans="30:30" x14ac:dyDescent="0.25">
      <c r="AD40429"/>
    </row>
    <row r="40430" spans="30:30" x14ac:dyDescent="0.25">
      <c r="AD40430"/>
    </row>
    <row r="40431" spans="30:30" x14ac:dyDescent="0.25">
      <c r="AD40431"/>
    </row>
    <row r="40432" spans="30:30" x14ac:dyDescent="0.25">
      <c r="AD40432"/>
    </row>
    <row r="40433" spans="30:30" x14ac:dyDescent="0.25">
      <c r="AD40433"/>
    </row>
    <row r="40434" spans="30:30" x14ac:dyDescent="0.25">
      <c r="AD40434"/>
    </row>
    <row r="40435" spans="30:30" x14ac:dyDescent="0.25">
      <c r="AD40435"/>
    </row>
    <row r="40436" spans="30:30" x14ac:dyDescent="0.25">
      <c r="AD40436"/>
    </row>
    <row r="40437" spans="30:30" x14ac:dyDescent="0.25">
      <c r="AD40437"/>
    </row>
    <row r="40438" spans="30:30" x14ac:dyDescent="0.25">
      <c r="AD40438"/>
    </row>
    <row r="40439" spans="30:30" x14ac:dyDescent="0.25">
      <c r="AD40439"/>
    </row>
    <row r="40440" spans="30:30" x14ac:dyDescent="0.25">
      <c r="AD40440"/>
    </row>
    <row r="40441" spans="30:30" x14ac:dyDescent="0.25">
      <c r="AD40441"/>
    </row>
    <row r="40442" spans="30:30" x14ac:dyDescent="0.25">
      <c r="AD40442"/>
    </row>
    <row r="40443" spans="30:30" x14ac:dyDescent="0.25">
      <c r="AD40443"/>
    </row>
    <row r="40444" spans="30:30" x14ac:dyDescent="0.25">
      <c r="AD40444"/>
    </row>
    <row r="40445" spans="30:30" x14ac:dyDescent="0.25">
      <c r="AD40445"/>
    </row>
    <row r="40446" spans="30:30" x14ac:dyDescent="0.25">
      <c r="AD40446"/>
    </row>
    <row r="40447" spans="30:30" x14ac:dyDescent="0.25">
      <c r="AD40447"/>
    </row>
    <row r="40448" spans="30:30" x14ac:dyDescent="0.25">
      <c r="AD40448"/>
    </row>
    <row r="40449" spans="30:30" x14ac:dyDescent="0.25">
      <c r="AD40449"/>
    </row>
    <row r="40450" spans="30:30" x14ac:dyDescent="0.25">
      <c r="AD40450"/>
    </row>
    <row r="40451" spans="30:30" x14ac:dyDescent="0.25">
      <c r="AD40451"/>
    </row>
    <row r="40452" spans="30:30" x14ac:dyDescent="0.25">
      <c r="AD40452"/>
    </row>
    <row r="40453" spans="30:30" x14ac:dyDescent="0.25">
      <c r="AD40453"/>
    </row>
    <row r="40454" spans="30:30" x14ac:dyDescent="0.25">
      <c r="AD40454"/>
    </row>
    <row r="40455" spans="30:30" x14ac:dyDescent="0.25">
      <c r="AD40455"/>
    </row>
    <row r="40456" spans="30:30" x14ac:dyDescent="0.25">
      <c r="AD40456"/>
    </row>
    <row r="40457" spans="30:30" x14ac:dyDescent="0.25">
      <c r="AD40457"/>
    </row>
    <row r="40458" spans="30:30" x14ac:dyDescent="0.25">
      <c r="AD40458"/>
    </row>
    <row r="40459" spans="30:30" x14ac:dyDescent="0.25">
      <c r="AD40459"/>
    </row>
    <row r="40460" spans="30:30" x14ac:dyDescent="0.25">
      <c r="AD40460"/>
    </row>
    <row r="40461" spans="30:30" x14ac:dyDescent="0.25">
      <c r="AD40461"/>
    </row>
    <row r="40462" spans="30:30" x14ac:dyDescent="0.25">
      <c r="AD40462"/>
    </row>
    <row r="40463" spans="30:30" x14ac:dyDescent="0.25">
      <c r="AD40463"/>
    </row>
    <row r="40464" spans="30:30" x14ac:dyDescent="0.25">
      <c r="AD40464"/>
    </row>
    <row r="40465" spans="30:30" x14ac:dyDescent="0.25">
      <c r="AD40465"/>
    </row>
    <row r="40466" spans="30:30" x14ac:dyDescent="0.25">
      <c r="AD40466"/>
    </row>
    <row r="40467" spans="30:30" x14ac:dyDescent="0.25">
      <c r="AD40467"/>
    </row>
    <row r="40468" spans="30:30" x14ac:dyDescent="0.25">
      <c r="AD40468"/>
    </row>
    <row r="40469" spans="30:30" x14ac:dyDescent="0.25">
      <c r="AD40469"/>
    </row>
    <row r="40470" spans="30:30" x14ac:dyDescent="0.25">
      <c r="AD40470"/>
    </row>
    <row r="40471" spans="30:30" x14ac:dyDescent="0.25">
      <c r="AD40471"/>
    </row>
    <row r="40472" spans="30:30" x14ac:dyDescent="0.25">
      <c r="AD40472"/>
    </row>
    <row r="40473" spans="30:30" x14ac:dyDescent="0.25">
      <c r="AD40473"/>
    </row>
    <row r="40474" spans="30:30" x14ac:dyDescent="0.25">
      <c r="AD40474"/>
    </row>
    <row r="40475" spans="30:30" x14ac:dyDescent="0.25">
      <c r="AD40475"/>
    </row>
    <row r="40476" spans="30:30" x14ac:dyDescent="0.25">
      <c r="AD40476"/>
    </row>
    <row r="40477" spans="30:30" x14ac:dyDescent="0.25">
      <c r="AD40477"/>
    </row>
    <row r="40478" spans="30:30" x14ac:dyDescent="0.25">
      <c r="AD40478"/>
    </row>
    <row r="40479" spans="30:30" x14ac:dyDescent="0.25">
      <c r="AD40479"/>
    </row>
    <row r="40480" spans="30:30" x14ac:dyDescent="0.25">
      <c r="AD40480"/>
    </row>
    <row r="40481" spans="30:30" x14ac:dyDescent="0.25">
      <c r="AD40481"/>
    </row>
    <row r="40482" spans="30:30" x14ac:dyDescent="0.25">
      <c r="AD40482"/>
    </row>
    <row r="40483" spans="30:30" x14ac:dyDescent="0.25">
      <c r="AD40483"/>
    </row>
    <row r="40484" spans="30:30" x14ac:dyDescent="0.25">
      <c r="AD40484"/>
    </row>
    <row r="40485" spans="30:30" x14ac:dyDescent="0.25">
      <c r="AD40485"/>
    </row>
    <row r="40486" spans="30:30" x14ac:dyDescent="0.25">
      <c r="AD40486"/>
    </row>
    <row r="40487" spans="30:30" x14ac:dyDescent="0.25">
      <c r="AD40487"/>
    </row>
    <row r="40488" spans="30:30" x14ac:dyDescent="0.25">
      <c r="AD40488"/>
    </row>
    <row r="40489" spans="30:30" x14ac:dyDescent="0.25">
      <c r="AD40489"/>
    </row>
    <row r="40490" spans="30:30" x14ac:dyDescent="0.25">
      <c r="AD40490"/>
    </row>
    <row r="40491" spans="30:30" x14ac:dyDescent="0.25">
      <c r="AD40491"/>
    </row>
    <row r="40492" spans="30:30" x14ac:dyDescent="0.25">
      <c r="AD40492"/>
    </row>
    <row r="40493" spans="30:30" x14ac:dyDescent="0.25">
      <c r="AD40493"/>
    </row>
    <row r="40494" spans="30:30" x14ac:dyDescent="0.25">
      <c r="AD40494"/>
    </row>
    <row r="40495" spans="30:30" x14ac:dyDescent="0.25">
      <c r="AD40495"/>
    </row>
    <row r="40496" spans="30:30" x14ac:dyDescent="0.25">
      <c r="AD40496"/>
    </row>
    <row r="40497" spans="30:30" x14ac:dyDescent="0.25">
      <c r="AD40497"/>
    </row>
    <row r="40498" spans="30:30" x14ac:dyDescent="0.25">
      <c r="AD40498"/>
    </row>
    <row r="40499" spans="30:30" x14ac:dyDescent="0.25">
      <c r="AD40499"/>
    </row>
    <row r="40500" spans="30:30" x14ac:dyDescent="0.25">
      <c r="AD40500"/>
    </row>
    <row r="40501" spans="30:30" x14ac:dyDescent="0.25">
      <c r="AD40501"/>
    </row>
    <row r="40502" spans="30:30" x14ac:dyDescent="0.25">
      <c r="AD40502"/>
    </row>
    <row r="40503" spans="30:30" x14ac:dyDescent="0.25">
      <c r="AD40503"/>
    </row>
    <row r="40504" spans="30:30" x14ac:dyDescent="0.25">
      <c r="AD40504"/>
    </row>
    <row r="40505" spans="30:30" x14ac:dyDescent="0.25">
      <c r="AD40505"/>
    </row>
    <row r="40506" spans="30:30" x14ac:dyDescent="0.25">
      <c r="AD40506"/>
    </row>
    <row r="40507" spans="30:30" x14ac:dyDescent="0.25">
      <c r="AD40507"/>
    </row>
    <row r="40508" spans="30:30" x14ac:dyDescent="0.25">
      <c r="AD40508"/>
    </row>
    <row r="40509" spans="30:30" x14ac:dyDescent="0.25">
      <c r="AD40509"/>
    </row>
    <row r="40510" spans="30:30" x14ac:dyDescent="0.25">
      <c r="AD40510"/>
    </row>
    <row r="40511" spans="30:30" x14ac:dyDescent="0.25">
      <c r="AD40511"/>
    </row>
    <row r="40512" spans="30:30" x14ac:dyDescent="0.25">
      <c r="AD40512"/>
    </row>
    <row r="40513" spans="30:30" x14ac:dyDescent="0.25">
      <c r="AD40513"/>
    </row>
    <row r="40514" spans="30:30" x14ac:dyDescent="0.25">
      <c r="AD40514"/>
    </row>
    <row r="40515" spans="30:30" x14ac:dyDescent="0.25">
      <c r="AD40515"/>
    </row>
    <row r="40516" spans="30:30" x14ac:dyDescent="0.25">
      <c r="AD40516"/>
    </row>
    <row r="40517" spans="30:30" x14ac:dyDescent="0.25">
      <c r="AD40517"/>
    </row>
    <row r="40518" spans="30:30" x14ac:dyDescent="0.25">
      <c r="AD40518"/>
    </row>
    <row r="40519" spans="30:30" x14ac:dyDescent="0.25">
      <c r="AD40519"/>
    </row>
    <row r="40520" spans="30:30" x14ac:dyDescent="0.25">
      <c r="AD40520"/>
    </row>
    <row r="40521" spans="30:30" x14ac:dyDescent="0.25">
      <c r="AD40521"/>
    </row>
    <row r="40522" spans="30:30" x14ac:dyDescent="0.25">
      <c r="AD40522"/>
    </row>
    <row r="40523" spans="30:30" x14ac:dyDescent="0.25">
      <c r="AD40523"/>
    </row>
    <row r="40524" spans="30:30" x14ac:dyDescent="0.25">
      <c r="AD40524"/>
    </row>
    <row r="40525" spans="30:30" x14ac:dyDescent="0.25">
      <c r="AD40525"/>
    </row>
    <row r="40526" spans="30:30" x14ac:dyDescent="0.25">
      <c r="AD40526"/>
    </row>
    <row r="40527" spans="30:30" x14ac:dyDescent="0.25">
      <c r="AD40527"/>
    </row>
    <row r="40528" spans="30:30" x14ac:dyDescent="0.25">
      <c r="AD40528"/>
    </row>
    <row r="40529" spans="30:30" x14ac:dyDescent="0.25">
      <c r="AD40529"/>
    </row>
    <row r="40530" spans="30:30" x14ac:dyDescent="0.25">
      <c r="AD40530"/>
    </row>
    <row r="40531" spans="30:30" x14ac:dyDescent="0.25">
      <c r="AD40531"/>
    </row>
    <row r="40532" spans="30:30" x14ac:dyDescent="0.25">
      <c r="AD40532"/>
    </row>
    <row r="40533" spans="30:30" x14ac:dyDescent="0.25">
      <c r="AD40533"/>
    </row>
    <row r="40534" spans="30:30" x14ac:dyDescent="0.25">
      <c r="AD40534"/>
    </row>
    <row r="40535" spans="30:30" x14ac:dyDescent="0.25">
      <c r="AD40535"/>
    </row>
    <row r="40536" spans="30:30" x14ac:dyDescent="0.25">
      <c r="AD40536"/>
    </row>
    <row r="40537" spans="30:30" x14ac:dyDescent="0.25">
      <c r="AD40537"/>
    </row>
    <row r="40538" spans="30:30" x14ac:dyDescent="0.25">
      <c r="AD40538"/>
    </row>
    <row r="40539" spans="30:30" x14ac:dyDescent="0.25">
      <c r="AD40539"/>
    </row>
    <row r="40540" spans="30:30" x14ac:dyDescent="0.25">
      <c r="AD40540"/>
    </row>
    <row r="40541" spans="30:30" x14ac:dyDescent="0.25">
      <c r="AD40541"/>
    </row>
    <row r="40542" spans="30:30" x14ac:dyDescent="0.25">
      <c r="AD40542"/>
    </row>
    <row r="40543" spans="30:30" x14ac:dyDescent="0.25">
      <c r="AD40543"/>
    </row>
    <row r="40544" spans="30:30" x14ac:dyDescent="0.25">
      <c r="AD40544"/>
    </row>
    <row r="40545" spans="30:30" x14ac:dyDescent="0.25">
      <c r="AD40545"/>
    </row>
    <row r="40546" spans="30:30" x14ac:dyDescent="0.25">
      <c r="AD40546"/>
    </row>
    <row r="40547" spans="30:30" x14ac:dyDescent="0.25">
      <c r="AD40547"/>
    </row>
    <row r="40548" spans="30:30" x14ac:dyDescent="0.25">
      <c r="AD40548"/>
    </row>
    <row r="40549" spans="30:30" x14ac:dyDescent="0.25">
      <c r="AD40549"/>
    </row>
    <row r="40550" spans="30:30" x14ac:dyDescent="0.25">
      <c r="AD40550"/>
    </row>
    <row r="40551" spans="30:30" x14ac:dyDescent="0.25">
      <c r="AD40551"/>
    </row>
    <row r="40552" spans="30:30" x14ac:dyDescent="0.25">
      <c r="AD40552"/>
    </row>
    <row r="40553" spans="30:30" x14ac:dyDescent="0.25">
      <c r="AD40553"/>
    </row>
    <row r="40554" spans="30:30" x14ac:dyDescent="0.25">
      <c r="AD40554"/>
    </row>
    <row r="40555" spans="30:30" x14ac:dyDescent="0.25">
      <c r="AD40555"/>
    </row>
    <row r="40556" spans="30:30" x14ac:dyDescent="0.25">
      <c r="AD40556"/>
    </row>
    <row r="40557" spans="30:30" x14ac:dyDescent="0.25">
      <c r="AD40557"/>
    </row>
    <row r="40558" spans="30:30" x14ac:dyDescent="0.25">
      <c r="AD40558"/>
    </row>
    <row r="40559" spans="30:30" x14ac:dyDescent="0.25">
      <c r="AD40559"/>
    </row>
    <row r="40560" spans="30:30" x14ac:dyDescent="0.25">
      <c r="AD40560"/>
    </row>
    <row r="40561" spans="30:30" x14ac:dyDescent="0.25">
      <c r="AD40561"/>
    </row>
    <row r="40562" spans="30:30" x14ac:dyDescent="0.25">
      <c r="AD40562"/>
    </row>
    <row r="40563" spans="30:30" x14ac:dyDescent="0.25">
      <c r="AD40563"/>
    </row>
    <row r="40564" spans="30:30" x14ac:dyDescent="0.25">
      <c r="AD40564"/>
    </row>
    <row r="40565" spans="30:30" x14ac:dyDescent="0.25">
      <c r="AD40565"/>
    </row>
    <row r="40566" spans="30:30" x14ac:dyDescent="0.25">
      <c r="AD40566"/>
    </row>
    <row r="40567" spans="30:30" x14ac:dyDescent="0.25">
      <c r="AD40567"/>
    </row>
    <row r="40568" spans="30:30" x14ac:dyDescent="0.25">
      <c r="AD40568"/>
    </row>
    <row r="40569" spans="30:30" x14ac:dyDescent="0.25">
      <c r="AD40569"/>
    </row>
    <row r="40570" spans="30:30" x14ac:dyDescent="0.25">
      <c r="AD40570"/>
    </row>
    <row r="40571" spans="30:30" x14ac:dyDescent="0.25">
      <c r="AD40571"/>
    </row>
    <row r="40572" spans="30:30" x14ac:dyDescent="0.25">
      <c r="AD40572"/>
    </row>
    <row r="40573" spans="30:30" x14ac:dyDescent="0.25">
      <c r="AD40573"/>
    </row>
    <row r="40574" spans="30:30" x14ac:dyDescent="0.25">
      <c r="AD40574"/>
    </row>
    <row r="40575" spans="30:30" x14ac:dyDescent="0.25">
      <c r="AD40575"/>
    </row>
    <row r="40576" spans="30:30" x14ac:dyDescent="0.25">
      <c r="AD40576"/>
    </row>
    <row r="40577" spans="30:30" x14ac:dyDescent="0.25">
      <c r="AD40577"/>
    </row>
    <row r="40578" spans="30:30" x14ac:dyDescent="0.25">
      <c r="AD40578"/>
    </row>
    <row r="40579" spans="30:30" x14ac:dyDescent="0.25">
      <c r="AD40579"/>
    </row>
    <row r="40580" spans="30:30" x14ac:dyDescent="0.25">
      <c r="AD40580"/>
    </row>
    <row r="40581" spans="30:30" x14ac:dyDescent="0.25">
      <c r="AD40581"/>
    </row>
    <row r="40582" spans="30:30" x14ac:dyDescent="0.25">
      <c r="AD40582"/>
    </row>
    <row r="40583" spans="30:30" x14ac:dyDescent="0.25">
      <c r="AD40583"/>
    </row>
    <row r="40584" spans="30:30" x14ac:dyDescent="0.25">
      <c r="AD40584"/>
    </row>
    <row r="40585" spans="30:30" x14ac:dyDescent="0.25">
      <c r="AD40585"/>
    </row>
    <row r="40586" spans="30:30" x14ac:dyDescent="0.25">
      <c r="AD40586"/>
    </row>
    <row r="40587" spans="30:30" x14ac:dyDescent="0.25">
      <c r="AD40587"/>
    </row>
    <row r="40588" spans="30:30" x14ac:dyDescent="0.25">
      <c r="AD40588"/>
    </row>
    <row r="40589" spans="30:30" x14ac:dyDescent="0.25">
      <c r="AD40589"/>
    </row>
    <row r="40590" spans="30:30" x14ac:dyDescent="0.25">
      <c r="AD40590"/>
    </row>
    <row r="40591" spans="30:30" x14ac:dyDescent="0.25">
      <c r="AD40591"/>
    </row>
    <row r="40592" spans="30:30" x14ac:dyDescent="0.25">
      <c r="AD40592"/>
    </row>
    <row r="40593" spans="30:30" x14ac:dyDescent="0.25">
      <c r="AD40593"/>
    </row>
    <row r="40594" spans="30:30" x14ac:dyDescent="0.25">
      <c r="AD40594"/>
    </row>
    <row r="40595" spans="30:30" x14ac:dyDescent="0.25">
      <c r="AD40595"/>
    </row>
    <row r="40596" spans="30:30" x14ac:dyDescent="0.25">
      <c r="AD40596"/>
    </row>
    <row r="40597" spans="30:30" x14ac:dyDescent="0.25">
      <c r="AD40597"/>
    </row>
    <row r="40598" spans="30:30" x14ac:dyDescent="0.25">
      <c r="AD40598"/>
    </row>
    <row r="40599" spans="30:30" x14ac:dyDescent="0.25">
      <c r="AD40599"/>
    </row>
    <row r="40600" spans="30:30" x14ac:dyDescent="0.25">
      <c r="AD40600"/>
    </row>
    <row r="40601" spans="30:30" x14ac:dyDescent="0.25">
      <c r="AD40601"/>
    </row>
    <row r="40602" spans="30:30" x14ac:dyDescent="0.25">
      <c r="AD40602"/>
    </row>
    <row r="40603" spans="30:30" x14ac:dyDescent="0.25">
      <c r="AD40603"/>
    </row>
    <row r="40604" spans="30:30" x14ac:dyDescent="0.25">
      <c r="AD40604"/>
    </row>
    <row r="40605" spans="30:30" x14ac:dyDescent="0.25">
      <c r="AD40605"/>
    </row>
    <row r="40606" spans="30:30" x14ac:dyDescent="0.25">
      <c r="AD40606"/>
    </row>
    <row r="40607" spans="30:30" x14ac:dyDescent="0.25">
      <c r="AD40607"/>
    </row>
    <row r="40608" spans="30:30" x14ac:dyDescent="0.25">
      <c r="AD40608"/>
    </row>
    <row r="40609" spans="30:30" x14ac:dyDescent="0.25">
      <c r="AD40609"/>
    </row>
    <row r="40610" spans="30:30" x14ac:dyDescent="0.25">
      <c r="AD40610"/>
    </row>
    <row r="40611" spans="30:30" x14ac:dyDescent="0.25">
      <c r="AD40611"/>
    </row>
    <row r="40612" spans="30:30" x14ac:dyDescent="0.25">
      <c r="AD40612"/>
    </row>
    <row r="40613" spans="30:30" x14ac:dyDescent="0.25">
      <c r="AD40613"/>
    </row>
    <row r="40614" spans="30:30" x14ac:dyDescent="0.25">
      <c r="AD40614"/>
    </row>
    <row r="40615" spans="30:30" x14ac:dyDescent="0.25">
      <c r="AD40615"/>
    </row>
    <row r="40616" spans="30:30" x14ac:dyDescent="0.25">
      <c r="AD40616"/>
    </row>
    <row r="40617" spans="30:30" x14ac:dyDescent="0.25">
      <c r="AD40617"/>
    </row>
    <row r="40618" spans="30:30" x14ac:dyDescent="0.25">
      <c r="AD40618"/>
    </row>
    <row r="40619" spans="30:30" x14ac:dyDescent="0.25">
      <c r="AD40619"/>
    </row>
    <row r="40620" spans="30:30" x14ac:dyDescent="0.25">
      <c r="AD40620"/>
    </row>
    <row r="40621" spans="30:30" x14ac:dyDescent="0.25">
      <c r="AD40621"/>
    </row>
    <row r="40622" spans="30:30" x14ac:dyDescent="0.25">
      <c r="AD40622"/>
    </row>
    <row r="40623" spans="30:30" x14ac:dyDescent="0.25">
      <c r="AD40623"/>
    </row>
    <row r="40624" spans="30:30" x14ac:dyDescent="0.25">
      <c r="AD40624"/>
    </row>
    <row r="40625" spans="30:30" x14ac:dyDescent="0.25">
      <c r="AD40625"/>
    </row>
    <row r="40626" spans="30:30" x14ac:dyDescent="0.25">
      <c r="AD40626"/>
    </row>
    <row r="40627" spans="30:30" x14ac:dyDescent="0.25">
      <c r="AD40627"/>
    </row>
    <row r="40628" spans="30:30" x14ac:dyDescent="0.25">
      <c r="AD40628"/>
    </row>
    <row r="40629" spans="30:30" x14ac:dyDescent="0.25">
      <c r="AD40629"/>
    </row>
    <row r="40630" spans="30:30" x14ac:dyDescent="0.25">
      <c r="AD40630"/>
    </row>
    <row r="40631" spans="30:30" x14ac:dyDescent="0.25">
      <c r="AD40631"/>
    </row>
    <row r="40632" spans="30:30" x14ac:dyDescent="0.25">
      <c r="AD40632"/>
    </row>
    <row r="40633" spans="30:30" x14ac:dyDescent="0.25">
      <c r="AD40633"/>
    </row>
    <row r="40634" spans="30:30" x14ac:dyDescent="0.25">
      <c r="AD40634"/>
    </row>
    <row r="40635" spans="30:30" x14ac:dyDescent="0.25">
      <c r="AD40635"/>
    </row>
    <row r="40636" spans="30:30" x14ac:dyDescent="0.25">
      <c r="AD40636"/>
    </row>
    <row r="40637" spans="30:30" x14ac:dyDescent="0.25">
      <c r="AD40637"/>
    </row>
    <row r="40638" spans="30:30" x14ac:dyDescent="0.25">
      <c r="AD40638"/>
    </row>
    <row r="40639" spans="30:30" x14ac:dyDescent="0.25">
      <c r="AD40639"/>
    </row>
    <row r="40640" spans="30:30" x14ac:dyDescent="0.25">
      <c r="AD40640"/>
    </row>
    <row r="40641" spans="30:30" x14ac:dyDescent="0.25">
      <c r="AD40641"/>
    </row>
    <row r="40642" spans="30:30" x14ac:dyDescent="0.25">
      <c r="AD40642"/>
    </row>
    <row r="40643" spans="30:30" x14ac:dyDescent="0.25">
      <c r="AD40643"/>
    </row>
    <row r="40644" spans="30:30" x14ac:dyDescent="0.25">
      <c r="AD40644"/>
    </row>
    <row r="40645" spans="30:30" x14ac:dyDescent="0.25">
      <c r="AD40645"/>
    </row>
    <row r="40646" spans="30:30" x14ac:dyDescent="0.25">
      <c r="AD40646"/>
    </row>
    <row r="40647" spans="30:30" x14ac:dyDescent="0.25">
      <c r="AD40647"/>
    </row>
    <row r="40648" spans="30:30" x14ac:dyDescent="0.25">
      <c r="AD40648"/>
    </row>
    <row r="40649" spans="30:30" x14ac:dyDescent="0.25">
      <c r="AD40649"/>
    </row>
    <row r="40650" spans="30:30" x14ac:dyDescent="0.25">
      <c r="AD40650"/>
    </row>
    <row r="40651" spans="30:30" x14ac:dyDescent="0.25">
      <c r="AD40651"/>
    </row>
    <row r="40652" spans="30:30" x14ac:dyDescent="0.25">
      <c r="AD40652"/>
    </row>
    <row r="40653" spans="30:30" x14ac:dyDescent="0.25">
      <c r="AD40653"/>
    </row>
    <row r="40654" spans="30:30" x14ac:dyDescent="0.25">
      <c r="AD40654"/>
    </row>
    <row r="40655" spans="30:30" x14ac:dyDescent="0.25">
      <c r="AD40655"/>
    </row>
    <row r="40656" spans="30:30" x14ac:dyDescent="0.25">
      <c r="AD40656"/>
    </row>
    <row r="40657" spans="30:30" x14ac:dyDescent="0.25">
      <c r="AD40657"/>
    </row>
    <row r="40658" spans="30:30" x14ac:dyDescent="0.25">
      <c r="AD40658"/>
    </row>
    <row r="40659" spans="30:30" x14ac:dyDescent="0.25">
      <c r="AD40659"/>
    </row>
    <row r="40660" spans="30:30" x14ac:dyDescent="0.25">
      <c r="AD40660"/>
    </row>
    <row r="40661" spans="30:30" x14ac:dyDescent="0.25">
      <c r="AD40661"/>
    </row>
    <row r="40662" spans="30:30" x14ac:dyDescent="0.25">
      <c r="AD40662"/>
    </row>
    <row r="40663" spans="30:30" x14ac:dyDescent="0.25">
      <c r="AD40663"/>
    </row>
    <row r="40664" spans="30:30" x14ac:dyDescent="0.25">
      <c r="AD40664"/>
    </row>
    <row r="40665" spans="30:30" x14ac:dyDescent="0.25">
      <c r="AD40665"/>
    </row>
    <row r="40666" spans="30:30" x14ac:dyDescent="0.25">
      <c r="AD40666"/>
    </row>
    <row r="40667" spans="30:30" x14ac:dyDescent="0.25">
      <c r="AD40667"/>
    </row>
    <row r="40668" spans="30:30" x14ac:dyDescent="0.25">
      <c r="AD40668"/>
    </row>
    <row r="40669" spans="30:30" x14ac:dyDescent="0.25">
      <c r="AD40669"/>
    </row>
    <row r="40670" spans="30:30" x14ac:dyDescent="0.25">
      <c r="AD40670"/>
    </row>
    <row r="40671" spans="30:30" x14ac:dyDescent="0.25">
      <c r="AD40671"/>
    </row>
    <row r="40672" spans="30:30" x14ac:dyDescent="0.25">
      <c r="AD40672"/>
    </row>
    <row r="40673" spans="30:30" x14ac:dyDescent="0.25">
      <c r="AD40673"/>
    </row>
    <row r="40674" spans="30:30" x14ac:dyDescent="0.25">
      <c r="AD40674"/>
    </row>
    <row r="40675" spans="30:30" x14ac:dyDescent="0.25">
      <c r="AD40675"/>
    </row>
    <row r="40676" spans="30:30" x14ac:dyDescent="0.25">
      <c r="AD40676"/>
    </row>
    <row r="40677" spans="30:30" x14ac:dyDescent="0.25">
      <c r="AD40677"/>
    </row>
    <row r="40678" spans="30:30" x14ac:dyDescent="0.25">
      <c r="AD40678"/>
    </row>
    <row r="40679" spans="30:30" x14ac:dyDescent="0.25">
      <c r="AD40679"/>
    </row>
    <row r="40680" spans="30:30" x14ac:dyDescent="0.25">
      <c r="AD40680"/>
    </row>
    <row r="40681" spans="30:30" x14ac:dyDescent="0.25">
      <c r="AD40681"/>
    </row>
    <row r="40682" spans="30:30" x14ac:dyDescent="0.25">
      <c r="AD40682"/>
    </row>
    <row r="40683" spans="30:30" x14ac:dyDescent="0.25">
      <c r="AD40683"/>
    </row>
    <row r="40684" spans="30:30" x14ac:dyDescent="0.25">
      <c r="AD40684"/>
    </row>
    <row r="40685" spans="30:30" x14ac:dyDescent="0.25">
      <c r="AD40685"/>
    </row>
    <row r="40686" spans="30:30" x14ac:dyDescent="0.25">
      <c r="AD40686"/>
    </row>
    <row r="40687" spans="30:30" x14ac:dyDescent="0.25">
      <c r="AD40687"/>
    </row>
    <row r="40688" spans="30:30" x14ac:dyDescent="0.25">
      <c r="AD40688"/>
    </row>
    <row r="40689" spans="30:30" x14ac:dyDescent="0.25">
      <c r="AD40689"/>
    </row>
    <row r="40690" spans="30:30" x14ac:dyDescent="0.25">
      <c r="AD40690"/>
    </row>
    <row r="40691" spans="30:30" x14ac:dyDescent="0.25">
      <c r="AD40691"/>
    </row>
    <row r="40692" spans="30:30" x14ac:dyDescent="0.25">
      <c r="AD40692"/>
    </row>
    <row r="40693" spans="30:30" x14ac:dyDescent="0.25">
      <c r="AD40693"/>
    </row>
    <row r="40694" spans="30:30" x14ac:dyDescent="0.25">
      <c r="AD40694"/>
    </row>
    <row r="40695" spans="30:30" x14ac:dyDescent="0.25">
      <c r="AD40695"/>
    </row>
    <row r="40696" spans="30:30" x14ac:dyDescent="0.25">
      <c r="AD40696"/>
    </row>
    <row r="40697" spans="30:30" x14ac:dyDescent="0.25">
      <c r="AD40697"/>
    </row>
    <row r="40698" spans="30:30" x14ac:dyDescent="0.25">
      <c r="AD40698"/>
    </row>
    <row r="40699" spans="30:30" x14ac:dyDescent="0.25">
      <c r="AD40699"/>
    </row>
    <row r="40700" spans="30:30" x14ac:dyDescent="0.25">
      <c r="AD40700"/>
    </row>
    <row r="40701" spans="30:30" x14ac:dyDescent="0.25">
      <c r="AD40701"/>
    </row>
    <row r="40702" spans="30:30" x14ac:dyDescent="0.25">
      <c r="AD40702"/>
    </row>
    <row r="40703" spans="30:30" x14ac:dyDescent="0.25">
      <c r="AD40703"/>
    </row>
    <row r="40704" spans="30:30" x14ac:dyDescent="0.25">
      <c r="AD40704"/>
    </row>
    <row r="40705" spans="30:30" x14ac:dyDescent="0.25">
      <c r="AD40705"/>
    </row>
    <row r="40706" spans="30:30" x14ac:dyDescent="0.25">
      <c r="AD40706"/>
    </row>
    <row r="40707" spans="30:30" x14ac:dyDescent="0.25">
      <c r="AD40707"/>
    </row>
    <row r="40708" spans="30:30" x14ac:dyDescent="0.25">
      <c r="AD40708"/>
    </row>
    <row r="40709" spans="30:30" x14ac:dyDescent="0.25">
      <c r="AD40709"/>
    </row>
    <row r="40710" spans="30:30" x14ac:dyDescent="0.25">
      <c r="AD40710"/>
    </row>
    <row r="40711" spans="30:30" x14ac:dyDescent="0.25">
      <c r="AD40711"/>
    </row>
    <row r="40712" spans="30:30" x14ac:dyDescent="0.25">
      <c r="AD40712"/>
    </row>
    <row r="40713" spans="30:30" x14ac:dyDescent="0.25">
      <c r="AD40713"/>
    </row>
    <row r="40714" spans="30:30" x14ac:dyDescent="0.25">
      <c r="AD40714"/>
    </row>
    <row r="40715" spans="30:30" x14ac:dyDescent="0.25">
      <c r="AD40715"/>
    </row>
    <row r="40716" spans="30:30" x14ac:dyDescent="0.25">
      <c r="AD40716"/>
    </row>
    <row r="40717" spans="30:30" x14ac:dyDescent="0.25">
      <c r="AD40717"/>
    </row>
    <row r="40718" spans="30:30" x14ac:dyDescent="0.25">
      <c r="AD40718"/>
    </row>
    <row r="40719" spans="30:30" x14ac:dyDescent="0.25">
      <c r="AD40719"/>
    </row>
    <row r="40720" spans="30:30" x14ac:dyDescent="0.25">
      <c r="AD40720"/>
    </row>
    <row r="40721" spans="30:30" x14ac:dyDescent="0.25">
      <c r="AD40721"/>
    </row>
    <row r="40722" spans="30:30" x14ac:dyDescent="0.25">
      <c r="AD40722"/>
    </row>
    <row r="40723" spans="30:30" x14ac:dyDescent="0.25">
      <c r="AD40723"/>
    </row>
    <row r="40724" spans="30:30" x14ac:dyDescent="0.25">
      <c r="AD40724"/>
    </row>
    <row r="40725" spans="30:30" x14ac:dyDescent="0.25">
      <c r="AD40725"/>
    </row>
    <row r="40726" spans="30:30" x14ac:dyDescent="0.25">
      <c r="AD40726"/>
    </row>
    <row r="40727" spans="30:30" x14ac:dyDescent="0.25">
      <c r="AD40727"/>
    </row>
    <row r="40728" spans="30:30" x14ac:dyDescent="0.25">
      <c r="AD40728"/>
    </row>
    <row r="40729" spans="30:30" x14ac:dyDescent="0.25">
      <c r="AD40729"/>
    </row>
    <row r="40730" spans="30:30" x14ac:dyDescent="0.25">
      <c r="AD40730"/>
    </row>
    <row r="40731" spans="30:30" x14ac:dyDescent="0.25">
      <c r="AD40731"/>
    </row>
    <row r="40732" spans="30:30" x14ac:dyDescent="0.25">
      <c r="AD40732"/>
    </row>
    <row r="40733" spans="30:30" x14ac:dyDescent="0.25">
      <c r="AD40733"/>
    </row>
    <row r="40734" spans="30:30" x14ac:dyDescent="0.25">
      <c r="AD40734"/>
    </row>
    <row r="40735" spans="30:30" x14ac:dyDescent="0.25">
      <c r="AD40735"/>
    </row>
    <row r="40736" spans="30:30" x14ac:dyDescent="0.25">
      <c r="AD40736"/>
    </row>
    <row r="40737" spans="30:30" x14ac:dyDescent="0.25">
      <c r="AD40737"/>
    </row>
    <row r="40738" spans="30:30" x14ac:dyDescent="0.25">
      <c r="AD40738"/>
    </row>
    <row r="40739" spans="30:30" x14ac:dyDescent="0.25">
      <c r="AD40739"/>
    </row>
    <row r="40740" spans="30:30" x14ac:dyDescent="0.25">
      <c r="AD40740"/>
    </row>
    <row r="40741" spans="30:30" x14ac:dyDescent="0.25">
      <c r="AD40741"/>
    </row>
    <row r="40742" spans="30:30" x14ac:dyDescent="0.25">
      <c r="AD40742"/>
    </row>
    <row r="40743" spans="30:30" x14ac:dyDescent="0.25">
      <c r="AD40743"/>
    </row>
    <row r="40744" spans="30:30" x14ac:dyDescent="0.25">
      <c r="AD40744"/>
    </row>
    <row r="40745" spans="30:30" x14ac:dyDescent="0.25">
      <c r="AD40745"/>
    </row>
    <row r="40746" spans="30:30" x14ac:dyDescent="0.25">
      <c r="AD40746"/>
    </row>
    <row r="40747" spans="30:30" x14ac:dyDescent="0.25">
      <c r="AD40747"/>
    </row>
    <row r="40748" spans="30:30" x14ac:dyDescent="0.25">
      <c r="AD40748"/>
    </row>
    <row r="40749" spans="30:30" x14ac:dyDescent="0.25">
      <c r="AD40749"/>
    </row>
    <row r="40750" spans="30:30" x14ac:dyDescent="0.25">
      <c r="AD40750"/>
    </row>
    <row r="40751" spans="30:30" x14ac:dyDescent="0.25">
      <c r="AD40751"/>
    </row>
    <row r="40752" spans="30:30" x14ac:dyDescent="0.25">
      <c r="AD40752"/>
    </row>
    <row r="40753" spans="30:30" x14ac:dyDescent="0.25">
      <c r="AD40753"/>
    </row>
    <row r="40754" spans="30:30" x14ac:dyDescent="0.25">
      <c r="AD40754"/>
    </row>
    <row r="40755" spans="30:30" x14ac:dyDescent="0.25">
      <c r="AD40755"/>
    </row>
    <row r="40756" spans="30:30" x14ac:dyDescent="0.25">
      <c r="AD40756"/>
    </row>
    <row r="40757" spans="30:30" x14ac:dyDescent="0.25">
      <c r="AD40757"/>
    </row>
    <row r="40758" spans="30:30" x14ac:dyDescent="0.25">
      <c r="AD40758"/>
    </row>
    <row r="40759" spans="30:30" x14ac:dyDescent="0.25">
      <c r="AD40759"/>
    </row>
    <row r="40760" spans="30:30" x14ac:dyDescent="0.25">
      <c r="AD40760"/>
    </row>
    <row r="40761" spans="30:30" x14ac:dyDescent="0.25">
      <c r="AD40761"/>
    </row>
    <row r="40762" spans="30:30" x14ac:dyDescent="0.25">
      <c r="AD40762"/>
    </row>
    <row r="40763" spans="30:30" x14ac:dyDescent="0.25">
      <c r="AD40763"/>
    </row>
    <row r="40764" spans="30:30" x14ac:dyDescent="0.25">
      <c r="AD40764"/>
    </row>
    <row r="40765" spans="30:30" x14ac:dyDescent="0.25">
      <c r="AD40765"/>
    </row>
    <row r="40766" spans="30:30" x14ac:dyDescent="0.25">
      <c r="AD40766"/>
    </row>
    <row r="40767" spans="30:30" x14ac:dyDescent="0.25">
      <c r="AD40767"/>
    </row>
    <row r="40768" spans="30:30" x14ac:dyDescent="0.25">
      <c r="AD40768"/>
    </row>
    <row r="40769" spans="30:30" x14ac:dyDescent="0.25">
      <c r="AD40769"/>
    </row>
    <row r="40770" spans="30:30" x14ac:dyDescent="0.25">
      <c r="AD40770"/>
    </row>
    <row r="40771" spans="30:30" x14ac:dyDescent="0.25">
      <c r="AD40771"/>
    </row>
    <row r="40772" spans="30:30" x14ac:dyDescent="0.25">
      <c r="AD40772"/>
    </row>
    <row r="40773" spans="30:30" x14ac:dyDescent="0.25">
      <c r="AD40773"/>
    </row>
    <row r="40774" spans="30:30" x14ac:dyDescent="0.25">
      <c r="AD40774"/>
    </row>
    <row r="40775" spans="30:30" x14ac:dyDescent="0.25">
      <c r="AD40775"/>
    </row>
    <row r="40776" spans="30:30" x14ac:dyDescent="0.25">
      <c r="AD40776"/>
    </row>
    <row r="40777" spans="30:30" x14ac:dyDescent="0.25">
      <c r="AD40777"/>
    </row>
    <row r="40778" spans="30:30" x14ac:dyDescent="0.25">
      <c r="AD40778"/>
    </row>
    <row r="40779" spans="30:30" x14ac:dyDescent="0.25">
      <c r="AD40779"/>
    </row>
    <row r="40780" spans="30:30" x14ac:dyDescent="0.25">
      <c r="AD40780"/>
    </row>
    <row r="40781" spans="30:30" x14ac:dyDescent="0.25">
      <c r="AD40781"/>
    </row>
    <row r="40782" spans="30:30" x14ac:dyDescent="0.25">
      <c r="AD40782"/>
    </row>
    <row r="40783" spans="30:30" x14ac:dyDescent="0.25">
      <c r="AD40783"/>
    </row>
    <row r="40784" spans="30:30" x14ac:dyDescent="0.25">
      <c r="AD40784"/>
    </row>
    <row r="40785" spans="30:30" x14ac:dyDescent="0.25">
      <c r="AD40785"/>
    </row>
    <row r="40786" spans="30:30" x14ac:dyDescent="0.25">
      <c r="AD40786"/>
    </row>
    <row r="40787" spans="30:30" x14ac:dyDescent="0.25">
      <c r="AD40787"/>
    </row>
    <row r="40788" spans="30:30" x14ac:dyDescent="0.25">
      <c r="AD40788"/>
    </row>
    <row r="40789" spans="30:30" x14ac:dyDescent="0.25">
      <c r="AD40789"/>
    </row>
    <row r="40790" spans="30:30" x14ac:dyDescent="0.25">
      <c r="AD40790"/>
    </row>
    <row r="40791" spans="30:30" x14ac:dyDescent="0.25">
      <c r="AD40791"/>
    </row>
    <row r="40792" spans="30:30" x14ac:dyDescent="0.25">
      <c r="AD40792"/>
    </row>
    <row r="40793" spans="30:30" x14ac:dyDescent="0.25">
      <c r="AD40793"/>
    </row>
    <row r="40794" spans="30:30" x14ac:dyDescent="0.25">
      <c r="AD40794"/>
    </row>
    <row r="40795" spans="30:30" x14ac:dyDescent="0.25">
      <c r="AD40795"/>
    </row>
    <row r="40796" spans="30:30" x14ac:dyDescent="0.25">
      <c r="AD40796"/>
    </row>
    <row r="40797" spans="30:30" x14ac:dyDescent="0.25">
      <c r="AD40797"/>
    </row>
    <row r="40798" spans="30:30" x14ac:dyDescent="0.25">
      <c r="AD40798"/>
    </row>
    <row r="40799" spans="30:30" x14ac:dyDescent="0.25">
      <c r="AD40799"/>
    </row>
    <row r="40800" spans="30:30" x14ac:dyDescent="0.25">
      <c r="AD40800"/>
    </row>
    <row r="40801" spans="30:30" x14ac:dyDescent="0.25">
      <c r="AD40801"/>
    </row>
    <row r="40802" spans="30:30" x14ac:dyDescent="0.25">
      <c r="AD40802"/>
    </row>
    <row r="40803" spans="30:30" x14ac:dyDescent="0.25">
      <c r="AD40803"/>
    </row>
    <row r="40804" spans="30:30" x14ac:dyDescent="0.25">
      <c r="AD40804"/>
    </row>
    <row r="40805" spans="30:30" x14ac:dyDescent="0.25">
      <c r="AD40805"/>
    </row>
    <row r="40806" spans="30:30" x14ac:dyDescent="0.25">
      <c r="AD40806"/>
    </row>
    <row r="40807" spans="30:30" x14ac:dyDescent="0.25">
      <c r="AD40807"/>
    </row>
    <row r="40808" spans="30:30" x14ac:dyDescent="0.25">
      <c r="AD40808"/>
    </row>
    <row r="40809" spans="30:30" x14ac:dyDescent="0.25">
      <c r="AD40809"/>
    </row>
    <row r="40810" spans="30:30" x14ac:dyDescent="0.25">
      <c r="AD40810"/>
    </row>
    <row r="40811" spans="30:30" x14ac:dyDescent="0.25">
      <c r="AD40811"/>
    </row>
    <row r="40812" spans="30:30" x14ac:dyDescent="0.25">
      <c r="AD40812"/>
    </row>
    <row r="40813" spans="30:30" x14ac:dyDescent="0.25">
      <c r="AD40813"/>
    </row>
    <row r="40814" spans="30:30" x14ac:dyDescent="0.25">
      <c r="AD40814"/>
    </row>
    <row r="40815" spans="30:30" x14ac:dyDescent="0.25">
      <c r="AD40815"/>
    </row>
    <row r="40816" spans="30:30" x14ac:dyDescent="0.25">
      <c r="AD40816"/>
    </row>
    <row r="40817" spans="30:30" x14ac:dyDescent="0.25">
      <c r="AD40817"/>
    </row>
    <row r="40818" spans="30:30" x14ac:dyDescent="0.25">
      <c r="AD40818"/>
    </row>
    <row r="40819" spans="30:30" x14ac:dyDescent="0.25">
      <c r="AD40819"/>
    </row>
    <row r="40820" spans="30:30" x14ac:dyDescent="0.25">
      <c r="AD40820"/>
    </row>
    <row r="40821" spans="30:30" x14ac:dyDescent="0.25">
      <c r="AD40821"/>
    </row>
    <row r="40822" spans="30:30" x14ac:dyDescent="0.25">
      <c r="AD40822"/>
    </row>
    <row r="40823" spans="30:30" x14ac:dyDescent="0.25">
      <c r="AD40823"/>
    </row>
    <row r="40824" spans="30:30" x14ac:dyDescent="0.25">
      <c r="AD40824"/>
    </row>
    <row r="40825" spans="30:30" x14ac:dyDescent="0.25">
      <c r="AD40825"/>
    </row>
    <row r="40826" spans="30:30" x14ac:dyDescent="0.25">
      <c r="AD40826"/>
    </row>
    <row r="40827" spans="30:30" x14ac:dyDescent="0.25">
      <c r="AD40827"/>
    </row>
    <row r="40828" spans="30:30" x14ac:dyDescent="0.25">
      <c r="AD40828"/>
    </row>
    <row r="40829" spans="30:30" x14ac:dyDescent="0.25">
      <c r="AD40829"/>
    </row>
    <row r="40830" spans="30:30" x14ac:dyDescent="0.25">
      <c r="AD40830"/>
    </row>
    <row r="40831" spans="30:30" x14ac:dyDescent="0.25">
      <c r="AD40831"/>
    </row>
    <row r="40832" spans="30:30" x14ac:dyDescent="0.25">
      <c r="AD40832"/>
    </row>
    <row r="40833" spans="30:30" x14ac:dyDescent="0.25">
      <c r="AD40833"/>
    </row>
    <row r="40834" spans="30:30" x14ac:dyDescent="0.25">
      <c r="AD40834"/>
    </row>
    <row r="40835" spans="30:30" x14ac:dyDescent="0.25">
      <c r="AD40835"/>
    </row>
    <row r="40836" spans="30:30" x14ac:dyDescent="0.25">
      <c r="AD40836"/>
    </row>
    <row r="40837" spans="30:30" x14ac:dyDescent="0.25">
      <c r="AD40837"/>
    </row>
    <row r="40838" spans="30:30" x14ac:dyDescent="0.25">
      <c r="AD40838"/>
    </row>
    <row r="40839" spans="30:30" x14ac:dyDescent="0.25">
      <c r="AD40839"/>
    </row>
    <row r="40840" spans="30:30" x14ac:dyDescent="0.25">
      <c r="AD40840"/>
    </row>
    <row r="40841" spans="30:30" x14ac:dyDescent="0.25">
      <c r="AD40841"/>
    </row>
    <row r="40842" spans="30:30" x14ac:dyDescent="0.25">
      <c r="AD40842"/>
    </row>
    <row r="40843" spans="30:30" x14ac:dyDescent="0.25">
      <c r="AD40843"/>
    </row>
    <row r="40844" spans="30:30" x14ac:dyDescent="0.25">
      <c r="AD40844"/>
    </row>
    <row r="40845" spans="30:30" x14ac:dyDescent="0.25">
      <c r="AD40845"/>
    </row>
    <row r="40846" spans="30:30" x14ac:dyDescent="0.25">
      <c r="AD40846"/>
    </row>
    <row r="40847" spans="30:30" x14ac:dyDescent="0.25">
      <c r="AD40847"/>
    </row>
    <row r="40848" spans="30:30" x14ac:dyDescent="0.25">
      <c r="AD40848"/>
    </row>
    <row r="40849" spans="30:30" x14ac:dyDescent="0.25">
      <c r="AD40849"/>
    </row>
    <row r="40850" spans="30:30" x14ac:dyDescent="0.25">
      <c r="AD40850"/>
    </row>
    <row r="40851" spans="30:30" x14ac:dyDescent="0.25">
      <c r="AD40851"/>
    </row>
    <row r="40852" spans="30:30" x14ac:dyDescent="0.25">
      <c r="AD40852"/>
    </row>
    <row r="40853" spans="30:30" x14ac:dyDescent="0.25">
      <c r="AD40853"/>
    </row>
    <row r="40854" spans="30:30" x14ac:dyDescent="0.25">
      <c r="AD40854"/>
    </row>
    <row r="40855" spans="30:30" x14ac:dyDescent="0.25">
      <c r="AD40855"/>
    </row>
    <row r="40856" spans="30:30" x14ac:dyDescent="0.25">
      <c r="AD40856"/>
    </row>
    <row r="40857" spans="30:30" x14ac:dyDescent="0.25">
      <c r="AD40857"/>
    </row>
    <row r="40858" spans="30:30" x14ac:dyDescent="0.25">
      <c r="AD40858"/>
    </row>
    <row r="40859" spans="30:30" x14ac:dyDescent="0.25">
      <c r="AD40859"/>
    </row>
    <row r="40860" spans="30:30" x14ac:dyDescent="0.25">
      <c r="AD40860"/>
    </row>
    <row r="40861" spans="30:30" x14ac:dyDescent="0.25">
      <c r="AD40861"/>
    </row>
    <row r="40862" spans="30:30" x14ac:dyDescent="0.25">
      <c r="AD40862"/>
    </row>
    <row r="40863" spans="30:30" x14ac:dyDescent="0.25">
      <c r="AD40863"/>
    </row>
    <row r="40864" spans="30:30" x14ac:dyDescent="0.25">
      <c r="AD40864"/>
    </row>
    <row r="40865" spans="30:30" x14ac:dyDescent="0.25">
      <c r="AD40865"/>
    </row>
    <row r="40866" spans="30:30" x14ac:dyDescent="0.25">
      <c r="AD40866"/>
    </row>
    <row r="40867" spans="30:30" x14ac:dyDescent="0.25">
      <c r="AD40867"/>
    </row>
    <row r="40868" spans="30:30" x14ac:dyDescent="0.25">
      <c r="AD40868"/>
    </row>
    <row r="40869" spans="30:30" x14ac:dyDescent="0.25">
      <c r="AD40869"/>
    </row>
    <row r="40870" spans="30:30" x14ac:dyDescent="0.25">
      <c r="AD40870"/>
    </row>
    <row r="40871" spans="30:30" x14ac:dyDescent="0.25">
      <c r="AD40871"/>
    </row>
    <row r="40872" spans="30:30" x14ac:dyDescent="0.25">
      <c r="AD40872"/>
    </row>
    <row r="40873" spans="30:30" x14ac:dyDescent="0.25">
      <c r="AD40873"/>
    </row>
    <row r="40874" spans="30:30" x14ac:dyDescent="0.25">
      <c r="AD40874"/>
    </row>
    <row r="40875" spans="30:30" x14ac:dyDescent="0.25">
      <c r="AD40875"/>
    </row>
    <row r="40876" spans="30:30" x14ac:dyDescent="0.25">
      <c r="AD40876"/>
    </row>
    <row r="40877" spans="30:30" x14ac:dyDescent="0.25">
      <c r="AD40877"/>
    </row>
    <row r="40878" spans="30:30" x14ac:dyDescent="0.25">
      <c r="AD40878"/>
    </row>
    <row r="40879" spans="30:30" x14ac:dyDescent="0.25">
      <c r="AD40879"/>
    </row>
    <row r="40880" spans="30:30" x14ac:dyDescent="0.25">
      <c r="AD40880"/>
    </row>
    <row r="40881" spans="30:30" x14ac:dyDescent="0.25">
      <c r="AD40881"/>
    </row>
    <row r="40882" spans="30:30" x14ac:dyDescent="0.25">
      <c r="AD40882"/>
    </row>
    <row r="40883" spans="30:30" x14ac:dyDescent="0.25">
      <c r="AD40883"/>
    </row>
    <row r="40884" spans="30:30" x14ac:dyDescent="0.25">
      <c r="AD40884"/>
    </row>
    <row r="40885" spans="30:30" x14ac:dyDescent="0.25">
      <c r="AD40885"/>
    </row>
    <row r="40886" spans="30:30" x14ac:dyDescent="0.25">
      <c r="AD40886"/>
    </row>
    <row r="40887" spans="30:30" x14ac:dyDescent="0.25">
      <c r="AD40887"/>
    </row>
    <row r="40888" spans="30:30" x14ac:dyDescent="0.25">
      <c r="AD40888"/>
    </row>
    <row r="40889" spans="30:30" x14ac:dyDescent="0.25">
      <c r="AD40889"/>
    </row>
    <row r="40890" spans="30:30" x14ac:dyDescent="0.25">
      <c r="AD40890"/>
    </row>
    <row r="40891" spans="30:30" x14ac:dyDescent="0.25">
      <c r="AD40891"/>
    </row>
    <row r="40892" spans="30:30" x14ac:dyDescent="0.25">
      <c r="AD40892"/>
    </row>
    <row r="40893" spans="30:30" x14ac:dyDescent="0.25">
      <c r="AD40893"/>
    </row>
    <row r="40894" spans="30:30" x14ac:dyDescent="0.25">
      <c r="AD40894"/>
    </row>
    <row r="40895" spans="30:30" x14ac:dyDescent="0.25">
      <c r="AD40895"/>
    </row>
    <row r="40896" spans="30:30" x14ac:dyDescent="0.25">
      <c r="AD40896"/>
    </row>
    <row r="40897" spans="30:30" x14ac:dyDescent="0.25">
      <c r="AD40897"/>
    </row>
    <row r="40898" spans="30:30" x14ac:dyDescent="0.25">
      <c r="AD40898"/>
    </row>
    <row r="40899" spans="30:30" x14ac:dyDescent="0.25">
      <c r="AD40899"/>
    </row>
    <row r="40900" spans="30:30" x14ac:dyDescent="0.25">
      <c r="AD40900"/>
    </row>
    <row r="40901" spans="30:30" x14ac:dyDescent="0.25">
      <c r="AD40901"/>
    </row>
    <row r="40902" spans="30:30" x14ac:dyDescent="0.25">
      <c r="AD40902"/>
    </row>
    <row r="40903" spans="30:30" x14ac:dyDescent="0.25">
      <c r="AD40903"/>
    </row>
    <row r="40904" spans="30:30" x14ac:dyDescent="0.25">
      <c r="AD40904"/>
    </row>
    <row r="40905" spans="30:30" x14ac:dyDescent="0.25">
      <c r="AD40905"/>
    </row>
    <row r="40906" spans="30:30" x14ac:dyDescent="0.25">
      <c r="AD40906"/>
    </row>
    <row r="40907" spans="30:30" x14ac:dyDescent="0.25">
      <c r="AD40907"/>
    </row>
    <row r="40908" spans="30:30" x14ac:dyDescent="0.25">
      <c r="AD40908"/>
    </row>
    <row r="40909" spans="30:30" x14ac:dyDescent="0.25">
      <c r="AD40909"/>
    </row>
    <row r="40910" spans="30:30" x14ac:dyDescent="0.25">
      <c r="AD40910"/>
    </row>
    <row r="40911" spans="30:30" x14ac:dyDescent="0.25">
      <c r="AD40911"/>
    </row>
    <row r="40912" spans="30:30" x14ac:dyDescent="0.25">
      <c r="AD40912"/>
    </row>
    <row r="40913" spans="30:30" x14ac:dyDescent="0.25">
      <c r="AD40913"/>
    </row>
    <row r="40914" spans="30:30" x14ac:dyDescent="0.25">
      <c r="AD40914"/>
    </row>
    <row r="40915" spans="30:30" x14ac:dyDescent="0.25">
      <c r="AD40915"/>
    </row>
    <row r="40916" spans="30:30" x14ac:dyDescent="0.25">
      <c r="AD40916"/>
    </row>
    <row r="40917" spans="30:30" x14ac:dyDescent="0.25">
      <c r="AD40917"/>
    </row>
    <row r="40918" spans="30:30" x14ac:dyDescent="0.25">
      <c r="AD40918"/>
    </row>
    <row r="40919" spans="30:30" x14ac:dyDescent="0.25">
      <c r="AD40919"/>
    </row>
    <row r="40920" spans="30:30" x14ac:dyDescent="0.25">
      <c r="AD40920"/>
    </row>
    <row r="40921" spans="30:30" x14ac:dyDescent="0.25">
      <c r="AD40921"/>
    </row>
    <row r="40922" spans="30:30" x14ac:dyDescent="0.25">
      <c r="AD40922"/>
    </row>
    <row r="40923" spans="30:30" x14ac:dyDescent="0.25">
      <c r="AD40923"/>
    </row>
    <row r="40924" spans="30:30" x14ac:dyDescent="0.25">
      <c r="AD40924"/>
    </row>
    <row r="40925" spans="30:30" x14ac:dyDescent="0.25">
      <c r="AD40925"/>
    </row>
    <row r="40926" spans="30:30" x14ac:dyDescent="0.25">
      <c r="AD40926"/>
    </row>
    <row r="40927" spans="30:30" x14ac:dyDescent="0.25">
      <c r="AD40927"/>
    </row>
    <row r="40928" spans="30:30" x14ac:dyDescent="0.25">
      <c r="AD40928"/>
    </row>
    <row r="40929" spans="30:30" x14ac:dyDescent="0.25">
      <c r="AD40929"/>
    </row>
    <row r="40930" spans="30:30" x14ac:dyDescent="0.25">
      <c r="AD40930"/>
    </row>
    <row r="40931" spans="30:30" x14ac:dyDescent="0.25">
      <c r="AD40931"/>
    </row>
    <row r="40932" spans="30:30" x14ac:dyDescent="0.25">
      <c r="AD40932"/>
    </row>
    <row r="40933" spans="30:30" x14ac:dyDescent="0.25">
      <c r="AD40933"/>
    </row>
    <row r="40934" spans="30:30" x14ac:dyDescent="0.25">
      <c r="AD40934"/>
    </row>
    <row r="40935" spans="30:30" x14ac:dyDescent="0.25">
      <c r="AD40935"/>
    </row>
    <row r="40936" spans="30:30" x14ac:dyDescent="0.25">
      <c r="AD40936"/>
    </row>
    <row r="40937" spans="30:30" x14ac:dyDescent="0.25">
      <c r="AD40937"/>
    </row>
    <row r="40938" spans="30:30" x14ac:dyDescent="0.25">
      <c r="AD40938"/>
    </row>
    <row r="40939" spans="30:30" x14ac:dyDescent="0.25">
      <c r="AD40939"/>
    </row>
    <row r="40940" spans="30:30" x14ac:dyDescent="0.25">
      <c r="AD40940"/>
    </row>
    <row r="40941" spans="30:30" x14ac:dyDescent="0.25">
      <c r="AD40941"/>
    </row>
    <row r="40942" spans="30:30" x14ac:dyDescent="0.25">
      <c r="AD40942"/>
    </row>
    <row r="40943" spans="30:30" x14ac:dyDescent="0.25">
      <c r="AD40943"/>
    </row>
    <row r="40944" spans="30:30" x14ac:dyDescent="0.25">
      <c r="AD40944"/>
    </row>
    <row r="40945" spans="30:30" x14ac:dyDescent="0.25">
      <c r="AD40945"/>
    </row>
    <row r="40946" spans="30:30" x14ac:dyDescent="0.25">
      <c r="AD40946"/>
    </row>
    <row r="40947" spans="30:30" x14ac:dyDescent="0.25">
      <c r="AD40947"/>
    </row>
    <row r="40948" spans="30:30" x14ac:dyDescent="0.25">
      <c r="AD40948"/>
    </row>
    <row r="40949" spans="30:30" x14ac:dyDescent="0.25">
      <c r="AD40949"/>
    </row>
    <row r="40950" spans="30:30" x14ac:dyDescent="0.25">
      <c r="AD40950"/>
    </row>
    <row r="40951" spans="30:30" x14ac:dyDescent="0.25">
      <c r="AD40951"/>
    </row>
    <row r="40952" spans="30:30" x14ac:dyDescent="0.25">
      <c r="AD40952"/>
    </row>
    <row r="40953" spans="30:30" x14ac:dyDescent="0.25">
      <c r="AD40953"/>
    </row>
    <row r="40954" spans="30:30" x14ac:dyDescent="0.25">
      <c r="AD40954"/>
    </row>
    <row r="40955" spans="30:30" x14ac:dyDescent="0.25">
      <c r="AD40955"/>
    </row>
    <row r="40956" spans="30:30" x14ac:dyDescent="0.25">
      <c r="AD40956"/>
    </row>
    <row r="40957" spans="30:30" x14ac:dyDescent="0.25">
      <c r="AD40957"/>
    </row>
    <row r="40958" spans="30:30" x14ac:dyDescent="0.25">
      <c r="AD40958"/>
    </row>
    <row r="40959" spans="30:30" x14ac:dyDescent="0.25">
      <c r="AD40959"/>
    </row>
    <row r="40960" spans="30:30" x14ac:dyDescent="0.25">
      <c r="AD40960"/>
    </row>
    <row r="40961" spans="30:30" x14ac:dyDescent="0.25">
      <c r="AD40961"/>
    </row>
    <row r="40962" spans="30:30" x14ac:dyDescent="0.25">
      <c r="AD40962"/>
    </row>
    <row r="40963" spans="30:30" x14ac:dyDescent="0.25">
      <c r="AD40963"/>
    </row>
    <row r="40964" spans="30:30" x14ac:dyDescent="0.25">
      <c r="AD40964"/>
    </row>
    <row r="40965" spans="30:30" x14ac:dyDescent="0.25">
      <c r="AD40965"/>
    </row>
    <row r="40966" spans="30:30" x14ac:dyDescent="0.25">
      <c r="AD40966"/>
    </row>
    <row r="40967" spans="30:30" x14ac:dyDescent="0.25">
      <c r="AD40967"/>
    </row>
    <row r="40968" spans="30:30" x14ac:dyDescent="0.25">
      <c r="AD40968"/>
    </row>
    <row r="40969" spans="30:30" x14ac:dyDescent="0.25">
      <c r="AD40969"/>
    </row>
    <row r="40970" spans="30:30" x14ac:dyDescent="0.25">
      <c r="AD40970"/>
    </row>
    <row r="40971" spans="30:30" x14ac:dyDescent="0.25">
      <c r="AD40971"/>
    </row>
    <row r="40972" spans="30:30" x14ac:dyDescent="0.25">
      <c r="AD40972"/>
    </row>
    <row r="40973" spans="30:30" x14ac:dyDescent="0.25">
      <c r="AD40973"/>
    </row>
    <row r="40974" spans="30:30" x14ac:dyDescent="0.25">
      <c r="AD40974"/>
    </row>
    <row r="40975" spans="30:30" x14ac:dyDescent="0.25">
      <c r="AD40975"/>
    </row>
    <row r="40976" spans="30:30" x14ac:dyDescent="0.25">
      <c r="AD40976"/>
    </row>
    <row r="40977" spans="30:30" x14ac:dyDescent="0.25">
      <c r="AD40977"/>
    </row>
    <row r="40978" spans="30:30" x14ac:dyDescent="0.25">
      <c r="AD40978"/>
    </row>
    <row r="40979" spans="30:30" x14ac:dyDescent="0.25">
      <c r="AD40979"/>
    </row>
    <row r="40980" spans="30:30" x14ac:dyDescent="0.25">
      <c r="AD40980"/>
    </row>
    <row r="40981" spans="30:30" x14ac:dyDescent="0.25">
      <c r="AD40981"/>
    </row>
    <row r="40982" spans="30:30" x14ac:dyDescent="0.25">
      <c r="AD40982"/>
    </row>
    <row r="40983" spans="30:30" x14ac:dyDescent="0.25">
      <c r="AD40983"/>
    </row>
    <row r="40984" spans="30:30" x14ac:dyDescent="0.25">
      <c r="AD40984"/>
    </row>
    <row r="40985" spans="30:30" x14ac:dyDescent="0.25">
      <c r="AD40985"/>
    </row>
    <row r="40986" spans="30:30" x14ac:dyDescent="0.25">
      <c r="AD40986"/>
    </row>
    <row r="40987" spans="30:30" x14ac:dyDescent="0.25">
      <c r="AD40987"/>
    </row>
    <row r="40988" spans="30:30" x14ac:dyDescent="0.25">
      <c r="AD40988"/>
    </row>
    <row r="40989" spans="30:30" x14ac:dyDescent="0.25">
      <c r="AD40989"/>
    </row>
    <row r="40990" spans="30:30" x14ac:dyDescent="0.25">
      <c r="AD40990"/>
    </row>
    <row r="40991" spans="30:30" x14ac:dyDescent="0.25">
      <c r="AD40991"/>
    </row>
    <row r="40992" spans="30:30" x14ac:dyDescent="0.25">
      <c r="AD40992"/>
    </row>
    <row r="40993" spans="30:30" x14ac:dyDescent="0.25">
      <c r="AD40993"/>
    </row>
    <row r="40994" spans="30:30" x14ac:dyDescent="0.25">
      <c r="AD40994"/>
    </row>
    <row r="40995" spans="30:30" x14ac:dyDescent="0.25">
      <c r="AD40995"/>
    </row>
    <row r="40996" spans="30:30" x14ac:dyDescent="0.25">
      <c r="AD40996"/>
    </row>
    <row r="40997" spans="30:30" x14ac:dyDescent="0.25">
      <c r="AD40997"/>
    </row>
    <row r="40998" spans="30:30" x14ac:dyDescent="0.25">
      <c r="AD40998"/>
    </row>
    <row r="40999" spans="30:30" x14ac:dyDescent="0.25">
      <c r="AD40999"/>
    </row>
    <row r="41000" spans="30:30" x14ac:dyDescent="0.25">
      <c r="AD41000"/>
    </row>
    <row r="41001" spans="30:30" x14ac:dyDescent="0.25">
      <c r="AD41001"/>
    </row>
    <row r="41002" spans="30:30" x14ac:dyDescent="0.25">
      <c r="AD41002"/>
    </row>
    <row r="41003" spans="30:30" x14ac:dyDescent="0.25">
      <c r="AD41003"/>
    </row>
    <row r="41004" spans="30:30" x14ac:dyDescent="0.25">
      <c r="AD41004"/>
    </row>
    <row r="41005" spans="30:30" x14ac:dyDescent="0.25">
      <c r="AD41005"/>
    </row>
    <row r="41006" spans="30:30" x14ac:dyDescent="0.25">
      <c r="AD41006"/>
    </row>
    <row r="41007" spans="30:30" x14ac:dyDescent="0.25">
      <c r="AD41007"/>
    </row>
    <row r="41008" spans="30:30" x14ac:dyDescent="0.25">
      <c r="AD41008"/>
    </row>
    <row r="41009" spans="30:30" x14ac:dyDescent="0.25">
      <c r="AD41009"/>
    </row>
    <row r="41010" spans="30:30" x14ac:dyDescent="0.25">
      <c r="AD41010"/>
    </row>
    <row r="41011" spans="30:30" x14ac:dyDescent="0.25">
      <c r="AD41011"/>
    </row>
    <row r="41012" spans="30:30" x14ac:dyDescent="0.25">
      <c r="AD41012"/>
    </row>
    <row r="41013" spans="30:30" x14ac:dyDescent="0.25">
      <c r="AD41013"/>
    </row>
    <row r="41014" spans="30:30" x14ac:dyDescent="0.25">
      <c r="AD41014"/>
    </row>
    <row r="41015" spans="30:30" x14ac:dyDescent="0.25">
      <c r="AD41015"/>
    </row>
    <row r="41016" spans="30:30" x14ac:dyDescent="0.25">
      <c r="AD41016"/>
    </row>
    <row r="41017" spans="30:30" x14ac:dyDescent="0.25">
      <c r="AD41017"/>
    </row>
    <row r="41018" spans="30:30" x14ac:dyDescent="0.25">
      <c r="AD41018"/>
    </row>
    <row r="41019" spans="30:30" x14ac:dyDescent="0.25">
      <c r="AD41019"/>
    </row>
    <row r="41020" spans="30:30" x14ac:dyDescent="0.25">
      <c r="AD41020"/>
    </row>
    <row r="41021" spans="30:30" x14ac:dyDescent="0.25">
      <c r="AD41021"/>
    </row>
    <row r="41022" spans="30:30" x14ac:dyDescent="0.25">
      <c r="AD41022"/>
    </row>
    <row r="41023" spans="30:30" x14ac:dyDescent="0.25">
      <c r="AD41023"/>
    </row>
    <row r="41024" spans="30:30" x14ac:dyDescent="0.25">
      <c r="AD41024"/>
    </row>
    <row r="41025" spans="30:30" x14ac:dyDescent="0.25">
      <c r="AD41025"/>
    </row>
    <row r="41026" spans="30:30" x14ac:dyDescent="0.25">
      <c r="AD41026"/>
    </row>
    <row r="41027" spans="30:30" x14ac:dyDescent="0.25">
      <c r="AD41027"/>
    </row>
    <row r="41028" spans="30:30" x14ac:dyDescent="0.25">
      <c r="AD41028"/>
    </row>
    <row r="41029" spans="30:30" x14ac:dyDescent="0.25">
      <c r="AD41029"/>
    </row>
    <row r="41030" spans="30:30" x14ac:dyDescent="0.25">
      <c r="AD41030"/>
    </row>
    <row r="41031" spans="30:30" x14ac:dyDescent="0.25">
      <c r="AD41031"/>
    </row>
    <row r="41032" spans="30:30" x14ac:dyDescent="0.25">
      <c r="AD41032"/>
    </row>
    <row r="41033" spans="30:30" x14ac:dyDescent="0.25">
      <c r="AD41033"/>
    </row>
    <row r="41034" spans="30:30" x14ac:dyDescent="0.25">
      <c r="AD41034"/>
    </row>
    <row r="41035" spans="30:30" x14ac:dyDescent="0.25">
      <c r="AD41035"/>
    </row>
    <row r="41036" spans="30:30" x14ac:dyDescent="0.25">
      <c r="AD41036"/>
    </row>
    <row r="41037" spans="30:30" x14ac:dyDescent="0.25">
      <c r="AD41037"/>
    </row>
    <row r="41038" spans="30:30" x14ac:dyDescent="0.25">
      <c r="AD41038"/>
    </row>
    <row r="41039" spans="30:30" x14ac:dyDescent="0.25">
      <c r="AD41039"/>
    </row>
    <row r="41040" spans="30:30" x14ac:dyDescent="0.25">
      <c r="AD41040"/>
    </row>
    <row r="41041" spans="30:30" x14ac:dyDescent="0.25">
      <c r="AD41041"/>
    </row>
    <row r="41042" spans="30:30" x14ac:dyDescent="0.25">
      <c r="AD41042"/>
    </row>
    <row r="41043" spans="30:30" x14ac:dyDescent="0.25">
      <c r="AD41043"/>
    </row>
    <row r="41044" spans="30:30" x14ac:dyDescent="0.25">
      <c r="AD41044"/>
    </row>
    <row r="41045" spans="30:30" x14ac:dyDescent="0.25">
      <c r="AD41045"/>
    </row>
    <row r="41046" spans="30:30" x14ac:dyDescent="0.25">
      <c r="AD41046"/>
    </row>
    <row r="41047" spans="30:30" x14ac:dyDescent="0.25">
      <c r="AD41047"/>
    </row>
    <row r="41048" spans="30:30" x14ac:dyDescent="0.25">
      <c r="AD41048"/>
    </row>
    <row r="41049" spans="30:30" x14ac:dyDescent="0.25">
      <c r="AD41049"/>
    </row>
    <row r="41050" spans="30:30" x14ac:dyDescent="0.25">
      <c r="AD41050"/>
    </row>
    <row r="41051" spans="30:30" x14ac:dyDescent="0.25">
      <c r="AD41051"/>
    </row>
    <row r="41052" spans="30:30" x14ac:dyDescent="0.25">
      <c r="AD41052"/>
    </row>
    <row r="41053" spans="30:30" x14ac:dyDescent="0.25">
      <c r="AD41053"/>
    </row>
    <row r="41054" spans="30:30" x14ac:dyDescent="0.25">
      <c r="AD41054"/>
    </row>
    <row r="41055" spans="30:30" x14ac:dyDescent="0.25">
      <c r="AD41055"/>
    </row>
    <row r="41056" spans="30:30" x14ac:dyDescent="0.25">
      <c r="AD41056"/>
    </row>
    <row r="41057" spans="30:30" x14ac:dyDescent="0.25">
      <c r="AD41057"/>
    </row>
    <row r="41058" spans="30:30" x14ac:dyDescent="0.25">
      <c r="AD41058"/>
    </row>
    <row r="41059" spans="30:30" x14ac:dyDescent="0.25">
      <c r="AD41059"/>
    </row>
    <row r="41060" spans="30:30" x14ac:dyDescent="0.25">
      <c r="AD41060"/>
    </row>
    <row r="41061" spans="30:30" x14ac:dyDescent="0.25">
      <c r="AD41061"/>
    </row>
    <row r="41062" spans="30:30" x14ac:dyDescent="0.25">
      <c r="AD41062"/>
    </row>
    <row r="41063" spans="30:30" x14ac:dyDescent="0.25">
      <c r="AD41063"/>
    </row>
    <row r="41064" spans="30:30" x14ac:dyDescent="0.25">
      <c r="AD41064"/>
    </row>
    <row r="41065" spans="30:30" x14ac:dyDescent="0.25">
      <c r="AD41065"/>
    </row>
    <row r="41066" spans="30:30" x14ac:dyDescent="0.25">
      <c r="AD41066"/>
    </row>
    <row r="41067" spans="30:30" x14ac:dyDescent="0.25">
      <c r="AD41067"/>
    </row>
    <row r="41068" spans="30:30" x14ac:dyDescent="0.25">
      <c r="AD41068"/>
    </row>
    <row r="41069" spans="30:30" x14ac:dyDescent="0.25">
      <c r="AD41069"/>
    </row>
    <row r="41070" spans="30:30" x14ac:dyDescent="0.25">
      <c r="AD41070"/>
    </row>
    <row r="41071" spans="30:30" x14ac:dyDescent="0.25">
      <c r="AD41071"/>
    </row>
    <row r="41072" spans="30:30" x14ac:dyDescent="0.25">
      <c r="AD41072"/>
    </row>
    <row r="41073" spans="30:30" x14ac:dyDescent="0.25">
      <c r="AD41073"/>
    </row>
    <row r="41074" spans="30:30" x14ac:dyDescent="0.25">
      <c r="AD41074"/>
    </row>
    <row r="41075" spans="30:30" x14ac:dyDescent="0.25">
      <c r="AD41075"/>
    </row>
    <row r="41076" spans="30:30" x14ac:dyDescent="0.25">
      <c r="AD41076"/>
    </row>
    <row r="41077" spans="30:30" x14ac:dyDescent="0.25">
      <c r="AD41077"/>
    </row>
    <row r="41078" spans="30:30" x14ac:dyDescent="0.25">
      <c r="AD41078"/>
    </row>
    <row r="41079" spans="30:30" x14ac:dyDescent="0.25">
      <c r="AD41079"/>
    </row>
    <row r="41080" spans="30:30" x14ac:dyDescent="0.25">
      <c r="AD41080"/>
    </row>
    <row r="41081" spans="30:30" x14ac:dyDescent="0.25">
      <c r="AD41081"/>
    </row>
    <row r="41082" spans="30:30" x14ac:dyDescent="0.25">
      <c r="AD41082"/>
    </row>
    <row r="41083" spans="30:30" x14ac:dyDescent="0.25">
      <c r="AD41083"/>
    </row>
    <row r="41084" spans="30:30" x14ac:dyDescent="0.25">
      <c r="AD41084"/>
    </row>
    <row r="41085" spans="30:30" x14ac:dyDescent="0.25">
      <c r="AD41085"/>
    </row>
    <row r="41086" spans="30:30" x14ac:dyDescent="0.25">
      <c r="AD41086"/>
    </row>
    <row r="41087" spans="30:30" x14ac:dyDescent="0.25">
      <c r="AD41087"/>
    </row>
    <row r="41088" spans="30:30" x14ac:dyDescent="0.25">
      <c r="AD41088"/>
    </row>
    <row r="41089" spans="30:30" x14ac:dyDescent="0.25">
      <c r="AD41089"/>
    </row>
    <row r="41090" spans="30:30" x14ac:dyDescent="0.25">
      <c r="AD41090"/>
    </row>
    <row r="41091" spans="30:30" x14ac:dyDescent="0.25">
      <c r="AD41091"/>
    </row>
    <row r="41092" spans="30:30" x14ac:dyDescent="0.25">
      <c r="AD41092"/>
    </row>
    <row r="41093" spans="30:30" x14ac:dyDescent="0.25">
      <c r="AD41093"/>
    </row>
    <row r="41094" spans="30:30" x14ac:dyDescent="0.25">
      <c r="AD41094"/>
    </row>
    <row r="41095" spans="30:30" x14ac:dyDescent="0.25">
      <c r="AD41095"/>
    </row>
    <row r="41096" spans="30:30" x14ac:dyDescent="0.25">
      <c r="AD41096"/>
    </row>
    <row r="41097" spans="30:30" x14ac:dyDescent="0.25">
      <c r="AD41097"/>
    </row>
    <row r="41098" spans="30:30" x14ac:dyDescent="0.25">
      <c r="AD41098"/>
    </row>
    <row r="41099" spans="30:30" x14ac:dyDescent="0.25">
      <c r="AD41099"/>
    </row>
    <row r="41100" spans="30:30" x14ac:dyDescent="0.25">
      <c r="AD41100"/>
    </row>
    <row r="41101" spans="30:30" x14ac:dyDescent="0.25">
      <c r="AD41101"/>
    </row>
    <row r="41102" spans="30:30" x14ac:dyDescent="0.25">
      <c r="AD41102"/>
    </row>
    <row r="41103" spans="30:30" x14ac:dyDescent="0.25">
      <c r="AD41103"/>
    </row>
    <row r="41104" spans="30:30" x14ac:dyDescent="0.25">
      <c r="AD41104"/>
    </row>
    <row r="41105" spans="30:30" x14ac:dyDescent="0.25">
      <c r="AD41105"/>
    </row>
    <row r="41106" spans="30:30" x14ac:dyDescent="0.25">
      <c r="AD41106"/>
    </row>
    <row r="41107" spans="30:30" x14ac:dyDescent="0.25">
      <c r="AD41107"/>
    </row>
    <row r="41108" spans="30:30" x14ac:dyDescent="0.25">
      <c r="AD41108"/>
    </row>
    <row r="41109" spans="30:30" x14ac:dyDescent="0.25">
      <c r="AD41109"/>
    </row>
    <row r="41110" spans="30:30" x14ac:dyDescent="0.25">
      <c r="AD41110"/>
    </row>
    <row r="41111" spans="30:30" x14ac:dyDescent="0.25">
      <c r="AD41111"/>
    </row>
    <row r="41112" spans="30:30" x14ac:dyDescent="0.25">
      <c r="AD41112"/>
    </row>
    <row r="41113" spans="30:30" x14ac:dyDescent="0.25">
      <c r="AD41113"/>
    </row>
    <row r="41114" spans="30:30" x14ac:dyDescent="0.25">
      <c r="AD41114"/>
    </row>
    <row r="41115" spans="30:30" x14ac:dyDescent="0.25">
      <c r="AD41115"/>
    </row>
    <row r="41116" spans="30:30" x14ac:dyDescent="0.25">
      <c r="AD41116"/>
    </row>
    <row r="41117" spans="30:30" x14ac:dyDescent="0.25">
      <c r="AD41117"/>
    </row>
    <row r="41118" spans="30:30" x14ac:dyDescent="0.25">
      <c r="AD41118"/>
    </row>
    <row r="41119" spans="30:30" x14ac:dyDescent="0.25">
      <c r="AD41119"/>
    </row>
    <row r="41120" spans="30:30" x14ac:dyDescent="0.25">
      <c r="AD41120"/>
    </row>
    <row r="41121" spans="30:30" x14ac:dyDescent="0.25">
      <c r="AD41121"/>
    </row>
    <row r="41122" spans="30:30" x14ac:dyDescent="0.25">
      <c r="AD41122"/>
    </row>
    <row r="41123" spans="30:30" x14ac:dyDescent="0.25">
      <c r="AD41123"/>
    </row>
    <row r="41124" spans="30:30" x14ac:dyDescent="0.25">
      <c r="AD41124"/>
    </row>
    <row r="41125" spans="30:30" x14ac:dyDescent="0.25">
      <c r="AD41125"/>
    </row>
    <row r="41126" spans="30:30" x14ac:dyDescent="0.25">
      <c r="AD41126"/>
    </row>
    <row r="41127" spans="30:30" x14ac:dyDescent="0.25">
      <c r="AD41127"/>
    </row>
    <row r="41128" spans="30:30" x14ac:dyDescent="0.25">
      <c r="AD41128"/>
    </row>
    <row r="41129" spans="30:30" x14ac:dyDescent="0.25">
      <c r="AD41129"/>
    </row>
    <row r="41130" spans="30:30" x14ac:dyDescent="0.25">
      <c r="AD41130"/>
    </row>
    <row r="41131" spans="30:30" x14ac:dyDescent="0.25">
      <c r="AD41131"/>
    </row>
    <row r="41132" spans="30:30" x14ac:dyDescent="0.25">
      <c r="AD41132"/>
    </row>
    <row r="41133" spans="30:30" x14ac:dyDescent="0.25">
      <c r="AD41133"/>
    </row>
    <row r="41134" spans="30:30" x14ac:dyDescent="0.25">
      <c r="AD41134"/>
    </row>
    <row r="41135" spans="30:30" x14ac:dyDescent="0.25">
      <c r="AD41135"/>
    </row>
    <row r="41136" spans="30:30" x14ac:dyDescent="0.25">
      <c r="AD41136"/>
    </row>
    <row r="41137" spans="30:30" x14ac:dyDescent="0.25">
      <c r="AD41137"/>
    </row>
    <row r="41138" spans="30:30" x14ac:dyDescent="0.25">
      <c r="AD41138"/>
    </row>
    <row r="41139" spans="30:30" x14ac:dyDescent="0.25">
      <c r="AD41139"/>
    </row>
    <row r="41140" spans="30:30" x14ac:dyDescent="0.25">
      <c r="AD41140"/>
    </row>
    <row r="41141" spans="30:30" x14ac:dyDescent="0.25">
      <c r="AD41141"/>
    </row>
    <row r="41142" spans="30:30" x14ac:dyDescent="0.25">
      <c r="AD41142"/>
    </row>
    <row r="41143" spans="30:30" x14ac:dyDescent="0.25">
      <c r="AD41143"/>
    </row>
    <row r="41144" spans="30:30" x14ac:dyDescent="0.25">
      <c r="AD41144"/>
    </row>
    <row r="41145" spans="30:30" x14ac:dyDescent="0.25">
      <c r="AD41145"/>
    </row>
    <row r="41146" spans="30:30" x14ac:dyDescent="0.25">
      <c r="AD41146"/>
    </row>
    <row r="41147" spans="30:30" x14ac:dyDescent="0.25">
      <c r="AD41147"/>
    </row>
    <row r="41148" spans="30:30" x14ac:dyDescent="0.25">
      <c r="AD41148"/>
    </row>
    <row r="41149" spans="30:30" x14ac:dyDescent="0.25">
      <c r="AD41149"/>
    </row>
    <row r="41150" spans="30:30" x14ac:dyDescent="0.25">
      <c r="AD41150"/>
    </row>
    <row r="41151" spans="30:30" x14ac:dyDescent="0.25">
      <c r="AD41151"/>
    </row>
    <row r="41152" spans="30:30" x14ac:dyDescent="0.25">
      <c r="AD41152"/>
    </row>
    <row r="41153" spans="30:30" x14ac:dyDescent="0.25">
      <c r="AD41153"/>
    </row>
    <row r="41154" spans="30:30" x14ac:dyDescent="0.25">
      <c r="AD41154"/>
    </row>
    <row r="41155" spans="30:30" x14ac:dyDescent="0.25">
      <c r="AD41155"/>
    </row>
    <row r="41156" spans="30:30" x14ac:dyDescent="0.25">
      <c r="AD41156"/>
    </row>
    <row r="41157" spans="30:30" x14ac:dyDescent="0.25">
      <c r="AD41157"/>
    </row>
    <row r="41158" spans="30:30" x14ac:dyDescent="0.25">
      <c r="AD41158"/>
    </row>
    <row r="41159" spans="30:30" x14ac:dyDescent="0.25">
      <c r="AD41159"/>
    </row>
    <row r="41160" spans="30:30" x14ac:dyDescent="0.25">
      <c r="AD41160"/>
    </row>
    <row r="41161" spans="30:30" x14ac:dyDescent="0.25">
      <c r="AD41161"/>
    </row>
    <row r="41162" spans="30:30" x14ac:dyDescent="0.25">
      <c r="AD41162"/>
    </row>
    <row r="41163" spans="30:30" x14ac:dyDescent="0.25">
      <c r="AD41163"/>
    </row>
    <row r="41164" spans="30:30" x14ac:dyDescent="0.25">
      <c r="AD41164"/>
    </row>
    <row r="41165" spans="30:30" x14ac:dyDescent="0.25">
      <c r="AD41165"/>
    </row>
    <row r="41166" spans="30:30" x14ac:dyDescent="0.25">
      <c r="AD41166"/>
    </row>
    <row r="41167" spans="30:30" x14ac:dyDescent="0.25">
      <c r="AD41167"/>
    </row>
    <row r="41168" spans="30:30" x14ac:dyDescent="0.25">
      <c r="AD41168"/>
    </row>
    <row r="41169" spans="30:30" x14ac:dyDescent="0.25">
      <c r="AD41169"/>
    </row>
    <row r="41170" spans="30:30" x14ac:dyDescent="0.25">
      <c r="AD41170"/>
    </row>
    <row r="41171" spans="30:30" x14ac:dyDescent="0.25">
      <c r="AD41171"/>
    </row>
    <row r="41172" spans="30:30" x14ac:dyDescent="0.25">
      <c r="AD41172"/>
    </row>
    <row r="41173" spans="30:30" x14ac:dyDescent="0.25">
      <c r="AD41173"/>
    </row>
    <row r="41174" spans="30:30" x14ac:dyDescent="0.25">
      <c r="AD41174"/>
    </row>
    <row r="41175" spans="30:30" x14ac:dyDescent="0.25">
      <c r="AD41175"/>
    </row>
    <row r="41176" spans="30:30" x14ac:dyDescent="0.25">
      <c r="AD41176"/>
    </row>
    <row r="41177" spans="30:30" x14ac:dyDescent="0.25">
      <c r="AD41177"/>
    </row>
    <row r="41178" spans="30:30" x14ac:dyDescent="0.25">
      <c r="AD41178"/>
    </row>
    <row r="41179" spans="30:30" x14ac:dyDescent="0.25">
      <c r="AD41179"/>
    </row>
    <row r="41180" spans="30:30" x14ac:dyDescent="0.25">
      <c r="AD41180"/>
    </row>
    <row r="41181" spans="30:30" x14ac:dyDescent="0.25">
      <c r="AD41181"/>
    </row>
    <row r="41182" spans="30:30" x14ac:dyDescent="0.25">
      <c r="AD41182"/>
    </row>
    <row r="41183" spans="30:30" x14ac:dyDescent="0.25">
      <c r="AD41183"/>
    </row>
    <row r="41184" spans="30:30" x14ac:dyDescent="0.25">
      <c r="AD41184"/>
    </row>
    <row r="41185" spans="30:30" x14ac:dyDescent="0.25">
      <c r="AD41185"/>
    </row>
    <row r="41186" spans="30:30" x14ac:dyDescent="0.25">
      <c r="AD41186"/>
    </row>
    <row r="41187" spans="30:30" x14ac:dyDescent="0.25">
      <c r="AD41187"/>
    </row>
    <row r="41188" spans="30:30" x14ac:dyDescent="0.25">
      <c r="AD41188"/>
    </row>
    <row r="41189" spans="30:30" x14ac:dyDescent="0.25">
      <c r="AD41189"/>
    </row>
    <row r="41190" spans="30:30" x14ac:dyDescent="0.25">
      <c r="AD41190"/>
    </row>
    <row r="41191" spans="30:30" x14ac:dyDescent="0.25">
      <c r="AD41191"/>
    </row>
    <row r="41192" spans="30:30" x14ac:dyDescent="0.25">
      <c r="AD41192"/>
    </row>
    <row r="41193" spans="30:30" x14ac:dyDescent="0.25">
      <c r="AD41193"/>
    </row>
    <row r="41194" spans="30:30" x14ac:dyDescent="0.25">
      <c r="AD41194"/>
    </row>
    <row r="41195" spans="30:30" x14ac:dyDescent="0.25">
      <c r="AD41195"/>
    </row>
    <row r="41196" spans="30:30" x14ac:dyDescent="0.25">
      <c r="AD41196"/>
    </row>
    <row r="41197" spans="30:30" x14ac:dyDescent="0.25">
      <c r="AD41197"/>
    </row>
    <row r="41198" spans="30:30" x14ac:dyDescent="0.25">
      <c r="AD41198"/>
    </row>
    <row r="41199" spans="30:30" x14ac:dyDescent="0.25">
      <c r="AD41199"/>
    </row>
    <row r="41200" spans="30:30" x14ac:dyDescent="0.25">
      <c r="AD41200"/>
    </row>
    <row r="41201" spans="30:30" x14ac:dyDescent="0.25">
      <c r="AD41201"/>
    </row>
    <row r="41202" spans="30:30" x14ac:dyDescent="0.25">
      <c r="AD41202"/>
    </row>
    <row r="41203" spans="30:30" x14ac:dyDescent="0.25">
      <c r="AD41203"/>
    </row>
    <row r="41204" spans="30:30" x14ac:dyDescent="0.25">
      <c r="AD41204"/>
    </row>
    <row r="41205" spans="30:30" x14ac:dyDescent="0.25">
      <c r="AD41205"/>
    </row>
    <row r="41206" spans="30:30" x14ac:dyDescent="0.25">
      <c r="AD41206"/>
    </row>
    <row r="41207" spans="30:30" x14ac:dyDescent="0.25">
      <c r="AD41207"/>
    </row>
    <row r="41208" spans="30:30" x14ac:dyDescent="0.25">
      <c r="AD41208"/>
    </row>
    <row r="41209" spans="30:30" x14ac:dyDescent="0.25">
      <c r="AD41209"/>
    </row>
    <row r="41210" spans="30:30" x14ac:dyDescent="0.25">
      <c r="AD41210"/>
    </row>
    <row r="41211" spans="30:30" x14ac:dyDescent="0.25">
      <c r="AD41211"/>
    </row>
    <row r="41212" spans="30:30" x14ac:dyDescent="0.25">
      <c r="AD41212"/>
    </row>
    <row r="41213" spans="30:30" x14ac:dyDescent="0.25">
      <c r="AD41213"/>
    </row>
    <row r="41214" spans="30:30" x14ac:dyDescent="0.25">
      <c r="AD41214"/>
    </row>
    <row r="41215" spans="30:30" x14ac:dyDescent="0.25">
      <c r="AD41215"/>
    </row>
    <row r="41216" spans="30:30" x14ac:dyDescent="0.25">
      <c r="AD41216"/>
    </row>
    <row r="41217" spans="30:30" x14ac:dyDescent="0.25">
      <c r="AD41217"/>
    </row>
    <row r="41218" spans="30:30" x14ac:dyDescent="0.25">
      <c r="AD41218"/>
    </row>
    <row r="41219" spans="30:30" x14ac:dyDescent="0.25">
      <c r="AD41219"/>
    </row>
    <row r="41220" spans="30:30" x14ac:dyDescent="0.25">
      <c r="AD41220"/>
    </row>
    <row r="41221" spans="30:30" x14ac:dyDescent="0.25">
      <c r="AD41221"/>
    </row>
    <row r="41222" spans="30:30" x14ac:dyDescent="0.25">
      <c r="AD41222"/>
    </row>
    <row r="41223" spans="30:30" x14ac:dyDescent="0.25">
      <c r="AD41223"/>
    </row>
    <row r="41224" spans="30:30" x14ac:dyDescent="0.25">
      <c r="AD41224"/>
    </row>
    <row r="41225" spans="30:30" x14ac:dyDescent="0.25">
      <c r="AD41225"/>
    </row>
    <row r="41226" spans="30:30" x14ac:dyDescent="0.25">
      <c r="AD41226"/>
    </row>
    <row r="41227" spans="30:30" x14ac:dyDescent="0.25">
      <c r="AD41227"/>
    </row>
    <row r="41228" spans="30:30" x14ac:dyDescent="0.25">
      <c r="AD41228"/>
    </row>
    <row r="41229" spans="30:30" x14ac:dyDescent="0.25">
      <c r="AD41229"/>
    </row>
    <row r="41230" spans="30:30" x14ac:dyDescent="0.25">
      <c r="AD41230"/>
    </row>
    <row r="41231" spans="30:30" x14ac:dyDescent="0.25">
      <c r="AD41231"/>
    </row>
    <row r="41232" spans="30:30" x14ac:dyDescent="0.25">
      <c r="AD41232"/>
    </row>
    <row r="41233" spans="30:30" x14ac:dyDescent="0.25">
      <c r="AD41233"/>
    </row>
    <row r="41234" spans="30:30" x14ac:dyDescent="0.25">
      <c r="AD41234"/>
    </row>
    <row r="41235" spans="30:30" x14ac:dyDescent="0.25">
      <c r="AD41235"/>
    </row>
    <row r="41236" spans="30:30" x14ac:dyDescent="0.25">
      <c r="AD41236"/>
    </row>
    <row r="41237" spans="30:30" x14ac:dyDescent="0.25">
      <c r="AD41237"/>
    </row>
    <row r="41238" spans="30:30" x14ac:dyDescent="0.25">
      <c r="AD41238"/>
    </row>
    <row r="41239" spans="30:30" x14ac:dyDescent="0.25">
      <c r="AD41239"/>
    </row>
    <row r="41240" spans="30:30" x14ac:dyDescent="0.25">
      <c r="AD41240"/>
    </row>
    <row r="41241" spans="30:30" x14ac:dyDescent="0.25">
      <c r="AD41241"/>
    </row>
    <row r="41242" spans="30:30" x14ac:dyDescent="0.25">
      <c r="AD41242"/>
    </row>
    <row r="41243" spans="30:30" x14ac:dyDescent="0.25">
      <c r="AD41243"/>
    </row>
    <row r="41244" spans="30:30" x14ac:dyDescent="0.25">
      <c r="AD41244"/>
    </row>
    <row r="41245" spans="30:30" x14ac:dyDescent="0.25">
      <c r="AD41245"/>
    </row>
    <row r="41246" spans="30:30" x14ac:dyDescent="0.25">
      <c r="AD41246"/>
    </row>
    <row r="41247" spans="30:30" x14ac:dyDescent="0.25">
      <c r="AD41247"/>
    </row>
    <row r="41248" spans="30:30" x14ac:dyDescent="0.25">
      <c r="AD41248"/>
    </row>
    <row r="41249" spans="30:30" x14ac:dyDescent="0.25">
      <c r="AD41249"/>
    </row>
    <row r="41250" spans="30:30" x14ac:dyDescent="0.25">
      <c r="AD41250"/>
    </row>
    <row r="41251" spans="30:30" x14ac:dyDescent="0.25">
      <c r="AD41251"/>
    </row>
    <row r="41252" spans="30:30" x14ac:dyDescent="0.25">
      <c r="AD41252"/>
    </row>
    <row r="41253" spans="30:30" x14ac:dyDescent="0.25">
      <c r="AD41253"/>
    </row>
    <row r="41254" spans="30:30" x14ac:dyDescent="0.25">
      <c r="AD41254"/>
    </row>
    <row r="41255" spans="30:30" x14ac:dyDescent="0.25">
      <c r="AD41255"/>
    </row>
    <row r="41256" spans="30:30" x14ac:dyDescent="0.25">
      <c r="AD41256"/>
    </row>
    <row r="41257" spans="30:30" x14ac:dyDescent="0.25">
      <c r="AD41257"/>
    </row>
    <row r="41258" spans="30:30" x14ac:dyDescent="0.25">
      <c r="AD41258"/>
    </row>
    <row r="41259" spans="30:30" x14ac:dyDescent="0.25">
      <c r="AD41259"/>
    </row>
    <row r="41260" spans="30:30" x14ac:dyDescent="0.25">
      <c r="AD41260"/>
    </row>
    <row r="41261" spans="30:30" x14ac:dyDescent="0.25">
      <c r="AD41261"/>
    </row>
    <row r="41262" spans="30:30" x14ac:dyDescent="0.25">
      <c r="AD41262"/>
    </row>
    <row r="41263" spans="30:30" x14ac:dyDescent="0.25">
      <c r="AD41263"/>
    </row>
    <row r="41264" spans="30:30" x14ac:dyDescent="0.25">
      <c r="AD41264"/>
    </row>
    <row r="41265" spans="30:30" x14ac:dyDescent="0.25">
      <c r="AD41265"/>
    </row>
    <row r="41266" spans="30:30" x14ac:dyDescent="0.25">
      <c r="AD41266"/>
    </row>
    <row r="41267" spans="30:30" x14ac:dyDescent="0.25">
      <c r="AD41267"/>
    </row>
    <row r="41268" spans="30:30" x14ac:dyDescent="0.25">
      <c r="AD41268"/>
    </row>
    <row r="41269" spans="30:30" x14ac:dyDescent="0.25">
      <c r="AD41269"/>
    </row>
    <row r="41270" spans="30:30" x14ac:dyDescent="0.25">
      <c r="AD41270"/>
    </row>
    <row r="41271" spans="30:30" x14ac:dyDescent="0.25">
      <c r="AD41271"/>
    </row>
    <row r="41272" spans="30:30" x14ac:dyDescent="0.25">
      <c r="AD41272"/>
    </row>
    <row r="41273" spans="30:30" x14ac:dyDescent="0.25">
      <c r="AD41273"/>
    </row>
    <row r="41274" spans="30:30" x14ac:dyDescent="0.25">
      <c r="AD41274"/>
    </row>
    <row r="41275" spans="30:30" x14ac:dyDescent="0.25">
      <c r="AD41275"/>
    </row>
    <row r="41276" spans="30:30" x14ac:dyDescent="0.25">
      <c r="AD41276"/>
    </row>
    <row r="41277" spans="30:30" x14ac:dyDescent="0.25">
      <c r="AD41277"/>
    </row>
    <row r="41278" spans="30:30" x14ac:dyDescent="0.25">
      <c r="AD41278"/>
    </row>
    <row r="41279" spans="30:30" x14ac:dyDescent="0.25">
      <c r="AD41279"/>
    </row>
    <row r="41280" spans="30:30" x14ac:dyDescent="0.25">
      <c r="AD41280"/>
    </row>
    <row r="41281" spans="30:30" x14ac:dyDescent="0.25">
      <c r="AD41281"/>
    </row>
    <row r="41282" spans="30:30" x14ac:dyDescent="0.25">
      <c r="AD41282"/>
    </row>
    <row r="41283" spans="30:30" x14ac:dyDescent="0.25">
      <c r="AD41283"/>
    </row>
    <row r="41284" spans="30:30" x14ac:dyDescent="0.25">
      <c r="AD41284"/>
    </row>
    <row r="41285" spans="30:30" x14ac:dyDescent="0.25">
      <c r="AD41285"/>
    </row>
    <row r="41286" spans="30:30" x14ac:dyDescent="0.25">
      <c r="AD41286"/>
    </row>
    <row r="41287" spans="30:30" x14ac:dyDescent="0.25">
      <c r="AD41287"/>
    </row>
    <row r="41288" spans="30:30" x14ac:dyDescent="0.25">
      <c r="AD41288"/>
    </row>
    <row r="41289" spans="30:30" x14ac:dyDescent="0.25">
      <c r="AD41289"/>
    </row>
    <row r="41290" spans="30:30" x14ac:dyDescent="0.25">
      <c r="AD41290"/>
    </row>
    <row r="41291" spans="30:30" x14ac:dyDescent="0.25">
      <c r="AD41291"/>
    </row>
    <row r="41292" spans="30:30" x14ac:dyDescent="0.25">
      <c r="AD41292"/>
    </row>
    <row r="41293" spans="30:30" x14ac:dyDescent="0.25">
      <c r="AD41293"/>
    </row>
    <row r="41294" spans="30:30" x14ac:dyDescent="0.25">
      <c r="AD41294"/>
    </row>
    <row r="41295" spans="30:30" x14ac:dyDescent="0.25">
      <c r="AD41295"/>
    </row>
    <row r="41296" spans="30:30" x14ac:dyDescent="0.25">
      <c r="AD41296"/>
    </row>
    <row r="41297" spans="30:30" x14ac:dyDescent="0.25">
      <c r="AD41297"/>
    </row>
    <row r="41298" spans="30:30" x14ac:dyDescent="0.25">
      <c r="AD41298"/>
    </row>
    <row r="41299" spans="30:30" x14ac:dyDescent="0.25">
      <c r="AD41299"/>
    </row>
    <row r="41300" spans="30:30" x14ac:dyDescent="0.25">
      <c r="AD41300"/>
    </row>
    <row r="41301" spans="30:30" x14ac:dyDescent="0.25">
      <c r="AD41301"/>
    </row>
    <row r="41302" spans="30:30" x14ac:dyDescent="0.25">
      <c r="AD41302"/>
    </row>
    <row r="41303" spans="30:30" x14ac:dyDescent="0.25">
      <c r="AD41303"/>
    </row>
    <row r="41304" spans="30:30" x14ac:dyDescent="0.25">
      <c r="AD41304"/>
    </row>
    <row r="41305" spans="30:30" x14ac:dyDescent="0.25">
      <c r="AD41305"/>
    </row>
    <row r="41306" spans="30:30" x14ac:dyDescent="0.25">
      <c r="AD41306"/>
    </row>
    <row r="41307" spans="30:30" x14ac:dyDescent="0.25">
      <c r="AD41307"/>
    </row>
    <row r="41308" spans="30:30" x14ac:dyDescent="0.25">
      <c r="AD41308"/>
    </row>
    <row r="41309" spans="30:30" x14ac:dyDescent="0.25">
      <c r="AD41309"/>
    </row>
    <row r="41310" spans="30:30" x14ac:dyDescent="0.25">
      <c r="AD41310"/>
    </row>
    <row r="41311" spans="30:30" x14ac:dyDescent="0.25">
      <c r="AD41311"/>
    </row>
    <row r="41312" spans="30:30" x14ac:dyDescent="0.25">
      <c r="AD41312"/>
    </row>
    <row r="41313" spans="30:30" x14ac:dyDescent="0.25">
      <c r="AD41313"/>
    </row>
    <row r="41314" spans="30:30" x14ac:dyDescent="0.25">
      <c r="AD41314"/>
    </row>
    <row r="41315" spans="30:30" x14ac:dyDescent="0.25">
      <c r="AD41315"/>
    </row>
    <row r="41316" spans="30:30" x14ac:dyDescent="0.25">
      <c r="AD41316"/>
    </row>
    <row r="41317" spans="30:30" x14ac:dyDescent="0.25">
      <c r="AD41317"/>
    </row>
    <row r="41318" spans="30:30" x14ac:dyDescent="0.25">
      <c r="AD41318"/>
    </row>
    <row r="41319" spans="30:30" x14ac:dyDescent="0.25">
      <c r="AD41319"/>
    </row>
    <row r="41320" spans="30:30" x14ac:dyDescent="0.25">
      <c r="AD41320"/>
    </row>
    <row r="41321" spans="30:30" x14ac:dyDescent="0.25">
      <c r="AD41321"/>
    </row>
    <row r="41322" spans="30:30" x14ac:dyDescent="0.25">
      <c r="AD41322"/>
    </row>
    <row r="41323" spans="30:30" x14ac:dyDescent="0.25">
      <c r="AD41323"/>
    </row>
    <row r="41324" spans="30:30" x14ac:dyDescent="0.25">
      <c r="AD41324"/>
    </row>
    <row r="41325" spans="30:30" x14ac:dyDescent="0.25">
      <c r="AD41325"/>
    </row>
    <row r="41326" spans="30:30" x14ac:dyDescent="0.25">
      <c r="AD41326"/>
    </row>
    <row r="41327" spans="30:30" x14ac:dyDescent="0.25">
      <c r="AD41327"/>
    </row>
    <row r="41328" spans="30:30" x14ac:dyDescent="0.25">
      <c r="AD41328"/>
    </row>
    <row r="41329" spans="30:30" x14ac:dyDescent="0.25">
      <c r="AD41329"/>
    </row>
    <row r="41330" spans="30:30" x14ac:dyDescent="0.25">
      <c r="AD41330"/>
    </row>
    <row r="41331" spans="30:30" x14ac:dyDescent="0.25">
      <c r="AD41331"/>
    </row>
    <row r="41332" spans="30:30" x14ac:dyDescent="0.25">
      <c r="AD41332"/>
    </row>
    <row r="41333" spans="30:30" x14ac:dyDescent="0.25">
      <c r="AD41333"/>
    </row>
    <row r="41334" spans="30:30" x14ac:dyDescent="0.25">
      <c r="AD41334"/>
    </row>
    <row r="41335" spans="30:30" x14ac:dyDescent="0.25">
      <c r="AD41335"/>
    </row>
    <row r="41336" spans="30:30" x14ac:dyDescent="0.25">
      <c r="AD41336"/>
    </row>
    <row r="41337" spans="30:30" x14ac:dyDescent="0.25">
      <c r="AD41337"/>
    </row>
    <row r="41338" spans="30:30" x14ac:dyDescent="0.25">
      <c r="AD41338"/>
    </row>
    <row r="41339" spans="30:30" x14ac:dyDescent="0.25">
      <c r="AD41339"/>
    </row>
    <row r="41340" spans="30:30" x14ac:dyDescent="0.25">
      <c r="AD41340"/>
    </row>
    <row r="41341" spans="30:30" x14ac:dyDescent="0.25">
      <c r="AD41341"/>
    </row>
    <row r="41342" spans="30:30" x14ac:dyDescent="0.25">
      <c r="AD41342"/>
    </row>
    <row r="41343" spans="30:30" x14ac:dyDescent="0.25">
      <c r="AD41343"/>
    </row>
    <row r="41344" spans="30:30" x14ac:dyDescent="0.25">
      <c r="AD41344"/>
    </row>
    <row r="41345" spans="30:30" x14ac:dyDescent="0.25">
      <c r="AD41345"/>
    </row>
    <row r="41346" spans="30:30" x14ac:dyDescent="0.25">
      <c r="AD41346"/>
    </row>
    <row r="41347" spans="30:30" x14ac:dyDescent="0.25">
      <c r="AD41347"/>
    </row>
    <row r="41348" spans="30:30" x14ac:dyDescent="0.25">
      <c r="AD41348"/>
    </row>
    <row r="41349" spans="30:30" x14ac:dyDescent="0.25">
      <c r="AD41349"/>
    </row>
    <row r="41350" spans="30:30" x14ac:dyDescent="0.25">
      <c r="AD41350"/>
    </row>
    <row r="41351" spans="30:30" x14ac:dyDescent="0.25">
      <c r="AD41351"/>
    </row>
    <row r="41352" spans="30:30" x14ac:dyDescent="0.25">
      <c r="AD41352"/>
    </row>
    <row r="41353" spans="30:30" x14ac:dyDescent="0.25">
      <c r="AD41353"/>
    </row>
    <row r="41354" spans="30:30" x14ac:dyDescent="0.25">
      <c r="AD41354"/>
    </row>
    <row r="41355" spans="30:30" x14ac:dyDescent="0.25">
      <c r="AD41355"/>
    </row>
    <row r="41356" spans="30:30" x14ac:dyDescent="0.25">
      <c r="AD41356"/>
    </row>
    <row r="41357" spans="30:30" x14ac:dyDescent="0.25">
      <c r="AD41357"/>
    </row>
    <row r="41358" spans="30:30" x14ac:dyDescent="0.25">
      <c r="AD41358"/>
    </row>
    <row r="41359" spans="30:30" x14ac:dyDescent="0.25">
      <c r="AD41359"/>
    </row>
    <row r="41360" spans="30:30" x14ac:dyDescent="0.25">
      <c r="AD41360"/>
    </row>
    <row r="41361" spans="30:30" x14ac:dyDescent="0.25">
      <c r="AD41361"/>
    </row>
    <row r="41362" spans="30:30" x14ac:dyDescent="0.25">
      <c r="AD41362"/>
    </row>
    <row r="41363" spans="30:30" x14ac:dyDescent="0.25">
      <c r="AD41363"/>
    </row>
    <row r="41364" spans="30:30" x14ac:dyDescent="0.25">
      <c r="AD41364"/>
    </row>
    <row r="41365" spans="30:30" x14ac:dyDescent="0.25">
      <c r="AD41365"/>
    </row>
    <row r="41366" spans="30:30" x14ac:dyDescent="0.25">
      <c r="AD41366"/>
    </row>
    <row r="41367" spans="30:30" x14ac:dyDescent="0.25">
      <c r="AD41367"/>
    </row>
    <row r="41368" spans="30:30" x14ac:dyDescent="0.25">
      <c r="AD41368"/>
    </row>
    <row r="41369" spans="30:30" x14ac:dyDescent="0.25">
      <c r="AD41369"/>
    </row>
    <row r="41370" spans="30:30" x14ac:dyDescent="0.25">
      <c r="AD41370"/>
    </row>
    <row r="41371" spans="30:30" x14ac:dyDescent="0.25">
      <c r="AD41371"/>
    </row>
    <row r="41372" spans="30:30" x14ac:dyDescent="0.25">
      <c r="AD41372"/>
    </row>
    <row r="41373" spans="30:30" x14ac:dyDescent="0.25">
      <c r="AD41373"/>
    </row>
    <row r="41374" spans="30:30" x14ac:dyDescent="0.25">
      <c r="AD41374"/>
    </row>
    <row r="41375" spans="30:30" x14ac:dyDescent="0.25">
      <c r="AD41375"/>
    </row>
    <row r="41376" spans="30:30" x14ac:dyDescent="0.25">
      <c r="AD41376"/>
    </row>
    <row r="41377" spans="30:30" x14ac:dyDescent="0.25">
      <c r="AD41377"/>
    </row>
    <row r="41378" spans="30:30" x14ac:dyDescent="0.25">
      <c r="AD41378"/>
    </row>
    <row r="41379" spans="30:30" x14ac:dyDescent="0.25">
      <c r="AD41379"/>
    </row>
    <row r="41380" spans="30:30" x14ac:dyDescent="0.25">
      <c r="AD41380"/>
    </row>
    <row r="41381" spans="30:30" x14ac:dyDescent="0.25">
      <c r="AD41381"/>
    </row>
    <row r="41382" spans="30:30" x14ac:dyDescent="0.25">
      <c r="AD41382"/>
    </row>
    <row r="41383" spans="30:30" x14ac:dyDescent="0.25">
      <c r="AD41383"/>
    </row>
    <row r="41384" spans="30:30" x14ac:dyDescent="0.25">
      <c r="AD41384"/>
    </row>
    <row r="41385" spans="30:30" x14ac:dyDescent="0.25">
      <c r="AD41385"/>
    </row>
    <row r="41386" spans="30:30" x14ac:dyDescent="0.25">
      <c r="AD41386"/>
    </row>
    <row r="41387" spans="30:30" x14ac:dyDescent="0.25">
      <c r="AD41387"/>
    </row>
    <row r="41388" spans="30:30" x14ac:dyDescent="0.25">
      <c r="AD41388"/>
    </row>
    <row r="41389" spans="30:30" x14ac:dyDescent="0.25">
      <c r="AD41389"/>
    </row>
    <row r="41390" spans="30:30" x14ac:dyDescent="0.25">
      <c r="AD41390"/>
    </row>
    <row r="41391" spans="30:30" x14ac:dyDescent="0.25">
      <c r="AD41391"/>
    </row>
    <row r="41392" spans="30:30" x14ac:dyDescent="0.25">
      <c r="AD41392"/>
    </row>
    <row r="41393" spans="30:30" x14ac:dyDescent="0.25">
      <c r="AD41393"/>
    </row>
    <row r="41394" spans="30:30" x14ac:dyDescent="0.25">
      <c r="AD41394"/>
    </row>
    <row r="41395" spans="30:30" x14ac:dyDescent="0.25">
      <c r="AD41395"/>
    </row>
    <row r="41396" spans="30:30" x14ac:dyDescent="0.25">
      <c r="AD41396"/>
    </row>
    <row r="41397" spans="30:30" x14ac:dyDescent="0.25">
      <c r="AD41397"/>
    </row>
    <row r="41398" spans="30:30" x14ac:dyDescent="0.25">
      <c r="AD41398"/>
    </row>
    <row r="41399" spans="30:30" x14ac:dyDescent="0.25">
      <c r="AD41399"/>
    </row>
    <row r="41400" spans="30:30" x14ac:dyDescent="0.25">
      <c r="AD41400"/>
    </row>
    <row r="41401" spans="30:30" x14ac:dyDescent="0.25">
      <c r="AD41401"/>
    </row>
    <row r="41402" spans="30:30" x14ac:dyDescent="0.25">
      <c r="AD41402"/>
    </row>
    <row r="41403" spans="30:30" x14ac:dyDescent="0.25">
      <c r="AD41403"/>
    </row>
    <row r="41404" spans="30:30" x14ac:dyDescent="0.25">
      <c r="AD41404"/>
    </row>
    <row r="41405" spans="30:30" x14ac:dyDescent="0.25">
      <c r="AD41405"/>
    </row>
    <row r="41406" spans="30:30" x14ac:dyDescent="0.25">
      <c r="AD41406"/>
    </row>
    <row r="41407" spans="30:30" x14ac:dyDescent="0.25">
      <c r="AD41407"/>
    </row>
    <row r="41408" spans="30:30" x14ac:dyDescent="0.25">
      <c r="AD41408"/>
    </row>
    <row r="41409" spans="30:30" x14ac:dyDescent="0.25">
      <c r="AD41409"/>
    </row>
    <row r="41410" spans="30:30" x14ac:dyDescent="0.25">
      <c r="AD41410"/>
    </row>
    <row r="41411" spans="30:30" x14ac:dyDescent="0.25">
      <c r="AD41411"/>
    </row>
    <row r="41412" spans="30:30" x14ac:dyDescent="0.25">
      <c r="AD41412"/>
    </row>
    <row r="41413" spans="30:30" x14ac:dyDescent="0.25">
      <c r="AD41413"/>
    </row>
    <row r="41414" spans="30:30" x14ac:dyDescent="0.25">
      <c r="AD41414"/>
    </row>
    <row r="41415" spans="30:30" x14ac:dyDescent="0.25">
      <c r="AD41415"/>
    </row>
    <row r="41416" spans="30:30" x14ac:dyDescent="0.25">
      <c r="AD41416"/>
    </row>
    <row r="41417" spans="30:30" x14ac:dyDescent="0.25">
      <c r="AD41417"/>
    </row>
    <row r="41418" spans="30:30" x14ac:dyDescent="0.25">
      <c r="AD41418"/>
    </row>
    <row r="41419" spans="30:30" x14ac:dyDescent="0.25">
      <c r="AD41419"/>
    </row>
    <row r="41420" spans="30:30" x14ac:dyDescent="0.25">
      <c r="AD41420"/>
    </row>
    <row r="41421" spans="30:30" x14ac:dyDescent="0.25">
      <c r="AD41421"/>
    </row>
    <row r="41422" spans="30:30" x14ac:dyDescent="0.25">
      <c r="AD41422"/>
    </row>
    <row r="41423" spans="30:30" x14ac:dyDescent="0.25">
      <c r="AD41423"/>
    </row>
    <row r="41424" spans="30:30" x14ac:dyDescent="0.25">
      <c r="AD41424"/>
    </row>
    <row r="41425" spans="30:30" x14ac:dyDescent="0.25">
      <c r="AD41425"/>
    </row>
    <row r="41426" spans="30:30" x14ac:dyDescent="0.25">
      <c r="AD41426"/>
    </row>
    <row r="41427" spans="30:30" x14ac:dyDescent="0.25">
      <c r="AD41427"/>
    </row>
    <row r="41428" spans="30:30" x14ac:dyDescent="0.25">
      <c r="AD41428"/>
    </row>
    <row r="41429" spans="30:30" x14ac:dyDescent="0.25">
      <c r="AD41429"/>
    </row>
    <row r="41430" spans="30:30" x14ac:dyDescent="0.25">
      <c r="AD41430"/>
    </row>
    <row r="41431" spans="30:30" x14ac:dyDescent="0.25">
      <c r="AD41431"/>
    </row>
    <row r="41432" spans="30:30" x14ac:dyDescent="0.25">
      <c r="AD41432"/>
    </row>
    <row r="41433" spans="30:30" x14ac:dyDescent="0.25">
      <c r="AD41433"/>
    </row>
    <row r="41434" spans="30:30" x14ac:dyDescent="0.25">
      <c r="AD41434"/>
    </row>
    <row r="41435" spans="30:30" x14ac:dyDescent="0.25">
      <c r="AD41435"/>
    </row>
    <row r="41436" spans="30:30" x14ac:dyDescent="0.25">
      <c r="AD41436"/>
    </row>
    <row r="41437" spans="30:30" x14ac:dyDescent="0.25">
      <c r="AD41437"/>
    </row>
    <row r="41438" spans="30:30" x14ac:dyDescent="0.25">
      <c r="AD41438"/>
    </row>
    <row r="41439" spans="30:30" x14ac:dyDescent="0.25">
      <c r="AD41439"/>
    </row>
    <row r="41440" spans="30:30" x14ac:dyDescent="0.25">
      <c r="AD41440"/>
    </row>
    <row r="41441" spans="30:30" x14ac:dyDescent="0.25">
      <c r="AD41441"/>
    </row>
    <row r="41442" spans="30:30" x14ac:dyDescent="0.25">
      <c r="AD41442"/>
    </row>
    <row r="41443" spans="30:30" x14ac:dyDescent="0.25">
      <c r="AD41443"/>
    </row>
    <row r="41444" spans="30:30" x14ac:dyDescent="0.25">
      <c r="AD41444"/>
    </row>
    <row r="41445" spans="30:30" x14ac:dyDescent="0.25">
      <c r="AD41445"/>
    </row>
    <row r="41446" spans="30:30" x14ac:dyDescent="0.25">
      <c r="AD41446"/>
    </row>
    <row r="41447" spans="30:30" x14ac:dyDescent="0.25">
      <c r="AD41447"/>
    </row>
    <row r="41448" spans="30:30" x14ac:dyDescent="0.25">
      <c r="AD41448"/>
    </row>
    <row r="41449" spans="30:30" x14ac:dyDescent="0.25">
      <c r="AD41449"/>
    </row>
    <row r="41450" spans="30:30" x14ac:dyDescent="0.25">
      <c r="AD41450"/>
    </row>
    <row r="41451" spans="30:30" x14ac:dyDescent="0.25">
      <c r="AD41451"/>
    </row>
    <row r="41452" spans="30:30" x14ac:dyDescent="0.25">
      <c r="AD41452"/>
    </row>
    <row r="41453" spans="30:30" x14ac:dyDescent="0.25">
      <c r="AD41453"/>
    </row>
    <row r="41454" spans="30:30" x14ac:dyDescent="0.25">
      <c r="AD41454"/>
    </row>
    <row r="41455" spans="30:30" x14ac:dyDescent="0.25">
      <c r="AD41455"/>
    </row>
    <row r="41456" spans="30:30" x14ac:dyDescent="0.25">
      <c r="AD41456"/>
    </row>
    <row r="41457" spans="30:30" x14ac:dyDescent="0.25">
      <c r="AD41457"/>
    </row>
    <row r="41458" spans="30:30" x14ac:dyDescent="0.25">
      <c r="AD41458"/>
    </row>
    <row r="41459" spans="30:30" x14ac:dyDescent="0.25">
      <c r="AD41459"/>
    </row>
    <row r="41460" spans="30:30" x14ac:dyDescent="0.25">
      <c r="AD41460"/>
    </row>
    <row r="41461" spans="30:30" x14ac:dyDescent="0.25">
      <c r="AD41461"/>
    </row>
    <row r="41462" spans="30:30" x14ac:dyDescent="0.25">
      <c r="AD41462"/>
    </row>
    <row r="41463" spans="30:30" x14ac:dyDescent="0.25">
      <c r="AD41463"/>
    </row>
    <row r="41464" spans="30:30" x14ac:dyDescent="0.25">
      <c r="AD41464"/>
    </row>
    <row r="41465" spans="30:30" x14ac:dyDescent="0.25">
      <c r="AD41465"/>
    </row>
    <row r="41466" spans="30:30" x14ac:dyDescent="0.25">
      <c r="AD41466"/>
    </row>
    <row r="41467" spans="30:30" x14ac:dyDescent="0.25">
      <c r="AD41467"/>
    </row>
    <row r="41468" spans="30:30" x14ac:dyDescent="0.25">
      <c r="AD41468"/>
    </row>
    <row r="41469" spans="30:30" x14ac:dyDescent="0.25">
      <c r="AD41469"/>
    </row>
    <row r="41470" spans="30:30" x14ac:dyDescent="0.25">
      <c r="AD41470"/>
    </row>
    <row r="41471" spans="30:30" x14ac:dyDescent="0.25">
      <c r="AD41471"/>
    </row>
    <row r="41472" spans="30:30" x14ac:dyDescent="0.25">
      <c r="AD41472"/>
    </row>
    <row r="41473" spans="30:30" x14ac:dyDescent="0.25">
      <c r="AD41473"/>
    </row>
    <row r="41474" spans="30:30" x14ac:dyDescent="0.25">
      <c r="AD41474"/>
    </row>
    <row r="41475" spans="30:30" x14ac:dyDescent="0.25">
      <c r="AD41475"/>
    </row>
    <row r="41476" spans="30:30" x14ac:dyDescent="0.25">
      <c r="AD41476"/>
    </row>
    <row r="41477" spans="30:30" x14ac:dyDescent="0.25">
      <c r="AD41477"/>
    </row>
    <row r="41478" spans="30:30" x14ac:dyDescent="0.25">
      <c r="AD41478"/>
    </row>
    <row r="41479" spans="30:30" x14ac:dyDescent="0.25">
      <c r="AD41479"/>
    </row>
    <row r="41480" spans="30:30" x14ac:dyDescent="0.25">
      <c r="AD41480"/>
    </row>
    <row r="41481" spans="30:30" x14ac:dyDescent="0.25">
      <c r="AD41481"/>
    </row>
    <row r="41482" spans="30:30" x14ac:dyDescent="0.25">
      <c r="AD41482"/>
    </row>
    <row r="41483" spans="30:30" x14ac:dyDescent="0.25">
      <c r="AD41483"/>
    </row>
    <row r="41484" spans="30:30" x14ac:dyDescent="0.25">
      <c r="AD41484"/>
    </row>
    <row r="41485" spans="30:30" x14ac:dyDescent="0.25">
      <c r="AD41485"/>
    </row>
    <row r="41486" spans="30:30" x14ac:dyDescent="0.25">
      <c r="AD41486"/>
    </row>
    <row r="41487" spans="30:30" x14ac:dyDescent="0.25">
      <c r="AD41487"/>
    </row>
    <row r="41488" spans="30:30" x14ac:dyDescent="0.25">
      <c r="AD41488"/>
    </row>
    <row r="41489" spans="30:30" x14ac:dyDescent="0.25">
      <c r="AD41489"/>
    </row>
    <row r="41490" spans="30:30" x14ac:dyDescent="0.25">
      <c r="AD41490"/>
    </row>
    <row r="41491" spans="30:30" x14ac:dyDescent="0.25">
      <c r="AD41491"/>
    </row>
    <row r="41492" spans="30:30" x14ac:dyDescent="0.25">
      <c r="AD41492"/>
    </row>
    <row r="41493" spans="30:30" x14ac:dyDescent="0.25">
      <c r="AD41493"/>
    </row>
    <row r="41494" spans="30:30" x14ac:dyDescent="0.25">
      <c r="AD41494"/>
    </row>
    <row r="41495" spans="30:30" x14ac:dyDescent="0.25">
      <c r="AD41495"/>
    </row>
    <row r="41496" spans="30:30" x14ac:dyDescent="0.25">
      <c r="AD41496"/>
    </row>
    <row r="41497" spans="30:30" x14ac:dyDescent="0.25">
      <c r="AD41497"/>
    </row>
    <row r="41498" spans="30:30" x14ac:dyDescent="0.25">
      <c r="AD41498"/>
    </row>
    <row r="41499" spans="30:30" x14ac:dyDescent="0.25">
      <c r="AD41499"/>
    </row>
    <row r="41500" spans="30:30" x14ac:dyDescent="0.25">
      <c r="AD41500"/>
    </row>
    <row r="41501" spans="30:30" x14ac:dyDescent="0.25">
      <c r="AD41501"/>
    </row>
    <row r="41502" spans="30:30" x14ac:dyDescent="0.25">
      <c r="AD41502"/>
    </row>
    <row r="41503" spans="30:30" x14ac:dyDescent="0.25">
      <c r="AD41503"/>
    </row>
    <row r="41504" spans="30:30" x14ac:dyDescent="0.25">
      <c r="AD41504"/>
    </row>
    <row r="41505" spans="30:30" x14ac:dyDescent="0.25">
      <c r="AD41505"/>
    </row>
    <row r="41506" spans="30:30" x14ac:dyDescent="0.25">
      <c r="AD41506"/>
    </row>
    <row r="41507" spans="30:30" x14ac:dyDescent="0.25">
      <c r="AD41507"/>
    </row>
    <row r="41508" spans="30:30" x14ac:dyDescent="0.25">
      <c r="AD41508"/>
    </row>
    <row r="41509" spans="30:30" x14ac:dyDescent="0.25">
      <c r="AD41509"/>
    </row>
    <row r="41510" spans="30:30" x14ac:dyDescent="0.25">
      <c r="AD41510"/>
    </row>
    <row r="41511" spans="30:30" x14ac:dyDescent="0.25">
      <c r="AD41511"/>
    </row>
    <row r="41512" spans="30:30" x14ac:dyDescent="0.25">
      <c r="AD41512"/>
    </row>
    <row r="41513" spans="30:30" x14ac:dyDescent="0.25">
      <c r="AD41513"/>
    </row>
    <row r="41514" spans="30:30" x14ac:dyDescent="0.25">
      <c r="AD41514"/>
    </row>
    <row r="41515" spans="30:30" x14ac:dyDescent="0.25">
      <c r="AD41515"/>
    </row>
    <row r="41516" spans="30:30" x14ac:dyDescent="0.25">
      <c r="AD41516"/>
    </row>
    <row r="41517" spans="30:30" x14ac:dyDescent="0.25">
      <c r="AD41517"/>
    </row>
    <row r="41518" spans="30:30" x14ac:dyDescent="0.25">
      <c r="AD41518"/>
    </row>
    <row r="41519" spans="30:30" x14ac:dyDescent="0.25">
      <c r="AD41519"/>
    </row>
    <row r="41520" spans="30:30" x14ac:dyDescent="0.25">
      <c r="AD41520"/>
    </row>
    <row r="41521" spans="30:30" x14ac:dyDescent="0.25">
      <c r="AD41521"/>
    </row>
    <row r="41522" spans="30:30" x14ac:dyDescent="0.25">
      <c r="AD41522"/>
    </row>
    <row r="41523" spans="30:30" x14ac:dyDescent="0.25">
      <c r="AD41523"/>
    </row>
    <row r="41524" spans="30:30" x14ac:dyDescent="0.25">
      <c r="AD41524"/>
    </row>
    <row r="41525" spans="30:30" x14ac:dyDescent="0.25">
      <c r="AD41525"/>
    </row>
    <row r="41526" spans="30:30" x14ac:dyDescent="0.25">
      <c r="AD41526"/>
    </row>
    <row r="41527" spans="30:30" x14ac:dyDescent="0.25">
      <c r="AD41527"/>
    </row>
    <row r="41528" spans="30:30" x14ac:dyDescent="0.25">
      <c r="AD41528"/>
    </row>
    <row r="41529" spans="30:30" x14ac:dyDescent="0.25">
      <c r="AD41529"/>
    </row>
    <row r="41530" spans="30:30" x14ac:dyDescent="0.25">
      <c r="AD41530"/>
    </row>
    <row r="41531" spans="30:30" x14ac:dyDescent="0.25">
      <c r="AD41531"/>
    </row>
    <row r="41532" spans="30:30" x14ac:dyDescent="0.25">
      <c r="AD41532"/>
    </row>
    <row r="41533" spans="30:30" x14ac:dyDescent="0.25">
      <c r="AD41533"/>
    </row>
    <row r="41534" spans="30:30" x14ac:dyDescent="0.25">
      <c r="AD41534"/>
    </row>
    <row r="41535" spans="30:30" x14ac:dyDescent="0.25">
      <c r="AD41535"/>
    </row>
    <row r="41536" spans="30:30" x14ac:dyDescent="0.25">
      <c r="AD41536"/>
    </row>
    <row r="41537" spans="30:30" x14ac:dyDescent="0.25">
      <c r="AD41537"/>
    </row>
    <row r="41538" spans="30:30" x14ac:dyDescent="0.25">
      <c r="AD41538"/>
    </row>
    <row r="41539" spans="30:30" x14ac:dyDescent="0.25">
      <c r="AD41539"/>
    </row>
    <row r="41540" spans="30:30" x14ac:dyDescent="0.25">
      <c r="AD41540"/>
    </row>
    <row r="41541" spans="30:30" x14ac:dyDescent="0.25">
      <c r="AD41541"/>
    </row>
    <row r="41542" spans="30:30" x14ac:dyDescent="0.25">
      <c r="AD41542"/>
    </row>
    <row r="41543" spans="30:30" x14ac:dyDescent="0.25">
      <c r="AD41543"/>
    </row>
    <row r="41544" spans="30:30" x14ac:dyDescent="0.25">
      <c r="AD41544"/>
    </row>
    <row r="41545" spans="30:30" x14ac:dyDescent="0.25">
      <c r="AD41545"/>
    </row>
    <row r="41546" spans="30:30" x14ac:dyDescent="0.25">
      <c r="AD41546"/>
    </row>
    <row r="41547" spans="30:30" x14ac:dyDescent="0.25">
      <c r="AD41547"/>
    </row>
    <row r="41548" spans="30:30" x14ac:dyDescent="0.25">
      <c r="AD41548"/>
    </row>
    <row r="41549" spans="30:30" x14ac:dyDescent="0.25">
      <c r="AD41549"/>
    </row>
    <row r="41550" spans="30:30" x14ac:dyDescent="0.25">
      <c r="AD41550"/>
    </row>
    <row r="41551" spans="30:30" x14ac:dyDescent="0.25">
      <c r="AD41551"/>
    </row>
    <row r="41552" spans="30:30" x14ac:dyDescent="0.25">
      <c r="AD41552"/>
    </row>
    <row r="41553" spans="30:30" x14ac:dyDescent="0.25">
      <c r="AD41553"/>
    </row>
    <row r="41554" spans="30:30" x14ac:dyDescent="0.25">
      <c r="AD41554"/>
    </row>
    <row r="41555" spans="30:30" x14ac:dyDescent="0.25">
      <c r="AD41555"/>
    </row>
    <row r="41556" spans="30:30" x14ac:dyDescent="0.25">
      <c r="AD41556"/>
    </row>
    <row r="41557" spans="30:30" x14ac:dyDescent="0.25">
      <c r="AD41557"/>
    </row>
    <row r="41558" spans="30:30" x14ac:dyDescent="0.25">
      <c r="AD41558"/>
    </row>
    <row r="41559" spans="30:30" x14ac:dyDescent="0.25">
      <c r="AD41559"/>
    </row>
    <row r="41560" spans="30:30" x14ac:dyDescent="0.25">
      <c r="AD41560"/>
    </row>
    <row r="41561" spans="30:30" x14ac:dyDescent="0.25">
      <c r="AD41561"/>
    </row>
    <row r="41562" spans="30:30" x14ac:dyDescent="0.25">
      <c r="AD41562"/>
    </row>
    <row r="41563" spans="30:30" x14ac:dyDescent="0.25">
      <c r="AD41563"/>
    </row>
    <row r="41564" spans="30:30" x14ac:dyDescent="0.25">
      <c r="AD41564"/>
    </row>
    <row r="41565" spans="30:30" x14ac:dyDescent="0.25">
      <c r="AD41565"/>
    </row>
    <row r="41566" spans="30:30" x14ac:dyDescent="0.25">
      <c r="AD41566"/>
    </row>
    <row r="41567" spans="30:30" x14ac:dyDescent="0.25">
      <c r="AD41567"/>
    </row>
    <row r="41568" spans="30:30" x14ac:dyDescent="0.25">
      <c r="AD41568"/>
    </row>
    <row r="41569" spans="30:30" x14ac:dyDescent="0.25">
      <c r="AD41569"/>
    </row>
    <row r="41570" spans="30:30" x14ac:dyDescent="0.25">
      <c r="AD41570"/>
    </row>
    <row r="41571" spans="30:30" x14ac:dyDescent="0.25">
      <c r="AD41571"/>
    </row>
    <row r="41572" spans="30:30" x14ac:dyDescent="0.25">
      <c r="AD41572"/>
    </row>
    <row r="41573" spans="30:30" x14ac:dyDescent="0.25">
      <c r="AD41573"/>
    </row>
    <row r="41574" spans="30:30" x14ac:dyDescent="0.25">
      <c r="AD41574"/>
    </row>
    <row r="41575" spans="30:30" x14ac:dyDescent="0.25">
      <c r="AD41575"/>
    </row>
    <row r="41576" spans="30:30" x14ac:dyDescent="0.25">
      <c r="AD41576"/>
    </row>
    <row r="41577" spans="30:30" x14ac:dyDescent="0.25">
      <c r="AD41577"/>
    </row>
    <row r="41578" spans="30:30" x14ac:dyDescent="0.25">
      <c r="AD41578"/>
    </row>
    <row r="41579" spans="30:30" x14ac:dyDescent="0.25">
      <c r="AD41579"/>
    </row>
    <row r="41580" spans="30:30" x14ac:dyDescent="0.25">
      <c r="AD41580"/>
    </row>
    <row r="41581" spans="30:30" x14ac:dyDescent="0.25">
      <c r="AD41581"/>
    </row>
    <row r="41582" spans="30:30" x14ac:dyDescent="0.25">
      <c r="AD41582"/>
    </row>
    <row r="41583" spans="30:30" x14ac:dyDescent="0.25">
      <c r="AD41583"/>
    </row>
    <row r="41584" spans="30:30" x14ac:dyDescent="0.25">
      <c r="AD41584"/>
    </row>
    <row r="41585" spans="30:30" x14ac:dyDescent="0.25">
      <c r="AD41585"/>
    </row>
    <row r="41586" spans="30:30" x14ac:dyDescent="0.25">
      <c r="AD41586"/>
    </row>
    <row r="41587" spans="30:30" x14ac:dyDescent="0.25">
      <c r="AD41587"/>
    </row>
    <row r="41588" spans="30:30" x14ac:dyDescent="0.25">
      <c r="AD41588"/>
    </row>
    <row r="41589" spans="30:30" x14ac:dyDescent="0.25">
      <c r="AD41589"/>
    </row>
    <row r="41590" spans="30:30" x14ac:dyDescent="0.25">
      <c r="AD41590"/>
    </row>
    <row r="41591" spans="30:30" x14ac:dyDescent="0.25">
      <c r="AD41591"/>
    </row>
    <row r="41592" spans="30:30" x14ac:dyDescent="0.25">
      <c r="AD41592"/>
    </row>
    <row r="41593" spans="30:30" x14ac:dyDescent="0.25">
      <c r="AD41593"/>
    </row>
    <row r="41594" spans="30:30" x14ac:dyDescent="0.25">
      <c r="AD41594"/>
    </row>
    <row r="41595" spans="30:30" x14ac:dyDescent="0.25">
      <c r="AD41595"/>
    </row>
    <row r="41596" spans="30:30" x14ac:dyDescent="0.25">
      <c r="AD41596"/>
    </row>
    <row r="41597" spans="30:30" x14ac:dyDescent="0.25">
      <c r="AD41597"/>
    </row>
    <row r="41598" spans="30:30" x14ac:dyDescent="0.25">
      <c r="AD41598"/>
    </row>
    <row r="41599" spans="30:30" x14ac:dyDescent="0.25">
      <c r="AD41599"/>
    </row>
    <row r="41600" spans="30:30" x14ac:dyDescent="0.25">
      <c r="AD41600"/>
    </row>
    <row r="41601" spans="30:30" x14ac:dyDescent="0.25">
      <c r="AD41601"/>
    </row>
    <row r="41602" spans="30:30" x14ac:dyDescent="0.25">
      <c r="AD41602"/>
    </row>
    <row r="41603" spans="30:30" x14ac:dyDescent="0.25">
      <c r="AD41603"/>
    </row>
    <row r="41604" spans="30:30" x14ac:dyDescent="0.25">
      <c r="AD41604"/>
    </row>
    <row r="41605" spans="30:30" x14ac:dyDescent="0.25">
      <c r="AD41605"/>
    </row>
    <row r="41606" spans="30:30" x14ac:dyDescent="0.25">
      <c r="AD41606"/>
    </row>
    <row r="41607" spans="30:30" x14ac:dyDescent="0.25">
      <c r="AD41607"/>
    </row>
    <row r="41608" spans="30:30" x14ac:dyDescent="0.25">
      <c r="AD41608"/>
    </row>
    <row r="41609" spans="30:30" x14ac:dyDescent="0.25">
      <c r="AD41609"/>
    </row>
    <row r="41610" spans="30:30" x14ac:dyDescent="0.25">
      <c r="AD41610"/>
    </row>
    <row r="41611" spans="30:30" x14ac:dyDescent="0.25">
      <c r="AD41611"/>
    </row>
    <row r="41612" spans="30:30" x14ac:dyDescent="0.25">
      <c r="AD41612"/>
    </row>
    <row r="41613" spans="30:30" x14ac:dyDescent="0.25">
      <c r="AD41613"/>
    </row>
    <row r="41614" spans="30:30" x14ac:dyDescent="0.25">
      <c r="AD41614"/>
    </row>
    <row r="41615" spans="30:30" x14ac:dyDescent="0.25">
      <c r="AD41615"/>
    </row>
    <row r="41616" spans="30:30" x14ac:dyDescent="0.25">
      <c r="AD41616"/>
    </row>
    <row r="41617" spans="30:30" x14ac:dyDescent="0.25">
      <c r="AD41617"/>
    </row>
    <row r="41618" spans="30:30" x14ac:dyDescent="0.25">
      <c r="AD41618"/>
    </row>
    <row r="41619" spans="30:30" x14ac:dyDescent="0.25">
      <c r="AD41619"/>
    </row>
    <row r="41620" spans="30:30" x14ac:dyDescent="0.25">
      <c r="AD41620"/>
    </row>
    <row r="41621" spans="30:30" x14ac:dyDescent="0.25">
      <c r="AD41621"/>
    </row>
    <row r="41622" spans="30:30" x14ac:dyDescent="0.25">
      <c r="AD41622"/>
    </row>
    <row r="41623" spans="30:30" x14ac:dyDescent="0.25">
      <c r="AD41623"/>
    </row>
    <row r="41624" spans="30:30" x14ac:dyDescent="0.25">
      <c r="AD41624"/>
    </row>
    <row r="41625" spans="30:30" x14ac:dyDescent="0.25">
      <c r="AD41625"/>
    </row>
    <row r="41626" spans="30:30" x14ac:dyDescent="0.25">
      <c r="AD41626"/>
    </row>
    <row r="41627" spans="30:30" x14ac:dyDescent="0.25">
      <c r="AD41627"/>
    </row>
    <row r="41628" spans="30:30" x14ac:dyDescent="0.25">
      <c r="AD41628"/>
    </row>
    <row r="41629" spans="30:30" x14ac:dyDescent="0.25">
      <c r="AD41629"/>
    </row>
    <row r="41630" spans="30:30" x14ac:dyDescent="0.25">
      <c r="AD41630"/>
    </row>
    <row r="41631" spans="30:30" x14ac:dyDescent="0.25">
      <c r="AD41631"/>
    </row>
    <row r="41632" spans="30:30" x14ac:dyDescent="0.25">
      <c r="AD41632"/>
    </row>
    <row r="41633" spans="30:30" x14ac:dyDescent="0.25">
      <c r="AD41633"/>
    </row>
    <row r="41634" spans="30:30" x14ac:dyDescent="0.25">
      <c r="AD41634"/>
    </row>
    <row r="41635" spans="30:30" x14ac:dyDescent="0.25">
      <c r="AD41635"/>
    </row>
    <row r="41636" spans="30:30" x14ac:dyDescent="0.25">
      <c r="AD41636"/>
    </row>
    <row r="41637" spans="30:30" x14ac:dyDescent="0.25">
      <c r="AD41637"/>
    </row>
    <row r="41638" spans="30:30" x14ac:dyDescent="0.25">
      <c r="AD41638"/>
    </row>
    <row r="41639" spans="30:30" x14ac:dyDescent="0.25">
      <c r="AD41639"/>
    </row>
    <row r="41640" spans="30:30" x14ac:dyDescent="0.25">
      <c r="AD41640"/>
    </row>
    <row r="41641" spans="30:30" x14ac:dyDescent="0.25">
      <c r="AD41641"/>
    </row>
    <row r="41642" spans="30:30" x14ac:dyDescent="0.25">
      <c r="AD41642"/>
    </row>
    <row r="41643" spans="30:30" x14ac:dyDescent="0.25">
      <c r="AD41643"/>
    </row>
    <row r="41644" spans="30:30" x14ac:dyDescent="0.25">
      <c r="AD41644"/>
    </row>
    <row r="41645" spans="30:30" x14ac:dyDescent="0.25">
      <c r="AD41645"/>
    </row>
    <row r="41646" spans="30:30" x14ac:dyDescent="0.25">
      <c r="AD41646"/>
    </row>
    <row r="41647" spans="30:30" x14ac:dyDescent="0.25">
      <c r="AD41647"/>
    </row>
    <row r="41648" spans="30:30" x14ac:dyDescent="0.25">
      <c r="AD41648"/>
    </row>
    <row r="41649" spans="30:30" x14ac:dyDescent="0.25">
      <c r="AD41649"/>
    </row>
    <row r="41650" spans="30:30" x14ac:dyDescent="0.25">
      <c r="AD41650"/>
    </row>
    <row r="41651" spans="30:30" x14ac:dyDescent="0.25">
      <c r="AD41651"/>
    </row>
    <row r="41652" spans="30:30" x14ac:dyDescent="0.25">
      <c r="AD41652"/>
    </row>
    <row r="41653" spans="30:30" x14ac:dyDescent="0.25">
      <c r="AD41653"/>
    </row>
    <row r="41654" spans="30:30" x14ac:dyDescent="0.25">
      <c r="AD41654"/>
    </row>
    <row r="41655" spans="30:30" x14ac:dyDescent="0.25">
      <c r="AD41655"/>
    </row>
    <row r="41656" spans="30:30" x14ac:dyDescent="0.25">
      <c r="AD41656"/>
    </row>
    <row r="41657" spans="30:30" x14ac:dyDescent="0.25">
      <c r="AD41657"/>
    </row>
    <row r="41658" spans="30:30" x14ac:dyDescent="0.25">
      <c r="AD41658"/>
    </row>
    <row r="41659" spans="30:30" x14ac:dyDescent="0.25">
      <c r="AD41659"/>
    </row>
    <row r="41660" spans="30:30" x14ac:dyDescent="0.25">
      <c r="AD41660"/>
    </row>
    <row r="41661" spans="30:30" x14ac:dyDescent="0.25">
      <c r="AD41661"/>
    </row>
    <row r="41662" spans="30:30" x14ac:dyDescent="0.25">
      <c r="AD41662"/>
    </row>
    <row r="41663" spans="30:30" x14ac:dyDescent="0.25">
      <c r="AD41663"/>
    </row>
    <row r="41664" spans="30:30" x14ac:dyDescent="0.25">
      <c r="AD41664"/>
    </row>
    <row r="41665" spans="30:30" x14ac:dyDescent="0.25">
      <c r="AD41665"/>
    </row>
    <row r="41666" spans="30:30" x14ac:dyDescent="0.25">
      <c r="AD41666"/>
    </row>
    <row r="41667" spans="30:30" x14ac:dyDescent="0.25">
      <c r="AD41667"/>
    </row>
    <row r="41668" spans="30:30" x14ac:dyDescent="0.25">
      <c r="AD41668"/>
    </row>
    <row r="41669" spans="30:30" x14ac:dyDescent="0.25">
      <c r="AD41669"/>
    </row>
    <row r="41670" spans="30:30" x14ac:dyDescent="0.25">
      <c r="AD41670"/>
    </row>
    <row r="41671" spans="30:30" x14ac:dyDescent="0.25">
      <c r="AD41671"/>
    </row>
    <row r="41672" spans="30:30" x14ac:dyDescent="0.25">
      <c r="AD41672"/>
    </row>
    <row r="41673" spans="30:30" x14ac:dyDescent="0.25">
      <c r="AD41673"/>
    </row>
    <row r="41674" spans="30:30" x14ac:dyDescent="0.25">
      <c r="AD41674"/>
    </row>
    <row r="41675" spans="30:30" x14ac:dyDescent="0.25">
      <c r="AD41675"/>
    </row>
    <row r="41676" spans="30:30" x14ac:dyDescent="0.25">
      <c r="AD41676"/>
    </row>
    <row r="41677" spans="30:30" x14ac:dyDescent="0.25">
      <c r="AD41677"/>
    </row>
    <row r="41678" spans="30:30" x14ac:dyDescent="0.25">
      <c r="AD41678"/>
    </row>
    <row r="41679" spans="30:30" x14ac:dyDescent="0.25">
      <c r="AD41679"/>
    </row>
    <row r="41680" spans="30:30" x14ac:dyDescent="0.25">
      <c r="AD41680"/>
    </row>
    <row r="41681" spans="30:30" x14ac:dyDescent="0.25">
      <c r="AD41681"/>
    </row>
    <row r="41682" spans="30:30" x14ac:dyDescent="0.25">
      <c r="AD41682"/>
    </row>
    <row r="41683" spans="30:30" x14ac:dyDescent="0.25">
      <c r="AD41683"/>
    </row>
    <row r="41684" spans="30:30" x14ac:dyDescent="0.25">
      <c r="AD41684"/>
    </row>
    <row r="41685" spans="30:30" x14ac:dyDescent="0.25">
      <c r="AD41685"/>
    </row>
    <row r="41686" spans="30:30" x14ac:dyDescent="0.25">
      <c r="AD41686"/>
    </row>
    <row r="41687" spans="30:30" x14ac:dyDescent="0.25">
      <c r="AD41687"/>
    </row>
    <row r="41688" spans="30:30" x14ac:dyDescent="0.25">
      <c r="AD41688"/>
    </row>
    <row r="41689" spans="30:30" x14ac:dyDescent="0.25">
      <c r="AD41689"/>
    </row>
    <row r="41690" spans="30:30" x14ac:dyDescent="0.25">
      <c r="AD41690"/>
    </row>
    <row r="41691" spans="30:30" x14ac:dyDescent="0.25">
      <c r="AD41691"/>
    </row>
    <row r="41692" spans="30:30" x14ac:dyDescent="0.25">
      <c r="AD41692"/>
    </row>
    <row r="41693" spans="30:30" x14ac:dyDescent="0.25">
      <c r="AD41693"/>
    </row>
    <row r="41694" spans="30:30" x14ac:dyDescent="0.25">
      <c r="AD41694"/>
    </row>
    <row r="41695" spans="30:30" x14ac:dyDescent="0.25">
      <c r="AD41695"/>
    </row>
    <row r="41696" spans="30:30" x14ac:dyDescent="0.25">
      <c r="AD41696"/>
    </row>
    <row r="41697" spans="30:30" x14ac:dyDescent="0.25">
      <c r="AD41697"/>
    </row>
    <row r="41698" spans="30:30" x14ac:dyDescent="0.25">
      <c r="AD41698"/>
    </row>
    <row r="41699" spans="30:30" x14ac:dyDescent="0.25">
      <c r="AD41699"/>
    </row>
    <row r="41700" spans="30:30" x14ac:dyDescent="0.25">
      <c r="AD41700"/>
    </row>
    <row r="41701" spans="30:30" x14ac:dyDescent="0.25">
      <c r="AD41701"/>
    </row>
    <row r="41702" spans="30:30" x14ac:dyDescent="0.25">
      <c r="AD41702"/>
    </row>
    <row r="41703" spans="30:30" x14ac:dyDescent="0.25">
      <c r="AD41703"/>
    </row>
    <row r="41704" spans="30:30" x14ac:dyDescent="0.25">
      <c r="AD41704"/>
    </row>
    <row r="41705" spans="30:30" x14ac:dyDescent="0.25">
      <c r="AD41705"/>
    </row>
    <row r="41706" spans="30:30" x14ac:dyDescent="0.25">
      <c r="AD41706"/>
    </row>
    <row r="41707" spans="30:30" x14ac:dyDescent="0.25">
      <c r="AD41707"/>
    </row>
    <row r="41708" spans="30:30" x14ac:dyDescent="0.25">
      <c r="AD41708"/>
    </row>
    <row r="41709" spans="30:30" x14ac:dyDescent="0.25">
      <c r="AD41709"/>
    </row>
    <row r="41710" spans="30:30" x14ac:dyDescent="0.25">
      <c r="AD41710"/>
    </row>
    <row r="41711" spans="30:30" x14ac:dyDescent="0.25">
      <c r="AD41711"/>
    </row>
    <row r="41712" spans="30:30" x14ac:dyDescent="0.25">
      <c r="AD41712"/>
    </row>
    <row r="41713" spans="30:30" x14ac:dyDescent="0.25">
      <c r="AD41713"/>
    </row>
    <row r="41714" spans="30:30" x14ac:dyDescent="0.25">
      <c r="AD41714"/>
    </row>
    <row r="41715" spans="30:30" x14ac:dyDescent="0.25">
      <c r="AD41715"/>
    </row>
    <row r="41716" spans="30:30" x14ac:dyDescent="0.25">
      <c r="AD41716"/>
    </row>
    <row r="41717" spans="30:30" x14ac:dyDescent="0.25">
      <c r="AD41717"/>
    </row>
    <row r="41718" spans="30:30" x14ac:dyDescent="0.25">
      <c r="AD41718"/>
    </row>
    <row r="41719" spans="30:30" x14ac:dyDescent="0.25">
      <c r="AD41719"/>
    </row>
    <row r="41720" spans="30:30" x14ac:dyDescent="0.25">
      <c r="AD41720"/>
    </row>
    <row r="41721" spans="30:30" x14ac:dyDescent="0.25">
      <c r="AD41721"/>
    </row>
    <row r="41722" spans="30:30" x14ac:dyDescent="0.25">
      <c r="AD41722"/>
    </row>
    <row r="41723" spans="30:30" x14ac:dyDescent="0.25">
      <c r="AD41723"/>
    </row>
    <row r="41724" spans="30:30" x14ac:dyDescent="0.25">
      <c r="AD41724"/>
    </row>
    <row r="41725" spans="30:30" x14ac:dyDescent="0.25">
      <c r="AD41725"/>
    </row>
    <row r="41726" spans="30:30" x14ac:dyDescent="0.25">
      <c r="AD41726"/>
    </row>
    <row r="41727" spans="30:30" x14ac:dyDescent="0.25">
      <c r="AD41727"/>
    </row>
    <row r="41728" spans="30:30" x14ac:dyDescent="0.25">
      <c r="AD41728"/>
    </row>
    <row r="41729" spans="30:30" x14ac:dyDescent="0.25">
      <c r="AD41729"/>
    </row>
    <row r="41730" spans="30:30" x14ac:dyDescent="0.25">
      <c r="AD41730"/>
    </row>
    <row r="41731" spans="30:30" x14ac:dyDescent="0.25">
      <c r="AD41731"/>
    </row>
    <row r="41732" spans="30:30" x14ac:dyDescent="0.25">
      <c r="AD41732"/>
    </row>
    <row r="41733" spans="30:30" x14ac:dyDescent="0.25">
      <c r="AD41733"/>
    </row>
    <row r="41734" spans="30:30" x14ac:dyDescent="0.25">
      <c r="AD41734"/>
    </row>
    <row r="41735" spans="30:30" x14ac:dyDescent="0.25">
      <c r="AD41735"/>
    </row>
    <row r="41736" spans="30:30" x14ac:dyDescent="0.25">
      <c r="AD41736"/>
    </row>
    <row r="41737" spans="30:30" x14ac:dyDescent="0.25">
      <c r="AD41737"/>
    </row>
    <row r="41738" spans="30:30" x14ac:dyDescent="0.25">
      <c r="AD41738"/>
    </row>
    <row r="41739" spans="30:30" x14ac:dyDescent="0.25">
      <c r="AD41739"/>
    </row>
    <row r="41740" spans="30:30" x14ac:dyDescent="0.25">
      <c r="AD41740"/>
    </row>
    <row r="41741" spans="30:30" x14ac:dyDescent="0.25">
      <c r="AD41741"/>
    </row>
    <row r="41742" spans="30:30" x14ac:dyDescent="0.25">
      <c r="AD41742"/>
    </row>
    <row r="41743" spans="30:30" x14ac:dyDescent="0.25">
      <c r="AD41743"/>
    </row>
    <row r="41744" spans="30:30" x14ac:dyDescent="0.25">
      <c r="AD41744"/>
    </row>
    <row r="41745" spans="30:30" x14ac:dyDescent="0.25">
      <c r="AD41745"/>
    </row>
    <row r="41746" spans="30:30" x14ac:dyDescent="0.25">
      <c r="AD41746"/>
    </row>
    <row r="41747" spans="30:30" x14ac:dyDescent="0.25">
      <c r="AD41747"/>
    </row>
    <row r="41748" spans="30:30" x14ac:dyDescent="0.25">
      <c r="AD41748"/>
    </row>
    <row r="41749" spans="30:30" x14ac:dyDescent="0.25">
      <c r="AD41749"/>
    </row>
    <row r="41750" spans="30:30" x14ac:dyDescent="0.25">
      <c r="AD41750"/>
    </row>
    <row r="41751" spans="30:30" x14ac:dyDescent="0.25">
      <c r="AD41751"/>
    </row>
    <row r="41752" spans="30:30" x14ac:dyDescent="0.25">
      <c r="AD41752"/>
    </row>
    <row r="41753" spans="30:30" x14ac:dyDescent="0.25">
      <c r="AD41753"/>
    </row>
    <row r="41754" spans="30:30" x14ac:dyDescent="0.25">
      <c r="AD41754"/>
    </row>
    <row r="41755" spans="30:30" x14ac:dyDescent="0.25">
      <c r="AD41755"/>
    </row>
    <row r="41756" spans="30:30" x14ac:dyDescent="0.25">
      <c r="AD41756"/>
    </row>
    <row r="41757" spans="30:30" x14ac:dyDescent="0.25">
      <c r="AD41757"/>
    </row>
    <row r="41758" spans="30:30" x14ac:dyDescent="0.25">
      <c r="AD41758"/>
    </row>
    <row r="41759" spans="30:30" x14ac:dyDescent="0.25">
      <c r="AD41759"/>
    </row>
    <row r="41760" spans="30:30" x14ac:dyDescent="0.25">
      <c r="AD41760"/>
    </row>
    <row r="41761" spans="30:30" x14ac:dyDescent="0.25">
      <c r="AD41761"/>
    </row>
    <row r="41762" spans="30:30" x14ac:dyDescent="0.25">
      <c r="AD41762"/>
    </row>
    <row r="41763" spans="30:30" x14ac:dyDescent="0.25">
      <c r="AD41763"/>
    </row>
    <row r="41764" spans="30:30" x14ac:dyDescent="0.25">
      <c r="AD41764"/>
    </row>
    <row r="41765" spans="30:30" x14ac:dyDescent="0.25">
      <c r="AD41765"/>
    </row>
    <row r="41766" spans="30:30" x14ac:dyDescent="0.25">
      <c r="AD41766"/>
    </row>
    <row r="41767" spans="30:30" x14ac:dyDescent="0.25">
      <c r="AD41767"/>
    </row>
    <row r="41768" spans="30:30" x14ac:dyDescent="0.25">
      <c r="AD41768"/>
    </row>
    <row r="41769" spans="30:30" x14ac:dyDescent="0.25">
      <c r="AD41769"/>
    </row>
    <row r="41770" spans="30:30" x14ac:dyDescent="0.25">
      <c r="AD41770"/>
    </row>
    <row r="41771" spans="30:30" x14ac:dyDescent="0.25">
      <c r="AD41771"/>
    </row>
    <row r="41772" spans="30:30" x14ac:dyDescent="0.25">
      <c r="AD41772"/>
    </row>
    <row r="41773" spans="30:30" x14ac:dyDescent="0.25">
      <c r="AD41773"/>
    </row>
    <row r="41774" spans="30:30" x14ac:dyDescent="0.25">
      <c r="AD41774"/>
    </row>
    <row r="41775" spans="30:30" x14ac:dyDescent="0.25">
      <c r="AD41775"/>
    </row>
    <row r="41776" spans="30:30" x14ac:dyDescent="0.25">
      <c r="AD41776"/>
    </row>
    <row r="41777" spans="30:30" x14ac:dyDescent="0.25">
      <c r="AD41777"/>
    </row>
    <row r="41778" spans="30:30" x14ac:dyDescent="0.25">
      <c r="AD41778"/>
    </row>
    <row r="41779" spans="30:30" x14ac:dyDescent="0.25">
      <c r="AD41779"/>
    </row>
    <row r="41780" spans="30:30" x14ac:dyDescent="0.25">
      <c r="AD41780"/>
    </row>
    <row r="41781" spans="30:30" x14ac:dyDescent="0.25">
      <c r="AD41781"/>
    </row>
    <row r="41782" spans="30:30" x14ac:dyDescent="0.25">
      <c r="AD41782"/>
    </row>
    <row r="41783" spans="30:30" x14ac:dyDescent="0.25">
      <c r="AD41783"/>
    </row>
    <row r="41784" spans="30:30" x14ac:dyDescent="0.25">
      <c r="AD41784"/>
    </row>
    <row r="41785" spans="30:30" x14ac:dyDescent="0.25">
      <c r="AD41785"/>
    </row>
    <row r="41786" spans="30:30" x14ac:dyDescent="0.25">
      <c r="AD41786"/>
    </row>
    <row r="41787" spans="30:30" x14ac:dyDescent="0.25">
      <c r="AD41787"/>
    </row>
    <row r="41788" spans="30:30" x14ac:dyDescent="0.25">
      <c r="AD41788"/>
    </row>
    <row r="41789" spans="30:30" x14ac:dyDescent="0.25">
      <c r="AD41789"/>
    </row>
    <row r="41790" spans="30:30" x14ac:dyDescent="0.25">
      <c r="AD41790"/>
    </row>
    <row r="41791" spans="30:30" x14ac:dyDescent="0.25">
      <c r="AD41791"/>
    </row>
    <row r="41792" spans="30:30" x14ac:dyDescent="0.25">
      <c r="AD41792"/>
    </row>
    <row r="41793" spans="30:30" x14ac:dyDescent="0.25">
      <c r="AD41793"/>
    </row>
    <row r="41794" spans="30:30" x14ac:dyDescent="0.25">
      <c r="AD41794"/>
    </row>
    <row r="41795" spans="30:30" x14ac:dyDescent="0.25">
      <c r="AD41795"/>
    </row>
    <row r="41796" spans="30:30" x14ac:dyDescent="0.25">
      <c r="AD41796"/>
    </row>
    <row r="41797" spans="30:30" x14ac:dyDescent="0.25">
      <c r="AD41797"/>
    </row>
    <row r="41798" spans="30:30" x14ac:dyDescent="0.25">
      <c r="AD41798"/>
    </row>
    <row r="41799" spans="30:30" x14ac:dyDescent="0.25">
      <c r="AD41799"/>
    </row>
    <row r="41800" spans="30:30" x14ac:dyDescent="0.25">
      <c r="AD41800"/>
    </row>
    <row r="41801" spans="30:30" x14ac:dyDescent="0.25">
      <c r="AD41801"/>
    </row>
    <row r="41802" spans="30:30" x14ac:dyDescent="0.25">
      <c r="AD41802"/>
    </row>
    <row r="41803" spans="30:30" x14ac:dyDescent="0.25">
      <c r="AD41803"/>
    </row>
    <row r="41804" spans="30:30" x14ac:dyDescent="0.25">
      <c r="AD41804"/>
    </row>
    <row r="41805" spans="30:30" x14ac:dyDescent="0.25">
      <c r="AD41805"/>
    </row>
    <row r="41806" spans="30:30" x14ac:dyDescent="0.25">
      <c r="AD41806"/>
    </row>
    <row r="41807" spans="30:30" x14ac:dyDescent="0.25">
      <c r="AD41807"/>
    </row>
    <row r="41808" spans="30:30" x14ac:dyDescent="0.25">
      <c r="AD41808"/>
    </row>
    <row r="41809" spans="30:30" x14ac:dyDescent="0.25">
      <c r="AD41809"/>
    </row>
    <row r="41810" spans="30:30" x14ac:dyDescent="0.25">
      <c r="AD41810"/>
    </row>
    <row r="41811" spans="30:30" x14ac:dyDescent="0.25">
      <c r="AD41811"/>
    </row>
    <row r="41812" spans="30:30" x14ac:dyDescent="0.25">
      <c r="AD41812"/>
    </row>
    <row r="41813" spans="30:30" x14ac:dyDescent="0.25">
      <c r="AD41813"/>
    </row>
    <row r="41814" spans="30:30" x14ac:dyDescent="0.25">
      <c r="AD41814"/>
    </row>
    <row r="41815" spans="30:30" x14ac:dyDescent="0.25">
      <c r="AD41815"/>
    </row>
    <row r="41816" spans="30:30" x14ac:dyDescent="0.25">
      <c r="AD41816"/>
    </row>
    <row r="41817" spans="30:30" x14ac:dyDescent="0.25">
      <c r="AD41817"/>
    </row>
    <row r="41818" spans="30:30" x14ac:dyDescent="0.25">
      <c r="AD41818"/>
    </row>
    <row r="41819" spans="30:30" x14ac:dyDescent="0.25">
      <c r="AD41819"/>
    </row>
    <row r="41820" spans="30:30" x14ac:dyDescent="0.25">
      <c r="AD41820"/>
    </row>
    <row r="41821" spans="30:30" x14ac:dyDescent="0.25">
      <c r="AD41821"/>
    </row>
    <row r="41822" spans="30:30" x14ac:dyDescent="0.25">
      <c r="AD41822"/>
    </row>
    <row r="41823" spans="30:30" x14ac:dyDescent="0.25">
      <c r="AD41823"/>
    </row>
    <row r="41824" spans="30:30" x14ac:dyDescent="0.25">
      <c r="AD41824"/>
    </row>
    <row r="41825" spans="30:30" x14ac:dyDescent="0.25">
      <c r="AD41825"/>
    </row>
    <row r="41826" spans="30:30" x14ac:dyDescent="0.25">
      <c r="AD41826"/>
    </row>
    <row r="41827" spans="30:30" x14ac:dyDescent="0.25">
      <c r="AD41827"/>
    </row>
    <row r="41828" spans="30:30" x14ac:dyDescent="0.25">
      <c r="AD41828"/>
    </row>
    <row r="41829" spans="30:30" x14ac:dyDescent="0.25">
      <c r="AD41829"/>
    </row>
    <row r="41830" spans="30:30" x14ac:dyDescent="0.25">
      <c r="AD41830"/>
    </row>
    <row r="41831" spans="30:30" x14ac:dyDescent="0.25">
      <c r="AD41831"/>
    </row>
    <row r="41832" spans="30:30" x14ac:dyDescent="0.25">
      <c r="AD41832"/>
    </row>
    <row r="41833" spans="30:30" x14ac:dyDescent="0.25">
      <c r="AD41833"/>
    </row>
    <row r="41834" spans="30:30" x14ac:dyDescent="0.25">
      <c r="AD41834"/>
    </row>
    <row r="41835" spans="30:30" x14ac:dyDescent="0.25">
      <c r="AD41835"/>
    </row>
    <row r="41836" spans="30:30" x14ac:dyDescent="0.25">
      <c r="AD41836"/>
    </row>
    <row r="41837" spans="30:30" x14ac:dyDescent="0.25">
      <c r="AD41837"/>
    </row>
    <row r="41838" spans="30:30" x14ac:dyDescent="0.25">
      <c r="AD41838"/>
    </row>
    <row r="41839" spans="30:30" x14ac:dyDescent="0.25">
      <c r="AD41839"/>
    </row>
    <row r="41840" spans="30:30" x14ac:dyDescent="0.25">
      <c r="AD41840"/>
    </row>
    <row r="41841" spans="30:30" x14ac:dyDescent="0.25">
      <c r="AD41841"/>
    </row>
    <row r="41842" spans="30:30" x14ac:dyDescent="0.25">
      <c r="AD41842"/>
    </row>
    <row r="41843" spans="30:30" x14ac:dyDescent="0.25">
      <c r="AD41843"/>
    </row>
    <row r="41844" spans="30:30" x14ac:dyDescent="0.25">
      <c r="AD41844"/>
    </row>
    <row r="41845" spans="30:30" x14ac:dyDescent="0.25">
      <c r="AD41845"/>
    </row>
    <row r="41846" spans="30:30" x14ac:dyDescent="0.25">
      <c r="AD41846"/>
    </row>
    <row r="41847" spans="30:30" x14ac:dyDescent="0.25">
      <c r="AD41847"/>
    </row>
    <row r="41848" spans="30:30" x14ac:dyDescent="0.25">
      <c r="AD41848"/>
    </row>
    <row r="41849" spans="30:30" x14ac:dyDescent="0.25">
      <c r="AD41849"/>
    </row>
    <row r="41850" spans="30:30" x14ac:dyDescent="0.25">
      <c r="AD41850"/>
    </row>
    <row r="41851" spans="30:30" x14ac:dyDescent="0.25">
      <c r="AD41851"/>
    </row>
    <row r="41852" spans="30:30" x14ac:dyDescent="0.25">
      <c r="AD41852"/>
    </row>
    <row r="41853" spans="30:30" x14ac:dyDescent="0.25">
      <c r="AD41853"/>
    </row>
    <row r="41854" spans="30:30" x14ac:dyDescent="0.25">
      <c r="AD41854"/>
    </row>
    <row r="41855" spans="30:30" x14ac:dyDescent="0.25">
      <c r="AD41855"/>
    </row>
    <row r="41856" spans="30:30" x14ac:dyDescent="0.25">
      <c r="AD41856"/>
    </row>
    <row r="41857" spans="30:30" x14ac:dyDescent="0.25">
      <c r="AD41857"/>
    </row>
    <row r="41858" spans="30:30" x14ac:dyDescent="0.25">
      <c r="AD41858"/>
    </row>
    <row r="41859" spans="30:30" x14ac:dyDescent="0.25">
      <c r="AD41859"/>
    </row>
    <row r="41860" spans="30:30" x14ac:dyDescent="0.25">
      <c r="AD41860"/>
    </row>
    <row r="41861" spans="30:30" x14ac:dyDescent="0.25">
      <c r="AD41861"/>
    </row>
    <row r="41862" spans="30:30" x14ac:dyDescent="0.25">
      <c r="AD41862"/>
    </row>
    <row r="41863" spans="30:30" x14ac:dyDescent="0.25">
      <c r="AD41863"/>
    </row>
    <row r="41864" spans="30:30" x14ac:dyDescent="0.25">
      <c r="AD41864"/>
    </row>
    <row r="41865" spans="30:30" x14ac:dyDescent="0.25">
      <c r="AD41865"/>
    </row>
    <row r="41866" spans="30:30" x14ac:dyDescent="0.25">
      <c r="AD41866"/>
    </row>
    <row r="41867" spans="30:30" x14ac:dyDescent="0.25">
      <c r="AD41867"/>
    </row>
    <row r="41868" spans="30:30" x14ac:dyDescent="0.25">
      <c r="AD41868"/>
    </row>
    <row r="41869" spans="30:30" x14ac:dyDescent="0.25">
      <c r="AD41869"/>
    </row>
    <row r="41870" spans="30:30" x14ac:dyDescent="0.25">
      <c r="AD41870"/>
    </row>
    <row r="41871" spans="30:30" x14ac:dyDescent="0.25">
      <c r="AD41871"/>
    </row>
    <row r="41872" spans="30:30" x14ac:dyDescent="0.25">
      <c r="AD41872"/>
    </row>
    <row r="41873" spans="30:30" x14ac:dyDescent="0.25">
      <c r="AD41873"/>
    </row>
    <row r="41874" spans="30:30" x14ac:dyDescent="0.25">
      <c r="AD41874"/>
    </row>
    <row r="41875" spans="30:30" x14ac:dyDescent="0.25">
      <c r="AD41875"/>
    </row>
    <row r="41876" spans="30:30" x14ac:dyDescent="0.25">
      <c r="AD41876"/>
    </row>
    <row r="41877" spans="30:30" x14ac:dyDescent="0.25">
      <c r="AD41877"/>
    </row>
    <row r="41878" spans="30:30" x14ac:dyDescent="0.25">
      <c r="AD41878"/>
    </row>
    <row r="41879" spans="30:30" x14ac:dyDescent="0.25">
      <c r="AD41879"/>
    </row>
    <row r="41880" spans="30:30" x14ac:dyDescent="0.25">
      <c r="AD41880"/>
    </row>
    <row r="41881" spans="30:30" x14ac:dyDescent="0.25">
      <c r="AD41881"/>
    </row>
    <row r="41882" spans="30:30" x14ac:dyDescent="0.25">
      <c r="AD41882"/>
    </row>
    <row r="41883" spans="30:30" x14ac:dyDescent="0.25">
      <c r="AD41883"/>
    </row>
    <row r="41884" spans="30:30" x14ac:dyDescent="0.25">
      <c r="AD41884"/>
    </row>
    <row r="41885" spans="30:30" x14ac:dyDescent="0.25">
      <c r="AD41885"/>
    </row>
    <row r="41886" spans="30:30" x14ac:dyDescent="0.25">
      <c r="AD41886"/>
    </row>
    <row r="41887" spans="30:30" x14ac:dyDescent="0.25">
      <c r="AD41887"/>
    </row>
    <row r="41888" spans="30:30" x14ac:dyDescent="0.25">
      <c r="AD41888"/>
    </row>
    <row r="41889" spans="30:30" x14ac:dyDescent="0.25">
      <c r="AD41889"/>
    </row>
    <row r="41890" spans="30:30" x14ac:dyDescent="0.25">
      <c r="AD41890"/>
    </row>
    <row r="41891" spans="30:30" x14ac:dyDescent="0.25">
      <c r="AD41891"/>
    </row>
    <row r="41892" spans="30:30" x14ac:dyDescent="0.25">
      <c r="AD41892"/>
    </row>
    <row r="41893" spans="30:30" x14ac:dyDescent="0.25">
      <c r="AD41893"/>
    </row>
    <row r="41894" spans="30:30" x14ac:dyDescent="0.25">
      <c r="AD41894"/>
    </row>
    <row r="41895" spans="30:30" x14ac:dyDescent="0.25">
      <c r="AD41895"/>
    </row>
    <row r="41896" spans="30:30" x14ac:dyDescent="0.25">
      <c r="AD41896"/>
    </row>
    <row r="41897" spans="30:30" x14ac:dyDescent="0.25">
      <c r="AD41897"/>
    </row>
    <row r="41898" spans="30:30" x14ac:dyDescent="0.25">
      <c r="AD41898"/>
    </row>
    <row r="41899" spans="30:30" x14ac:dyDescent="0.25">
      <c r="AD41899"/>
    </row>
    <row r="41900" spans="30:30" x14ac:dyDescent="0.25">
      <c r="AD41900"/>
    </row>
    <row r="41901" spans="30:30" x14ac:dyDescent="0.25">
      <c r="AD41901"/>
    </row>
    <row r="41902" spans="30:30" x14ac:dyDescent="0.25">
      <c r="AD41902"/>
    </row>
    <row r="41903" spans="30:30" x14ac:dyDescent="0.25">
      <c r="AD41903"/>
    </row>
    <row r="41904" spans="30:30" x14ac:dyDescent="0.25">
      <c r="AD41904"/>
    </row>
    <row r="41905" spans="30:30" x14ac:dyDescent="0.25">
      <c r="AD41905"/>
    </row>
    <row r="41906" spans="30:30" x14ac:dyDescent="0.25">
      <c r="AD41906"/>
    </row>
    <row r="41907" spans="30:30" x14ac:dyDescent="0.25">
      <c r="AD41907"/>
    </row>
    <row r="41908" spans="30:30" x14ac:dyDescent="0.25">
      <c r="AD41908"/>
    </row>
    <row r="41909" spans="30:30" x14ac:dyDescent="0.25">
      <c r="AD41909"/>
    </row>
    <row r="41910" spans="30:30" x14ac:dyDescent="0.25">
      <c r="AD41910"/>
    </row>
    <row r="41911" spans="30:30" x14ac:dyDescent="0.25">
      <c r="AD41911"/>
    </row>
    <row r="41912" spans="30:30" x14ac:dyDescent="0.25">
      <c r="AD41912"/>
    </row>
    <row r="41913" spans="30:30" x14ac:dyDescent="0.25">
      <c r="AD41913"/>
    </row>
    <row r="41914" spans="30:30" x14ac:dyDescent="0.25">
      <c r="AD41914"/>
    </row>
    <row r="41915" spans="30:30" x14ac:dyDescent="0.25">
      <c r="AD41915"/>
    </row>
    <row r="41916" spans="30:30" x14ac:dyDescent="0.25">
      <c r="AD41916"/>
    </row>
    <row r="41917" spans="30:30" x14ac:dyDescent="0.25">
      <c r="AD41917"/>
    </row>
    <row r="41918" spans="30:30" x14ac:dyDescent="0.25">
      <c r="AD41918"/>
    </row>
    <row r="41919" spans="30:30" x14ac:dyDescent="0.25">
      <c r="AD41919"/>
    </row>
    <row r="41920" spans="30:30" x14ac:dyDescent="0.25">
      <c r="AD41920"/>
    </row>
    <row r="41921" spans="30:30" x14ac:dyDescent="0.25">
      <c r="AD41921"/>
    </row>
    <row r="41922" spans="30:30" x14ac:dyDescent="0.25">
      <c r="AD41922"/>
    </row>
    <row r="41923" spans="30:30" x14ac:dyDescent="0.25">
      <c r="AD41923"/>
    </row>
    <row r="41924" spans="30:30" x14ac:dyDescent="0.25">
      <c r="AD41924"/>
    </row>
    <row r="41925" spans="30:30" x14ac:dyDescent="0.25">
      <c r="AD41925"/>
    </row>
    <row r="41926" spans="30:30" x14ac:dyDescent="0.25">
      <c r="AD41926"/>
    </row>
    <row r="41927" spans="30:30" x14ac:dyDescent="0.25">
      <c r="AD41927"/>
    </row>
    <row r="41928" spans="30:30" x14ac:dyDescent="0.25">
      <c r="AD41928"/>
    </row>
    <row r="41929" spans="30:30" x14ac:dyDescent="0.25">
      <c r="AD41929"/>
    </row>
    <row r="41930" spans="30:30" x14ac:dyDescent="0.25">
      <c r="AD41930"/>
    </row>
    <row r="41931" spans="30:30" x14ac:dyDescent="0.25">
      <c r="AD41931"/>
    </row>
    <row r="41932" spans="30:30" x14ac:dyDescent="0.25">
      <c r="AD41932"/>
    </row>
    <row r="41933" spans="30:30" x14ac:dyDescent="0.25">
      <c r="AD41933"/>
    </row>
    <row r="41934" spans="30:30" x14ac:dyDescent="0.25">
      <c r="AD41934"/>
    </row>
    <row r="41935" spans="30:30" x14ac:dyDescent="0.25">
      <c r="AD41935"/>
    </row>
    <row r="41936" spans="30:30" x14ac:dyDescent="0.25">
      <c r="AD41936"/>
    </row>
    <row r="41937" spans="30:30" x14ac:dyDescent="0.25">
      <c r="AD41937"/>
    </row>
    <row r="41938" spans="30:30" x14ac:dyDescent="0.25">
      <c r="AD41938"/>
    </row>
    <row r="41939" spans="30:30" x14ac:dyDescent="0.25">
      <c r="AD41939"/>
    </row>
    <row r="41940" spans="30:30" x14ac:dyDescent="0.25">
      <c r="AD41940"/>
    </row>
    <row r="41941" spans="30:30" x14ac:dyDescent="0.25">
      <c r="AD41941"/>
    </row>
    <row r="41942" spans="30:30" x14ac:dyDescent="0.25">
      <c r="AD41942"/>
    </row>
    <row r="41943" spans="30:30" x14ac:dyDescent="0.25">
      <c r="AD41943"/>
    </row>
    <row r="41944" spans="30:30" x14ac:dyDescent="0.25">
      <c r="AD41944"/>
    </row>
    <row r="41945" spans="30:30" x14ac:dyDescent="0.25">
      <c r="AD41945"/>
    </row>
    <row r="41946" spans="30:30" x14ac:dyDescent="0.25">
      <c r="AD41946"/>
    </row>
    <row r="41947" spans="30:30" x14ac:dyDescent="0.25">
      <c r="AD41947"/>
    </row>
    <row r="41948" spans="30:30" x14ac:dyDescent="0.25">
      <c r="AD41948"/>
    </row>
    <row r="41949" spans="30:30" x14ac:dyDescent="0.25">
      <c r="AD41949"/>
    </row>
    <row r="41950" spans="30:30" x14ac:dyDescent="0.25">
      <c r="AD41950"/>
    </row>
    <row r="41951" spans="30:30" x14ac:dyDescent="0.25">
      <c r="AD41951"/>
    </row>
    <row r="41952" spans="30:30" x14ac:dyDescent="0.25">
      <c r="AD41952"/>
    </row>
    <row r="41953" spans="30:30" x14ac:dyDescent="0.25">
      <c r="AD41953"/>
    </row>
    <row r="41954" spans="30:30" x14ac:dyDescent="0.25">
      <c r="AD41954"/>
    </row>
    <row r="41955" spans="30:30" x14ac:dyDescent="0.25">
      <c r="AD41955"/>
    </row>
    <row r="41956" spans="30:30" x14ac:dyDescent="0.25">
      <c r="AD41956"/>
    </row>
    <row r="41957" spans="30:30" x14ac:dyDescent="0.25">
      <c r="AD41957"/>
    </row>
    <row r="41958" spans="30:30" x14ac:dyDescent="0.25">
      <c r="AD41958"/>
    </row>
    <row r="41959" spans="30:30" x14ac:dyDescent="0.25">
      <c r="AD41959"/>
    </row>
    <row r="41960" spans="30:30" x14ac:dyDescent="0.25">
      <c r="AD41960"/>
    </row>
    <row r="41961" spans="30:30" x14ac:dyDescent="0.25">
      <c r="AD41961"/>
    </row>
    <row r="41962" spans="30:30" x14ac:dyDescent="0.25">
      <c r="AD41962"/>
    </row>
    <row r="41963" spans="30:30" x14ac:dyDescent="0.25">
      <c r="AD41963"/>
    </row>
    <row r="41964" spans="30:30" x14ac:dyDescent="0.25">
      <c r="AD41964"/>
    </row>
    <row r="41965" spans="30:30" x14ac:dyDescent="0.25">
      <c r="AD41965"/>
    </row>
    <row r="41966" spans="30:30" x14ac:dyDescent="0.25">
      <c r="AD41966"/>
    </row>
    <row r="41967" spans="30:30" x14ac:dyDescent="0.25">
      <c r="AD41967"/>
    </row>
    <row r="41968" spans="30:30" x14ac:dyDescent="0.25">
      <c r="AD41968"/>
    </row>
    <row r="41969" spans="30:30" x14ac:dyDescent="0.25">
      <c r="AD41969"/>
    </row>
    <row r="41970" spans="30:30" x14ac:dyDescent="0.25">
      <c r="AD41970"/>
    </row>
    <row r="41971" spans="30:30" x14ac:dyDescent="0.25">
      <c r="AD41971"/>
    </row>
    <row r="41972" spans="30:30" x14ac:dyDescent="0.25">
      <c r="AD41972"/>
    </row>
    <row r="41973" spans="30:30" x14ac:dyDescent="0.25">
      <c r="AD41973"/>
    </row>
    <row r="41974" spans="30:30" x14ac:dyDescent="0.25">
      <c r="AD41974"/>
    </row>
    <row r="41975" spans="30:30" x14ac:dyDescent="0.25">
      <c r="AD41975"/>
    </row>
    <row r="41976" spans="30:30" x14ac:dyDescent="0.25">
      <c r="AD41976"/>
    </row>
    <row r="41977" spans="30:30" x14ac:dyDescent="0.25">
      <c r="AD41977"/>
    </row>
    <row r="41978" spans="30:30" x14ac:dyDescent="0.25">
      <c r="AD41978"/>
    </row>
    <row r="41979" spans="30:30" x14ac:dyDescent="0.25">
      <c r="AD41979"/>
    </row>
    <row r="41980" spans="30:30" x14ac:dyDescent="0.25">
      <c r="AD41980"/>
    </row>
    <row r="41981" spans="30:30" x14ac:dyDescent="0.25">
      <c r="AD41981"/>
    </row>
    <row r="41982" spans="30:30" x14ac:dyDescent="0.25">
      <c r="AD41982"/>
    </row>
    <row r="41983" spans="30:30" x14ac:dyDescent="0.25">
      <c r="AD41983"/>
    </row>
    <row r="41984" spans="30:30" x14ac:dyDescent="0.25">
      <c r="AD41984"/>
    </row>
    <row r="41985" spans="30:30" x14ac:dyDescent="0.25">
      <c r="AD41985"/>
    </row>
    <row r="41986" spans="30:30" x14ac:dyDescent="0.25">
      <c r="AD41986"/>
    </row>
    <row r="41987" spans="30:30" x14ac:dyDescent="0.25">
      <c r="AD41987"/>
    </row>
    <row r="41988" spans="30:30" x14ac:dyDescent="0.25">
      <c r="AD41988"/>
    </row>
    <row r="41989" spans="30:30" x14ac:dyDescent="0.25">
      <c r="AD41989"/>
    </row>
    <row r="41990" spans="30:30" x14ac:dyDescent="0.25">
      <c r="AD41990"/>
    </row>
    <row r="41991" spans="30:30" x14ac:dyDescent="0.25">
      <c r="AD41991"/>
    </row>
    <row r="41992" spans="30:30" x14ac:dyDescent="0.25">
      <c r="AD41992"/>
    </row>
    <row r="41993" spans="30:30" x14ac:dyDescent="0.25">
      <c r="AD41993"/>
    </row>
    <row r="41994" spans="30:30" x14ac:dyDescent="0.25">
      <c r="AD41994"/>
    </row>
    <row r="41995" spans="30:30" x14ac:dyDescent="0.25">
      <c r="AD41995"/>
    </row>
    <row r="41996" spans="30:30" x14ac:dyDescent="0.25">
      <c r="AD41996"/>
    </row>
    <row r="41997" spans="30:30" x14ac:dyDescent="0.25">
      <c r="AD41997"/>
    </row>
    <row r="41998" spans="30:30" x14ac:dyDescent="0.25">
      <c r="AD41998"/>
    </row>
    <row r="41999" spans="30:30" x14ac:dyDescent="0.25">
      <c r="AD41999"/>
    </row>
    <row r="42000" spans="30:30" x14ac:dyDescent="0.25">
      <c r="AD42000"/>
    </row>
    <row r="42001" spans="30:30" x14ac:dyDescent="0.25">
      <c r="AD42001"/>
    </row>
    <row r="42002" spans="30:30" x14ac:dyDescent="0.25">
      <c r="AD42002"/>
    </row>
    <row r="42003" spans="30:30" x14ac:dyDescent="0.25">
      <c r="AD42003"/>
    </row>
    <row r="42004" spans="30:30" x14ac:dyDescent="0.25">
      <c r="AD42004"/>
    </row>
    <row r="42005" spans="30:30" x14ac:dyDescent="0.25">
      <c r="AD42005"/>
    </row>
    <row r="42006" spans="30:30" x14ac:dyDescent="0.25">
      <c r="AD42006"/>
    </row>
    <row r="42007" spans="30:30" x14ac:dyDescent="0.25">
      <c r="AD42007"/>
    </row>
    <row r="42008" spans="30:30" x14ac:dyDescent="0.25">
      <c r="AD42008"/>
    </row>
    <row r="42009" spans="30:30" x14ac:dyDescent="0.25">
      <c r="AD42009"/>
    </row>
    <row r="42010" spans="30:30" x14ac:dyDescent="0.25">
      <c r="AD42010"/>
    </row>
    <row r="42011" spans="30:30" x14ac:dyDescent="0.25">
      <c r="AD42011"/>
    </row>
    <row r="42012" spans="30:30" x14ac:dyDescent="0.25">
      <c r="AD42012"/>
    </row>
    <row r="42013" spans="30:30" x14ac:dyDescent="0.25">
      <c r="AD42013"/>
    </row>
    <row r="42014" spans="30:30" x14ac:dyDescent="0.25">
      <c r="AD42014"/>
    </row>
    <row r="42015" spans="30:30" x14ac:dyDescent="0.25">
      <c r="AD42015"/>
    </row>
    <row r="42016" spans="30:30" x14ac:dyDescent="0.25">
      <c r="AD42016"/>
    </row>
    <row r="42017" spans="30:30" x14ac:dyDescent="0.25">
      <c r="AD42017"/>
    </row>
    <row r="42018" spans="30:30" x14ac:dyDescent="0.25">
      <c r="AD42018"/>
    </row>
    <row r="42019" spans="30:30" x14ac:dyDescent="0.25">
      <c r="AD42019"/>
    </row>
    <row r="42020" spans="30:30" x14ac:dyDescent="0.25">
      <c r="AD42020"/>
    </row>
    <row r="42021" spans="30:30" x14ac:dyDescent="0.25">
      <c r="AD42021"/>
    </row>
    <row r="42022" spans="30:30" x14ac:dyDescent="0.25">
      <c r="AD42022"/>
    </row>
    <row r="42023" spans="30:30" x14ac:dyDescent="0.25">
      <c r="AD42023"/>
    </row>
    <row r="42024" spans="30:30" x14ac:dyDescent="0.25">
      <c r="AD42024"/>
    </row>
    <row r="42025" spans="30:30" x14ac:dyDescent="0.25">
      <c r="AD42025"/>
    </row>
    <row r="42026" spans="30:30" x14ac:dyDescent="0.25">
      <c r="AD42026"/>
    </row>
    <row r="42027" spans="30:30" x14ac:dyDescent="0.25">
      <c r="AD42027"/>
    </row>
    <row r="42028" spans="30:30" x14ac:dyDescent="0.25">
      <c r="AD42028"/>
    </row>
    <row r="42029" spans="30:30" x14ac:dyDescent="0.25">
      <c r="AD42029"/>
    </row>
    <row r="42030" spans="30:30" x14ac:dyDescent="0.25">
      <c r="AD42030"/>
    </row>
    <row r="42031" spans="30:30" x14ac:dyDescent="0.25">
      <c r="AD42031"/>
    </row>
    <row r="42032" spans="30:30" x14ac:dyDescent="0.25">
      <c r="AD42032"/>
    </row>
    <row r="42033" spans="30:30" x14ac:dyDescent="0.25">
      <c r="AD42033"/>
    </row>
    <row r="42034" spans="30:30" x14ac:dyDescent="0.25">
      <c r="AD42034"/>
    </row>
    <row r="42035" spans="30:30" x14ac:dyDescent="0.25">
      <c r="AD42035"/>
    </row>
    <row r="42036" spans="30:30" x14ac:dyDescent="0.25">
      <c r="AD42036"/>
    </row>
    <row r="42037" spans="30:30" x14ac:dyDescent="0.25">
      <c r="AD42037"/>
    </row>
    <row r="42038" spans="30:30" x14ac:dyDescent="0.25">
      <c r="AD42038"/>
    </row>
    <row r="42039" spans="30:30" x14ac:dyDescent="0.25">
      <c r="AD42039"/>
    </row>
    <row r="42040" spans="30:30" x14ac:dyDescent="0.25">
      <c r="AD42040"/>
    </row>
    <row r="42041" spans="30:30" x14ac:dyDescent="0.25">
      <c r="AD42041"/>
    </row>
    <row r="42042" spans="30:30" x14ac:dyDescent="0.25">
      <c r="AD42042"/>
    </row>
    <row r="42043" spans="30:30" x14ac:dyDescent="0.25">
      <c r="AD42043"/>
    </row>
    <row r="42044" spans="30:30" x14ac:dyDescent="0.25">
      <c r="AD42044"/>
    </row>
    <row r="42045" spans="30:30" x14ac:dyDescent="0.25">
      <c r="AD42045"/>
    </row>
    <row r="42046" spans="30:30" x14ac:dyDescent="0.25">
      <c r="AD42046"/>
    </row>
    <row r="42047" spans="30:30" x14ac:dyDescent="0.25">
      <c r="AD42047"/>
    </row>
    <row r="42048" spans="30:30" x14ac:dyDescent="0.25">
      <c r="AD42048"/>
    </row>
    <row r="42049" spans="30:30" x14ac:dyDescent="0.25">
      <c r="AD42049"/>
    </row>
    <row r="42050" spans="30:30" x14ac:dyDescent="0.25">
      <c r="AD42050"/>
    </row>
    <row r="42051" spans="30:30" x14ac:dyDescent="0.25">
      <c r="AD42051"/>
    </row>
    <row r="42052" spans="30:30" x14ac:dyDescent="0.25">
      <c r="AD42052"/>
    </row>
    <row r="42053" spans="30:30" x14ac:dyDescent="0.25">
      <c r="AD42053"/>
    </row>
    <row r="42054" spans="30:30" x14ac:dyDescent="0.25">
      <c r="AD42054"/>
    </row>
    <row r="42055" spans="30:30" x14ac:dyDescent="0.25">
      <c r="AD42055"/>
    </row>
    <row r="42056" spans="30:30" x14ac:dyDescent="0.25">
      <c r="AD42056"/>
    </row>
    <row r="42057" spans="30:30" x14ac:dyDescent="0.25">
      <c r="AD42057"/>
    </row>
    <row r="42058" spans="30:30" x14ac:dyDescent="0.25">
      <c r="AD42058"/>
    </row>
    <row r="42059" spans="30:30" x14ac:dyDescent="0.25">
      <c r="AD42059"/>
    </row>
    <row r="42060" spans="30:30" x14ac:dyDescent="0.25">
      <c r="AD42060"/>
    </row>
    <row r="42061" spans="30:30" x14ac:dyDescent="0.25">
      <c r="AD42061"/>
    </row>
    <row r="42062" spans="30:30" x14ac:dyDescent="0.25">
      <c r="AD42062"/>
    </row>
    <row r="42063" spans="30:30" x14ac:dyDescent="0.25">
      <c r="AD42063"/>
    </row>
    <row r="42064" spans="30:30" x14ac:dyDescent="0.25">
      <c r="AD42064"/>
    </row>
    <row r="42065" spans="30:30" x14ac:dyDescent="0.25">
      <c r="AD42065"/>
    </row>
    <row r="42066" spans="30:30" x14ac:dyDescent="0.25">
      <c r="AD42066"/>
    </row>
    <row r="42067" spans="30:30" x14ac:dyDescent="0.25">
      <c r="AD42067"/>
    </row>
    <row r="42068" spans="30:30" x14ac:dyDescent="0.25">
      <c r="AD42068"/>
    </row>
    <row r="42069" spans="30:30" x14ac:dyDescent="0.25">
      <c r="AD42069"/>
    </row>
    <row r="42070" spans="30:30" x14ac:dyDescent="0.25">
      <c r="AD42070"/>
    </row>
    <row r="42071" spans="30:30" x14ac:dyDescent="0.25">
      <c r="AD42071"/>
    </row>
    <row r="42072" spans="30:30" x14ac:dyDescent="0.25">
      <c r="AD42072"/>
    </row>
    <row r="42073" spans="30:30" x14ac:dyDescent="0.25">
      <c r="AD42073"/>
    </row>
    <row r="42074" spans="30:30" x14ac:dyDescent="0.25">
      <c r="AD42074"/>
    </row>
    <row r="42075" spans="30:30" x14ac:dyDescent="0.25">
      <c r="AD42075"/>
    </row>
    <row r="42076" spans="30:30" x14ac:dyDescent="0.25">
      <c r="AD42076"/>
    </row>
    <row r="42077" spans="30:30" x14ac:dyDescent="0.25">
      <c r="AD42077"/>
    </row>
    <row r="42078" spans="30:30" x14ac:dyDescent="0.25">
      <c r="AD42078"/>
    </row>
    <row r="42079" spans="30:30" x14ac:dyDescent="0.25">
      <c r="AD42079"/>
    </row>
    <row r="42080" spans="30:30" x14ac:dyDescent="0.25">
      <c r="AD42080"/>
    </row>
    <row r="42081" spans="30:30" x14ac:dyDescent="0.25">
      <c r="AD42081"/>
    </row>
    <row r="42082" spans="30:30" x14ac:dyDescent="0.25">
      <c r="AD42082"/>
    </row>
    <row r="42083" spans="30:30" x14ac:dyDescent="0.25">
      <c r="AD42083"/>
    </row>
    <row r="42084" spans="30:30" x14ac:dyDescent="0.25">
      <c r="AD42084"/>
    </row>
    <row r="42085" spans="30:30" x14ac:dyDescent="0.25">
      <c r="AD42085"/>
    </row>
    <row r="42086" spans="30:30" x14ac:dyDescent="0.25">
      <c r="AD42086"/>
    </row>
    <row r="42087" spans="30:30" x14ac:dyDescent="0.25">
      <c r="AD42087"/>
    </row>
    <row r="42088" spans="30:30" x14ac:dyDescent="0.25">
      <c r="AD42088"/>
    </row>
    <row r="42089" spans="30:30" x14ac:dyDescent="0.25">
      <c r="AD42089"/>
    </row>
    <row r="42090" spans="30:30" x14ac:dyDescent="0.25">
      <c r="AD42090"/>
    </row>
    <row r="42091" spans="30:30" x14ac:dyDescent="0.25">
      <c r="AD42091"/>
    </row>
    <row r="42092" spans="30:30" x14ac:dyDescent="0.25">
      <c r="AD42092"/>
    </row>
    <row r="42093" spans="30:30" x14ac:dyDescent="0.25">
      <c r="AD42093"/>
    </row>
    <row r="42094" spans="30:30" x14ac:dyDescent="0.25">
      <c r="AD42094"/>
    </row>
    <row r="42095" spans="30:30" x14ac:dyDescent="0.25">
      <c r="AD42095"/>
    </row>
    <row r="42096" spans="30:30" x14ac:dyDescent="0.25">
      <c r="AD42096"/>
    </row>
    <row r="42097" spans="30:30" x14ac:dyDescent="0.25">
      <c r="AD42097"/>
    </row>
    <row r="42098" spans="30:30" x14ac:dyDescent="0.25">
      <c r="AD42098"/>
    </row>
    <row r="42099" spans="30:30" x14ac:dyDescent="0.25">
      <c r="AD42099"/>
    </row>
    <row r="42100" spans="30:30" x14ac:dyDescent="0.25">
      <c r="AD42100"/>
    </row>
    <row r="42101" spans="30:30" x14ac:dyDescent="0.25">
      <c r="AD42101"/>
    </row>
    <row r="42102" spans="30:30" x14ac:dyDescent="0.25">
      <c r="AD42102"/>
    </row>
    <row r="42103" spans="30:30" x14ac:dyDescent="0.25">
      <c r="AD42103"/>
    </row>
    <row r="42104" spans="30:30" x14ac:dyDescent="0.25">
      <c r="AD42104"/>
    </row>
    <row r="42105" spans="30:30" x14ac:dyDescent="0.25">
      <c r="AD42105"/>
    </row>
    <row r="42106" spans="30:30" x14ac:dyDescent="0.25">
      <c r="AD42106"/>
    </row>
    <row r="42107" spans="30:30" x14ac:dyDescent="0.25">
      <c r="AD42107"/>
    </row>
    <row r="42108" spans="30:30" x14ac:dyDescent="0.25">
      <c r="AD42108"/>
    </row>
    <row r="42109" spans="30:30" x14ac:dyDescent="0.25">
      <c r="AD42109"/>
    </row>
    <row r="42110" spans="30:30" x14ac:dyDescent="0.25">
      <c r="AD42110"/>
    </row>
    <row r="42111" spans="30:30" x14ac:dyDescent="0.25">
      <c r="AD42111"/>
    </row>
    <row r="42112" spans="30:30" x14ac:dyDescent="0.25">
      <c r="AD42112"/>
    </row>
    <row r="42113" spans="30:30" x14ac:dyDescent="0.25">
      <c r="AD42113"/>
    </row>
    <row r="42114" spans="30:30" x14ac:dyDescent="0.25">
      <c r="AD42114"/>
    </row>
    <row r="42115" spans="30:30" x14ac:dyDescent="0.25">
      <c r="AD42115"/>
    </row>
    <row r="42116" spans="30:30" x14ac:dyDescent="0.25">
      <c r="AD42116"/>
    </row>
    <row r="42117" spans="30:30" x14ac:dyDescent="0.25">
      <c r="AD42117"/>
    </row>
    <row r="42118" spans="30:30" x14ac:dyDescent="0.25">
      <c r="AD42118"/>
    </row>
    <row r="42119" spans="30:30" x14ac:dyDescent="0.25">
      <c r="AD42119"/>
    </row>
    <row r="42120" spans="30:30" x14ac:dyDescent="0.25">
      <c r="AD42120"/>
    </row>
    <row r="42121" spans="30:30" x14ac:dyDescent="0.25">
      <c r="AD42121"/>
    </row>
    <row r="42122" spans="30:30" x14ac:dyDescent="0.25">
      <c r="AD42122"/>
    </row>
    <row r="42123" spans="30:30" x14ac:dyDescent="0.25">
      <c r="AD42123"/>
    </row>
    <row r="42124" spans="30:30" x14ac:dyDescent="0.25">
      <c r="AD42124"/>
    </row>
    <row r="42125" spans="30:30" x14ac:dyDescent="0.25">
      <c r="AD42125"/>
    </row>
    <row r="42126" spans="30:30" x14ac:dyDescent="0.25">
      <c r="AD42126"/>
    </row>
    <row r="42127" spans="30:30" x14ac:dyDescent="0.25">
      <c r="AD42127"/>
    </row>
    <row r="42128" spans="30:30" x14ac:dyDescent="0.25">
      <c r="AD42128"/>
    </row>
    <row r="42129" spans="30:30" x14ac:dyDescent="0.25">
      <c r="AD42129"/>
    </row>
    <row r="42130" spans="30:30" x14ac:dyDescent="0.25">
      <c r="AD42130"/>
    </row>
    <row r="42131" spans="30:30" x14ac:dyDescent="0.25">
      <c r="AD42131"/>
    </row>
    <row r="42132" spans="30:30" x14ac:dyDescent="0.25">
      <c r="AD42132"/>
    </row>
    <row r="42133" spans="30:30" x14ac:dyDescent="0.25">
      <c r="AD42133"/>
    </row>
    <row r="42134" spans="30:30" x14ac:dyDescent="0.25">
      <c r="AD42134"/>
    </row>
    <row r="42135" spans="30:30" x14ac:dyDescent="0.25">
      <c r="AD42135"/>
    </row>
    <row r="42136" spans="30:30" x14ac:dyDescent="0.25">
      <c r="AD42136"/>
    </row>
    <row r="42137" spans="30:30" x14ac:dyDescent="0.25">
      <c r="AD42137"/>
    </row>
    <row r="42138" spans="30:30" x14ac:dyDescent="0.25">
      <c r="AD42138"/>
    </row>
    <row r="42139" spans="30:30" x14ac:dyDescent="0.25">
      <c r="AD42139"/>
    </row>
    <row r="42140" spans="30:30" x14ac:dyDescent="0.25">
      <c r="AD42140"/>
    </row>
    <row r="42141" spans="30:30" x14ac:dyDescent="0.25">
      <c r="AD42141"/>
    </row>
    <row r="42142" spans="30:30" x14ac:dyDescent="0.25">
      <c r="AD42142"/>
    </row>
    <row r="42143" spans="30:30" x14ac:dyDescent="0.25">
      <c r="AD42143"/>
    </row>
    <row r="42144" spans="30:30" x14ac:dyDescent="0.25">
      <c r="AD42144"/>
    </row>
    <row r="42145" spans="30:30" x14ac:dyDescent="0.25">
      <c r="AD42145"/>
    </row>
    <row r="42146" spans="30:30" x14ac:dyDescent="0.25">
      <c r="AD42146"/>
    </row>
    <row r="42147" spans="30:30" x14ac:dyDescent="0.25">
      <c r="AD42147"/>
    </row>
    <row r="42148" spans="30:30" x14ac:dyDescent="0.25">
      <c r="AD42148"/>
    </row>
    <row r="42149" spans="30:30" x14ac:dyDescent="0.25">
      <c r="AD42149"/>
    </row>
    <row r="42150" spans="30:30" x14ac:dyDescent="0.25">
      <c r="AD42150"/>
    </row>
    <row r="42151" spans="30:30" x14ac:dyDescent="0.25">
      <c r="AD42151"/>
    </row>
    <row r="42152" spans="30:30" x14ac:dyDescent="0.25">
      <c r="AD42152"/>
    </row>
    <row r="42153" spans="30:30" x14ac:dyDescent="0.25">
      <c r="AD42153"/>
    </row>
    <row r="42154" spans="30:30" x14ac:dyDescent="0.25">
      <c r="AD42154"/>
    </row>
    <row r="42155" spans="30:30" x14ac:dyDescent="0.25">
      <c r="AD42155"/>
    </row>
    <row r="42156" spans="30:30" x14ac:dyDescent="0.25">
      <c r="AD42156"/>
    </row>
    <row r="42157" spans="30:30" x14ac:dyDescent="0.25">
      <c r="AD42157"/>
    </row>
    <row r="42158" spans="30:30" x14ac:dyDescent="0.25">
      <c r="AD42158"/>
    </row>
    <row r="42159" spans="30:30" x14ac:dyDescent="0.25">
      <c r="AD42159"/>
    </row>
    <row r="42160" spans="30:30" x14ac:dyDescent="0.25">
      <c r="AD42160"/>
    </row>
    <row r="42161" spans="30:30" x14ac:dyDescent="0.25">
      <c r="AD42161"/>
    </row>
    <row r="42162" spans="30:30" x14ac:dyDescent="0.25">
      <c r="AD42162"/>
    </row>
    <row r="42163" spans="30:30" x14ac:dyDescent="0.25">
      <c r="AD42163"/>
    </row>
    <row r="42164" spans="30:30" x14ac:dyDescent="0.25">
      <c r="AD42164"/>
    </row>
    <row r="42165" spans="30:30" x14ac:dyDescent="0.25">
      <c r="AD42165"/>
    </row>
    <row r="42166" spans="30:30" x14ac:dyDescent="0.25">
      <c r="AD42166"/>
    </row>
    <row r="42167" spans="30:30" x14ac:dyDescent="0.25">
      <c r="AD42167"/>
    </row>
    <row r="42168" spans="30:30" x14ac:dyDescent="0.25">
      <c r="AD42168"/>
    </row>
    <row r="42169" spans="30:30" x14ac:dyDescent="0.25">
      <c r="AD42169"/>
    </row>
    <row r="42170" spans="30:30" x14ac:dyDescent="0.25">
      <c r="AD42170"/>
    </row>
    <row r="42171" spans="30:30" x14ac:dyDescent="0.25">
      <c r="AD42171"/>
    </row>
    <row r="42172" spans="30:30" x14ac:dyDescent="0.25">
      <c r="AD42172"/>
    </row>
    <row r="42173" spans="30:30" x14ac:dyDescent="0.25">
      <c r="AD42173"/>
    </row>
    <row r="42174" spans="30:30" x14ac:dyDescent="0.25">
      <c r="AD42174"/>
    </row>
    <row r="42175" spans="30:30" x14ac:dyDescent="0.25">
      <c r="AD42175"/>
    </row>
    <row r="42176" spans="30:30" x14ac:dyDescent="0.25">
      <c r="AD42176"/>
    </row>
    <row r="42177" spans="30:30" x14ac:dyDescent="0.25">
      <c r="AD42177"/>
    </row>
    <row r="42178" spans="30:30" x14ac:dyDescent="0.25">
      <c r="AD42178"/>
    </row>
    <row r="42179" spans="30:30" x14ac:dyDescent="0.25">
      <c r="AD42179"/>
    </row>
    <row r="42180" spans="30:30" x14ac:dyDescent="0.25">
      <c r="AD42180"/>
    </row>
    <row r="42181" spans="30:30" x14ac:dyDescent="0.25">
      <c r="AD42181"/>
    </row>
    <row r="42182" spans="30:30" x14ac:dyDescent="0.25">
      <c r="AD42182"/>
    </row>
    <row r="42183" spans="30:30" x14ac:dyDescent="0.25">
      <c r="AD42183"/>
    </row>
    <row r="42184" spans="30:30" x14ac:dyDescent="0.25">
      <c r="AD42184"/>
    </row>
    <row r="42185" spans="30:30" x14ac:dyDescent="0.25">
      <c r="AD42185"/>
    </row>
    <row r="42186" spans="30:30" x14ac:dyDescent="0.25">
      <c r="AD42186"/>
    </row>
    <row r="42187" spans="30:30" x14ac:dyDescent="0.25">
      <c r="AD42187"/>
    </row>
    <row r="42188" spans="30:30" x14ac:dyDescent="0.25">
      <c r="AD42188"/>
    </row>
    <row r="42189" spans="30:30" x14ac:dyDescent="0.25">
      <c r="AD42189"/>
    </row>
    <row r="42190" spans="30:30" x14ac:dyDescent="0.25">
      <c r="AD42190"/>
    </row>
    <row r="42191" spans="30:30" x14ac:dyDescent="0.25">
      <c r="AD42191"/>
    </row>
    <row r="42192" spans="30:30" x14ac:dyDescent="0.25">
      <c r="AD42192"/>
    </row>
    <row r="42193" spans="30:30" x14ac:dyDescent="0.25">
      <c r="AD42193"/>
    </row>
    <row r="42194" spans="30:30" x14ac:dyDescent="0.25">
      <c r="AD42194"/>
    </row>
    <row r="42195" spans="30:30" x14ac:dyDescent="0.25">
      <c r="AD42195"/>
    </row>
    <row r="42196" spans="30:30" x14ac:dyDescent="0.25">
      <c r="AD42196"/>
    </row>
    <row r="42197" spans="30:30" x14ac:dyDescent="0.25">
      <c r="AD42197"/>
    </row>
    <row r="42198" spans="30:30" x14ac:dyDescent="0.25">
      <c r="AD42198"/>
    </row>
    <row r="42199" spans="30:30" x14ac:dyDescent="0.25">
      <c r="AD42199"/>
    </row>
    <row r="42200" spans="30:30" x14ac:dyDescent="0.25">
      <c r="AD42200"/>
    </row>
    <row r="42201" spans="30:30" x14ac:dyDescent="0.25">
      <c r="AD42201"/>
    </row>
    <row r="42202" spans="30:30" x14ac:dyDescent="0.25">
      <c r="AD42202"/>
    </row>
    <row r="42203" spans="30:30" x14ac:dyDescent="0.25">
      <c r="AD42203"/>
    </row>
    <row r="42204" spans="30:30" x14ac:dyDescent="0.25">
      <c r="AD42204"/>
    </row>
    <row r="42205" spans="30:30" x14ac:dyDescent="0.25">
      <c r="AD42205"/>
    </row>
    <row r="42206" spans="30:30" x14ac:dyDescent="0.25">
      <c r="AD42206"/>
    </row>
    <row r="42207" spans="30:30" x14ac:dyDescent="0.25">
      <c r="AD42207"/>
    </row>
    <row r="42208" spans="30:30" x14ac:dyDescent="0.25">
      <c r="AD42208"/>
    </row>
    <row r="42209" spans="30:30" x14ac:dyDescent="0.25">
      <c r="AD42209"/>
    </row>
    <row r="42210" spans="30:30" x14ac:dyDescent="0.25">
      <c r="AD42210"/>
    </row>
    <row r="42211" spans="30:30" x14ac:dyDescent="0.25">
      <c r="AD42211"/>
    </row>
    <row r="42212" spans="30:30" x14ac:dyDescent="0.25">
      <c r="AD42212"/>
    </row>
    <row r="42213" spans="30:30" x14ac:dyDescent="0.25">
      <c r="AD42213"/>
    </row>
    <row r="42214" spans="30:30" x14ac:dyDescent="0.25">
      <c r="AD42214"/>
    </row>
    <row r="42215" spans="30:30" x14ac:dyDescent="0.25">
      <c r="AD42215"/>
    </row>
    <row r="42216" spans="30:30" x14ac:dyDescent="0.25">
      <c r="AD42216"/>
    </row>
    <row r="42217" spans="30:30" x14ac:dyDescent="0.25">
      <c r="AD42217"/>
    </row>
    <row r="42218" spans="30:30" x14ac:dyDescent="0.25">
      <c r="AD42218"/>
    </row>
    <row r="42219" spans="30:30" x14ac:dyDescent="0.25">
      <c r="AD42219"/>
    </row>
    <row r="42220" spans="30:30" x14ac:dyDescent="0.25">
      <c r="AD42220"/>
    </row>
    <row r="42221" spans="30:30" x14ac:dyDescent="0.25">
      <c r="AD42221"/>
    </row>
    <row r="42222" spans="30:30" x14ac:dyDescent="0.25">
      <c r="AD42222"/>
    </row>
    <row r="42223" spans="30:30" x14ac:dyDescent="0.25">
      <c r="AD42223"/>
    </row>
    <row r="42224" spans="30:30" x14ac:dyDescent="0.25">
      <c r="AD42224"/>
    </row>
    <row r="42225" spans="30:30" x14ac:dyDescent="0.25">
      <c r="AD42225"/>
    </row>
    <row r="42226" spans="30:30" x14ac:dyDescent="0.25">
      <c r="AD42226"/>
    </row>
    <row r="42227" spans="30:30" x14ac:dyDescent="0.25">
      <c r="AD42227"/>
    </row>
    <row r="42228" spans="30:30" x14ac:dyDescent="0.25">
      <c r="AD42228"/>
    </row>
    <row r="42229" spans="30:30" x14ac:dyDescent="0.25">
      <c r="AD42229"/>
    </row>
    <row r="42230" spans="30:30" x14ac:dyDescent="0.25">
      <c r="AD42230"/>
    </row>
    <row r="42231" spans="30:30" x14ac:dyDescent="0.25">
      <c r="AD42231"/>
    </row>
    <row r="42232" spans="30:30" x14ac:dyDescent="0.25">
      <c r="AD42232"/>
    </row>
    <row r="42233" spans="30:30" x14ac:dyDescent="0.25">
      <c r="AD42233"/>
    </row>
    <row r="42234" spans="30:30" x14ac:dyDescent="0.25">
      <c r="AD42234"/>
    </row>
    <row r="42235" spans="30:30" x14ac:dyDescent="0.25">
      <c r="AD42235"/>
    </row>
    <row r="42236" spans="30:30" x14ac:dyDescent="0.25">
      <c r="AD42236"/>
    </row>
    <row r="42237" spans="30:30" x14ac:dyDescent="0.25">
      <c r="AD42237"/>
    </row>
    <row r="42238" spans="30:30" x14ac:dyDescent="0.25">
      <c r="AD42238"/>
    </row>
    <row r="42239" spans="30:30" x14ac:dyDescent="0.25">
      <c r="AD42239"/>
    </row>
    <row r="42240" spans="30:30" x14ac:dyDescent="0.25">
      <c r="AD42240"/>
    </row>
    <row r="42241" spans="30:30" x14ac:dyDescent="0.25">
      <c r="AD42241"/>
    </row>
    <row r="42242" spans="30:30" x14ac:dyDescent="0.25">
      <c r="AD42242"/>
    </row>
    <row r="42243" spans="30:30" x14ac:dyDescent="0.25">
      <c r="AD42243"/>
    </row>
    <row r="42244" spans="30:30" x14ac:dyDescent="0.25">
      <c r="AD42244"/>
    </row>
    <row r="42245" spans="30:30" x14ac:dyDescent="0.25">
      <c r="AD42245"/>
    </row>
    <row r="42246" spans="30:30" x14ac:dyDescent="0.25">
      <c r="AD42246"/>
    </row>
    <row r="42247" spans="30:30" x14ac:dyDescent="0.25">
      <c r="AD42247"/>
    </row>
    <row r="42248" spans="30:30" x14ac:dyDescent="0.25">
      <c r="AD42248"/>
    </row>
    <row r="42249" spans="30:30" x14ac:dyDescent="0.25">
      <c r="AD42249"/>
    </row>
    <row r="42250" spans="30:30" x14ac:dyDescent="0.25">
      <c r="AD42250"/>
    </row>
    <row r="42251" spans="30:30" x14ac:dyDescent="0.25">
      <c r="AD42251"/>
    </row>
    <row r="42252" spans="30:30" x14ac:dyDescent="0.25">
      <c r="AD42252"/>
    </row>
    <row r="42253" spans="30:30" x14ac:dyDescent="0.25">
      <c r="AD42253"/>
    </row>
    <row r="42254" spans="30:30" x14ac:dyDescent="0.25">
      <c r="AD42254"/>
    </row>
    <row r="42255" spans="30:30" x14ac:dyDescent="0.25">
      <c r="AD42255"/>
    </row>
    <row r="42256" spans="30:30" x14ac:dyDescent="0.25">
      <c r="AD42256"/>
    </row>
    <row r="42257" spans="30:30" x14ac:dyDescent="0.25">
      <c r="AD42257"/>
    </row>
    <row r="42258" spans="30:30" x14ac:dyDescent="0.25">
      <c r="AD42258"/>
    </row>
    <row r="42259" spans="30:30" x14ac:dyDescent="0.25">
      <c r="AD42259"/>
    </row>
    <row r="42260" spans="30:30" x14ac:dyDescent="0.25">
      <c r="AD42260"/>
    </row>
    <row r="42261" spans="30:30" x14ac:dyDescent="0.25">
      <c r="AD42261"/>
    </row>
    <row r="42262" spans="30:30" x14ac:dyDescent="0.25">
      <c r="AD42262"/>
    </row>
    <row r="42263" spans="30:30" x14ac:dyDescent="0.25">
      <c r="AD42263"/>
    </row>
    <row r="42264" spans="30:30" x14ac:dyDescent="0.25">
      <c r="AD42264"/>
    </row>
    <row r="42265" spans="30:30" x14ac:dyDescent="0.25">
      <c r="AD42265"/>
    </row>
    <row r="42266" spans="30:30" x14ac:dyDescent="0.25">
      <c r="AD42266"/>
    </row>
    <row r="42267" spans="30:30" x14ac:dyDescent="0.25">
      <c r="AD42267"/>
    </row>
    <row r="42268" spans="30:30" x14ac:dyDescent="0.25">
      <c r="AD42268"/>
    </row>
    <row r="42269" spans="30:30" x14ac:dyDescent="0.25">
      <c r="AD42269"/>
    </row>
    <row r="42270" spans="30:30" x14ac:dyDescent="0.25">
      <c r="AD42270"/>
    </row>
    <row r="42271" spans="30:30" x14ac:dyDescent="0.25">
      <c r="AD42271"/>
    </row>
    <row r="42272" spans="30:30" x14ac:dyDescent="0.25">
      <c r="AD42272"/>
    </row>
    <row r="42273" spans="30:30" x14ac:dyDescent="0.25">
      <c r="AD42273"/>
    </row>
    <row r="42274" spans="30:30" x14ac:dyDescent="0.25">
      <c r="AD42274"/>
    </row>
    <row r="42275" spans="30:30" x14ac:dyDescent="0.25">
      <c r="AD42275"/>
    </row>
    <row r="42276" spans="30:30" x14ac:dyDescent="0.25">
      <c r="AD42276"/>
    </row>
    <row r="42277" spans="30:30" x14ac:dyDescent="0.25">
      <c r="AD42277"/>
    </row>
    <row r="42278" spans="30:30" x14ac:dyDescent="0.25">
      <c r="AD42278"/>
    </row>
    <row r="42279" spans="30:30" x14ac:dyDescent="0.25">
      <c r="AD42279"/>
    </row>
    <row r="42280" spans="30:30" x14ac:dyDescent="0.25">
      <c r="AD42280"/>
    </row>
    <row r="42281" spans="30:30" x14ac:dyDescent="0.25">
      <c r="AD42281"/>
    </row>
    <row r="42282" spans="30:30" x14ac:dyDescent="0.25">
      <c r="AD42282"/>
    </row>
    <row r="42283" spans="30:30" x14ac:dyDescent="0.25">
      <c r="AD42283"/>
    </row>
    <row r="42284" spans="30:30" x14ac:dyDescent="0.25">
      <c r="AD42284"/>
    </row>
    <row r="42285" spans="30:30" x14ac:dyDescent="0.25">
      <c r="AD42285"/>
    </row>
    <row r="42286" spans="30:30" x14ac:dyDescent="0.25">
      <c r="AD42286"/>
    </row>
    <row r="42287" spans="30:30" x14ac:dyDescent="0.25">
      <c r="AD42287"/>
    </row>
    <row r="42288" spans="30:30" x14ac:dyDescent="0.25">
      <c r="AD42288"/>
    </row>
    <row r="42289" spans="30:30" x14ac:dyDescent="0.25">
      <c r="AD42289"/>
    </row>
    <row r="42290" spans="30:30" x14ac:dyDescent="0.25">
      <c r="AD42290"/>
    </row>
    <row r="42291" spans="30:30" x14ac:dyDescent="0.25">
      <c r="AD42291"/>
    </row>
    <row r="42292" spans="30:30" x14ac:dyDescent="0.25">
      <c r="AD42292"/>
    </row>
    <row r="42293" spans="30:30" x14ac:dyDescent="0.25">
      <c r="AD42293"/>
    </row>
    <row r="42294" spans="30:30" x14ac:dyDescent="0.25">
      <c r="AD42294"/>
    </row>
    <row r="42295" spans="30:30" x14ac:dyDescent="0.25">
      <c r="AD42295"/>
    </row>
    <row r="42296" spans="30:30" x14ac:dyDescent="0.25">
      <c r="AD42296"/>
    </row>
    <row r="42297" spans="30:30" x14ac:dyDescent="0.25">
      <c r="AD42297"/>
    </row>
    <row r="42298" spans="30:30" x14ac:dyDescent="0.25">
      <c r="AD42298"/>
    </row>
    <row r="42299" spans="30:30" x14ac:dyDescent="0.25">
      <c r="AD42299"/>
    </row>
    <row r="42300" spans="30:30" x14ac:dyDescent="0.25">
      <c r="AD42300"/>
    </row>
    <row r="42301" spans="30:30" x14ac:dyDescent="0.25">
      <c r="AD42301"/>
    </row>
    <row r="42302" spans="30:30" x14ac:dyDescent="0.25">
      <c r="AD42302"/>
    </row>
    <row r="42303" spans="30:30" x14ac:dyDescent="0.25">
      <c r="AD42303"/>
    </row>
    <row r="42304" spans="30:30" x14ac:dyDescent="0.25">
      <c r="AD42304"/>
    </row>
    <row r="42305" spans="30:30" x14ac:dyDescent="0.25">
      <c r="AD42305"/>
    </row>
    <row r="42306" spans="30:30" x14ac:dyDescent="0.25">
      <c r="AD42306"/>
    </row>
    <row r="42307" spans="30:30" x14ac:dyDescent="0.25">
      <c r="AD42307"/>
    </row>
    <row r="42308" spans="30:30" x14ac:dyDescent="0.25">
      <c r="AD42308"/>
    </row>
    <row r="42309" spans="30:30" x14ac:dyDescent="0.25">
      <c r="AD42309"/>
    </row>
    <row r="42310" spans="30:30" x14ac:dyDescent="0.25">
      <c r="AD42310"/>
    </row>
    <row r="42311" spans="30:30" x14ac:dyDescent="0.25">
      <c r="AD42311"/>
    </row>
    <row r="42312" spans="30:30" x14ac:dyDescent="0.25">
      <c r="AD42312"/>
    </row>
    <row r="42313" spans="30:30" x14ac:dyDescent="0.25">
      <c r="AD42313"/>
    </row>
    <row r="42314" spans="30:30" x14ac:dyDescent="0.25">
      <c r="AD42314"/>
    </row>
    <row r="42315" spans="30:30" x14ac:dyDescent="0.25">
      <c r="AD42315"/>
    </row>
    <row r="42316" spans="30:30" x14ac:dyDescent="0.25">
      <c r="AD42316"/>
    </row>
    <row r="42317" spans="30:30" x14ac:dyDescent="0.25">
      <c r="AD42317"/>
    </row>
    <row r="42318" spans="30:30" x14ac:dyDescent="0.25">
      <c r="AD42318"/>
    </row>
    <row r="42319" spans="30:30" x14ac:dyDescent="0.25">
      <c r="AD42319"/>
    </row>
    <row r="42320" spans="30:30" x14ac:dyDescent="0.25">
      <c r="AD42320"/>
    </row>
    <row r="42321" spans="30:30" x14ac:dyDescent="0.25">
      <c r="AD42321"/>
    </row>
    <row r="42322" spans="30:30" x14ac:dyDescent="0.25">
      <c r="AD42322"/>
    </row>
    <row r="42323" spans="30:30" x14ac:dyDescent="0.25">
      <c r="AD42323"/>
    </row>
    <row r="42324" spans="30:30" x14ac:dyDescent="0.25">
      <c r="AD42324"/>
    </row>
    <row r="42325" spans="30:30" x14ac:dyDescent="0.25">
      <c r="AD42325"/>
    </row>
    <row r="42326" spans="30:30" x14ac:dyDescent="0.25">
      <c r="AD42326"/>
    </row>
    <row r="42327" spans="30:30" x14ac:dyDescent="0.25">
      <c r="AD42327"/>
    </row>
    <row r="42328" spans="30:30" x14ac:dyDescent="0.25">
      <c r="AD42328"/>
    </row>
    <row r="42329" spans="30:30" x14ac:dyDescent="0.25">
      <c r="AD42329"/>
    </row>
    <row r="42330" spans="30:30" x14ac:dyDescent="0.25">
      <c r="AD42330"/>
    </row>
    <row r="42331" spans="30:30" x14ac:dyDescent="0.25">
      <c r="AD42331"/>
    </row>
    <row r="42332" spans="30:30" x14ac:dyDescent="0.25">
      <c r="AD42332"/>
    </row>
    <row r="42333" spans="30:30" x14ac:dyDescent="0.25">
      <c r="AD42333"/>
    </row>
    <row r="42334" spans="30:30" x14ac:dyDescent="0.25">
      <c r="AD42334"/>
    </row>
    <row r="42335" spans="30:30" x14ac:dyDescent="0.25">
      <c r="AD42335"/>
    </row>
    <row r="42336" spans="30:30" x14ac:dyDescent="0.25">
      <c r="AD42336"/>
    </row>
    <row r="42337" spans="30:30" x14ac:dyDescent="0.25">
      <c r="AD42337"/>
    </row>
    <row r="42338" spans="30:30" x14ac:dyDescent="0.25">
      <c r="AD42338"/>
    </row>
    <row r="42339" spans="30:30" x14ac:dyDescent="0.25">
      <c r="AD42339"/>
    </row>
    <row r="42340" spans="30:30" x14ac:dyDescent="0.25">
      <c r="AD42340"/>
    </row>
    <row r="42341" spans="30:30" x14ac:dyDescent="0.25">
      <c r="AD42341"/>
    </row>
    <row r="42342" spans="30:30" x14ac:dyDescent="0.25">
      <c r="AD42342"/>
    </row>
    <row r="42343" spans="30:30" x14ac:dyDescent="0.25">
      <c r="AD42343"/>
    </row>
    <row r="42344" spans="30:30" x14ac:dyDescent="0.25">
      <c r="AD42344"/>
    </row>
    <row r="42345" spans="30:30" x14ac:dyDescent="0.25">
      <c r="AD42345"/>
    </row>
    <row r="42346" spans="30:30" x14ac:dyDescent="0.25">
      <c r="AD42346"/>
    </row>
    <row r="42347" spans="30:30" x14ac:dyDescent="0.25">
      <c r="AD42347"/>
    </row>
    <row r="42348" spans="30:30" x14ac:dyDescent="0.25">
      <c r="AD42348"/>
    </row>
    <row r="42349" spans="30:30" x14ac:dyDescent="0.25">
      <c r="AD42349"/>
    </row>
    <row r="42350" spans="30:30" x14ac:dyDescent="0.25">
      <c r="AD42350"/>
    </row>
    <row r="42351" spans="30:30" x14ac:dyDescent="0.25">
      <c r="AD42351"/>
    </row>
    <row r="42352" spans="30:30" x14ac:dyDescent="0.25">
      <c r="AD42352"/>
    </row>
    <row r="42353" spans="30:30" x14ac:dyDescent="0.25">
      <c r="AD42353"/>
    </row>
    <row r="42354" spans="30:30" x14ac:dyDescent="0.25">
      <c r="AD42354"/>
    </row>
    <row r="42355" spans="30:30" x14ac:dyDescent="0.25">
      <c r="AD42355"/>
    </row>
    <row r="42356" spans="30:30" x14ac:dyDescent="0.25">
      <c r="AD42356"/>
    </row>
    <row r="42357" spans="30:30" x14ac:dyDescent="0.25">
      <c r="AD42357"/>
    </row>
    <row r="42358" spans="30:30" x14ac:dyDescent="0.25">
      <c r="AD42358"/>
    </row>
    <row r="42359" spans="30:30" x14ac:dyDescent="0.25">
      <c r="AD42359"/>
    </row>
    <row r="42360" spans="30:30" x14ac:dyDescent="0.25">
      <c r="AD42360"/>
    </row>
    <row r="42361" spans="30:30" x14ac:dyDescent="0.25">
      <c r="AD42361"/>
    </row>
    <row r="42362" spans="30:30" x14ac:dyDescent="0.25">
      <c r="AD42362"/>
    </row>
    <row r="42363" spans="30:30" x14ac:dyDescent="0.25">
      <c r="AD42363"/>
    </row>
    <row r="42364" spans="30:30" x14ac:dyDescent="0.25">
      <c r="AD42364"/>
    </row>
    <row r="42365" spans="30:30" x14ac:dyDescent="0.25">
      <c r="AD42365"/>
    </row>
    <row r="42366" spans="30:30" x14ac:dyDescent="0.25">
      <c r="AD42366"/>
    </row>
    <row r="42367" spans="30:30" x14ac:dyDescent="0.25">
      <c r="AD42367"/>
    </row>
    <row r="42368" spans="30:30" x14ac:dyDescent="0.25">
      <c r="AD42368"/>
    </row>
    <row r="42369" spans="30:30" x14ac:dyDescent="0.25">
      <c r="AD42369"/>
    </row>
    <row r="42370" spans="30:30" x14ac:dyDescent="0.25">
      <c r="AD42370"/>
    </row>
    <row r="42371" spans="30:30" x14ac:dyDescent="0.25">
      <c r="AD42371"/>
    </row>
    <row r="42372" spans="30:30" x14ac:dyDescent="0.25">
      <c r="AD42372"/>
    </row>
    <row r="42373" spans="30:30" x14ac:dyDescent="0.25">
      <c r="AD42373"/>
    </row>
    <row r="42374" spans="30:30" x14ac:dyDescent="0.25">
      <c r="AD42374"/>
    </row>
    <row r="42375" spans="30:30" x14ac:dyDescent="0.25">
      <c r="AD42375"/>
    </row>
    <row r="42376" spans="30:30" x14ac:dyDescent="0.25">
      <c r="AD42376"/>
    </row>
    <row r="42377" spans="30:30" x14ac:dyDescent="0.25">
      <c r="AD42377"/>
    </row>
    <row r="42378" spans="30:30" x14ac:dyDescent="0.25">
      <c r="AD42378"/>
    </row>
    <row r="42379" spans="30:30" x14ac:dyDescent="0.25">
      <c r="AD42379"/>
    </row>
    <row r="42380" spans="30:30" x14ac:dyDescent="0.25">
      <c r="AD42380"/>
    </row>
    <row r="42381" spans="30:30" x14ac:dyDescent="0.25">
      <c r="AD42381"/>
    </row>
    <row r="42382" spans="30:30" x14ac:dyDescent="0.25">
      <c r="AD42382"/>
    </row>
    <row r="42383" spans="30:30" x14ac:dyDescent="0.25">
      <c r="AD42383"/>
    </row>
    <row r="42384" spans="30:30" x14ac:dyDescent="0.25">
      <c r="AD42384"/>
    </row>
    <row r="42385" spans="30:30" x14ac:dyDescent="0.25">
      <c r="AD42385"/>
    </row>
    <row r="42386" spans="30:30" x14ac:dyDescent="0.25">
      <c r="AD42386"/>
    </row>
    <row r="42387" spans="30:30" x14ac:dyDescent="0.25">
      <c r="AD42387"/>
    </row>
    <row r="42388" spans="30:30" x14ac:dyDescent="0.25">
      <c r="AD42388"/>
    </row>
    <row r="42389" spans="30:30" x14ac:dyDescent="0.25">
      <c r="AD42389"/>
    </row>
    <row r="42390" spans="30:30" x14ac:dyDescent="0.25">
      <c r="AD42390"/>
    </row>
    <row r="42391" spans="30:30" x14ac:dyDescent="0.25">
      <c r="AD42391"/>
    </row>
    <row r="42392" spans="30:30" x14ac:dyDescent="0.25">
      <c r="AD42392"/>
    </row>
    <row r="42393" spans="30:30" x14ac:dyDescent="0.25">
      <c r="AD42393"/>
    </row>
    <row r="42394" spans="30:30" x14ac:dyDescent="0.25">
      <c r="AD42394"/>
    </row>
    <row r="42395" spans="30:30" x14ac:dyDescent="0.25">
      <c r="AD42395"/>
    </row>
    <row r="42396" spans="30:30" x14ac:dyDescent="0.25">
      <c r="AD42396"/>
    </row>
    <row r="42397" spans="30:30" x14ac:dyDescent="0.25">
      <c r="AD42397"/>
    </row>
    <row r="42398" spans="30:30" x14ac:dyDescent="0.25">
      <c r="AD42398"/>
    </row>
    <row r="42399" spans="30:30" x14ac:dyDescent="0.25">
      <c r="AD42399"/>
    </row>
    <row r="42400" spans="30:30" x14ac:dyDescent="0.25">
      <c r="AD42400"/>
    </row>
    <row r="42401" spans="30:30" x14ac:dyDescent="0.25">
      <c r="AD42401"/>
    </row>
    <row r="42402" spans="30:30" x14ac:dyDescent="0.25">
      <c r="AD42402"/>
    </row>
    <row r="42403" spans="30:30" x14ac:dyDescent="0.25">
      <c r="AD42403"/>
    </row>
    <row r="42404" spans="30:30" x14ac:dyDescent="0.25">
      <c r="AD42404"/>
    </row>
    <row r="42405" spans="30:30" x14ac:dyDescent="0.25">
      <c r="AD42405"/>
    </row>
    <row r="42406" spans="30:30" x14ac:dyDescent="0.25">
      <c r="AD42406"/>
    </row>
    <row r="42407" spans="30:30" x14ac:dyDescent="0.25">
      <c r="AD42407"/>
    </row>
    <row r="42408" spans="30:30" x14ac:dyDescent="0.25">
      <c r="AD42408"/>
    </row>
    <row r="42409" spans="30:30" x14ac:dyDescent="0.25">
      <c r="AD42409"/>
    </row>
    <row r="42410" spans="30:30" x14ac:dyDescent="0.25">
      <c r="AD42410"/>
    </row>
    <row r="42411" spans="30:30" x14ac:dyDescent="0.25">
      <c r="AD42411"/>
    </row>
    <row r="42412" spans="30:30" x14ac:dyDescent="0.25">
      <c r="AD42412"/>
    </row>
    <row r="42413" spans="30:30" x14ac:dyDescent="0.25">
      <c r="AD42413"/>
    </row>
    <row r="42414" spans="30:30" x14ac:dyDescent="0.25">
      <c r="AD42414"/>
    </row>
    <row r="42415" spans="30:30" x14ac:dyDescent="0.25">
      <c r="AD42415"/>
    </row>
    <row r="42416" spans="30:30" x14ac:dyDescent="0.25">
      <c r="AD42416"/>
    </row>
    <row r="42417" spans="30:30" x14ac:dyDescent="0.25">
      <c r="AD42417"/>
    </row>
    <row r="42418" spans="30:30" x14ac:dyDescent="0.25">
      <c r="AD42418"/>
    </row>
    <row r="42419" spans="30:30" x14ac:dyDescent="0.25">
      <c r="AD42419"/>
    </row>
    <row r="42420" spans="30:30" x14ac:dyDescent="0.25">
      <c r="AD42420"/>
    </row>
    <row r="42421" spans="30:30" x14ac:dyDescent="0.25">
      <c r="AD42421"/>
    </row>
    <row r="42422" spans="30:30" x14ac:dyDescent="0.25">
      <c r="AD42422"/>
    </row>
    <row r="42423" spans="30:30" x14ac:dyDescent="0.25">
      <c r="AD42423"/>
    </row>
    <row r="42424" spans="30:30" x14ac:dyDescent="0.25">
      <c r="AD42424"/>
    </row>
    <row r="42425" spans="30:30" x14ac:dyDescent="0.25">
      <c r="AD42425"/>
    </row>
    <row r="42426" spans="30:30" x14ac:dyDescent="0.25">
      <c r="AD42426"/>
    </row>
    <row r="42427" spans="30:30" x14ac:dyDescent="0.25">
      <c r="AD42427"/>
    </row>
    <row r="42428" spans="30:30" x14ac:dyDescent="0.25">
      <c r="AD42428"/>
    </row>
    <row r="42429" spans="30:30" x14ac:dyDescent="0.25">
      <c r="AD42429"/>
    </row>
    <row r="42430" spans="30:30" x14ac:dyDescent="0.25">
      <c r="AD42430"/>
    </row>
    <row r="42431" spans="30:30" x14ac:dyDescent="0.25">
      <c r="AD42431"/>
    </row>
    <row r="42432" spans="30:30" x14ac:dyDescent="0.25">
      <c r="AD42432"/>
    </row>
    <row r="42433" spans="30:30" x14ac:dyDescent="0.25">
      <c r="AD42433"/>
    </row>
    <row r="42434" spans="30:30" x14ac:dyDescent="0.25">
      <c r="AD42434"/>
    </row>
    <row r="42435" spans="30:30" x14ac:dyDescent="0.25">
      <c r="AD42435"/>
    </row>
    <row r="42436" spans="30:30" x14ac:dyDescent="0.25">
      <c r="AD42436"/>
    </row>
    <row r="42437" spans="30:30" x14ac:dyDescent="0.25">
      <c r="AD42437"/>
    </row>
    <row r="42438" spans="30:30" x14ac:dyDescent="0.25">
      <c r="AD42438"/>
    </row>
    <row r="42439" spans="30:30" x14ac:dyDescent="0.25">
      <c r="AD42439"/>
    </row>
    <row r="42440" spans="30:30" x14ac:dyDescent="0.25">
      <c r="AD42440"/>
    </row>
    <row r="42441" spans="30:30" x14ac:dyDescent="0.25">
      <c r="AD42441"/>
    </row>
    <row r="42442" spans="30:30" x14ac:dyDescent="0.25">
      <c r="AD42442"/>
    </row>
    <row r="42443" spans="30:30" x14ac:dyDescent="0.25">
      <c r="AD42443"/>
    </row>
    <row r="42444" spans="30:30" x14ac:dyDescent="0.25">
      <c r="AD42444"/>
    </row>
    <row r="42445" spans="30:30" x14ac:dyDescent="0.25">
      <c r="AD42445"/>
    </row>
    <row r="42446" spans="30:30" x14ac:dyDescent="0.25">
      <c r="AD42446"/>
    </row>
    <row r="42447" spans="30:30" x14ac:dyDescent="0.25">
      <c r="AD42447"/>
    </row>
    <row r="42448" spans="30:30" x14ac:dyDescent="0.25">
      <c r="AD42448"/>
    </row>
    <row r="42449" spans="30:30" x14ac:dyDescent="0.25">
      <c r="AD42449"/>
    </row>
    <row r="42450" spans="30:30" x14ac:dyDescent="0.25">
      <c r="AD42450"/>
    </row>
    <row r="42451" spans="30:30" x14ac:dyDescent="0.25">
      <c r="AD42451"/>
    </row>
    <row r="42452" spans="30:30" x14ac:dyDescent="0.25">
      <c r="AD42452"/>
    </row>
    <row r="42453" spans="30:30" x14ac:dyDescent="0.25">
      <c r="AD42453"/>
    </row>
    <row r="42454" spans="30:30" x14ac:dyDescent="0.25">
      <c r="AD42454"/>
    </row>
    <row r="42455" spans="30:30" x14ac:dyDescent="0.25">
      <c r="AD42455"/>
    </row>
    <row r="42456" spans="30:30" x14ac:dyDescent="0.25">
      <c r="AD42456"/>
    </row>
    <row r="42457" spans="30:30" x14ac:dyDescent="0.25">
      <c r="AD42457"/>
    </row>
    <row r="42458" spans="30:30" x14ac:dyDescent="0.25">
      <c r="AD42458"/>
    </row>
    <row r="42459" spans="30:30" x14ac:dyDescent="0.25">
      <c r="AD42459"/>
    </row>
    <row r="42460" spans="30:30" x14ac:dyDescent="0.25">
      <c r="AD42460"/>
    </row>
    <row r="42461" spans="30:30" x14ac:dyDescent="0.25">
      <c r="AD42461"/>
    </row>
    <row r="42462" spans="30:30" x14ac:dyDescent="0.25">
      <c r="AD42462"/>
    </row>
    <row r="42463" spans="30:30" x14ac:dyDescent="0.25">
      <c r="AD42463"/>
    </row>
    <row r="42464" spans="30:30" x14ac:dyDescent="0.25">
      <c r="AD42464"/>
    </row>
    <row r="42465" spans="30:30" x14ac:dyDescent="0.25">
      <c r="AD42465"/>
    </row>
    <row r="42466" spans="30:30" x14ac:dyDescent="0.25">
      <c r="AD42466"/>
    </row>
    <row r="42467" spans="30:30" x14ac:dyDescent="0.25">
      <c r="AD42467"/>
    </row>
    <row r="42468" spans="30:30" x14ac:dyDescent="0.25">
      <c r="AD42468"/>
    </row>
    <row r="42469" spans="30:30" x14ac:dyDescent="0.25">
      <c r="AD42469"/>
    </row>
    <row r="42470" spans="30:30" x14ac:dyDescent="0.25">
      <c r="AD42470"/>
    </row>
    <row r="42471" spans="30:30" x14ac:dyDescent="0.25">
      <c r="AD42471"/>
    </row>
    <row r="42472" spans="30:30" x14ac:dyDescent="0.25">
      <c r="AD42472"/>
    </row>
    <row r="42473" spans="30:30" x14ac:dyDescent="0.25">
      <c r="AD42473"/>
    </row>
    <row r="42474" spans="30:30" x14ac:dyDescent="0.25">
      <c r="AD42474"/>
    </row>
    <row r="42475" spans="30:30" x14ac:dyDescent="0.25">
      <c r="AD42475"/>
    </row>
    <row r="42476" spans="30:30" x14ac:dyDescent="0.25">
      <c r="AD42476"/>
    </row>
    <row r="42477" spans="30:30" x14ac:dyDescent="0.25">
      <c r="AD42477"/>
    </row>
    <row r="42478" spans="30:30" x14ac:dyDescent="0.25">
      <c r="AD42478"/>
    </row>
    <row r="42479" spans="30:30" x14ac:dyDescent="0.25">
      <c r="AD42479"/>
    </row>
    <row r="42480" spans="30:30" x14ac:dyDescent="0.25">
      <c r="AD42480"/>
    </row>
    <row r="42481" spans="30:30" x14ac:dyDescent="0.25">
      <c r="AD42481"/>
    </row>
    <row r="42482" spans="30:30" x14ac:dyDescent="0.25">
      <c r="AD42482"/>
    </row>
    <row r="42483" spans="30:30" x14ac:dyDescent="0.25">
      <c r="AD42483"/>
    </row>
    <row r="42484" spans="30:30" x14ac:dyDescent="0.25">
      <c r="AD42484"/>
    </row>
    <row r="42485" spans="30:30" x14ac:dyDescent="0.25">
      <c r="AD42485"/>
    </row>
    <row r="42486" spans="30:30" x14ac:dyDescent="0.25">
      <c r="AD42486"/>
    </row>
    <row r="42487" spans="30:30" x14ac:dyDescent="0.25">
      <c r="AD42487"/>
    </row>
    <row r="42488" spans="30:30" x14ac:dyDescent="0.25">
      <c r="AD42488"/>
    </row>
    <row r="42489" spans="30:30" x14ac:dyDescent="0.25">
      <c r="AD42489"/>
    </row>
    <row r="42490" spans="30:30" x14ac:dyDescent="0.25">
      <c r="AD42490"/>
    </row>
    <row r="42491" spans="30:30" x14ac:dyDescent="0.25">
      <c r="AD42491"/>
    </row>
    <row r="42492" spans="30:30" x14ac:dyDescent="0.25">
      <c r="AD42492"/>
    </row>
    <row r="42493" spans="30:30" x14ac:dyDescent="0.25">
      <c r="AD42493"/>
    </row>
    <row r="42494" spans="30:30" x14ac:dyDescent="0.25">
      <c r="AD42494"/>
    </row>
    <row r="42495" spans="30:30" x14ac:dyDescent="0.25">
      <c r="AD42495"/>
    </row>
    <row r="42496" spans="30:30" x14ac:dyDescent="0.25">
      <c r="AD42496"/>
    </row>
    <row r="42497" spans="30:30" x14ac:dyDescent="0.25">
      <c r="AD42497"/>
    </row>
    <row r="42498" spans="30:30" x14ac:dyDescent="0.25">
      <c r="AD42498"/>
    </row>
    <row r="42499" spans="30:30" x14ac:dyDescent="0.25">
      <c r="AD42499"/>
    </row>
    <row r="42500" spans="30:30" x14ac:dyDescent="0.25">
      <c r="AD42500"/>
    </row>
    <row r="42501" spans="30:30" x14ac:dyDescent="0.25">
      <c r="AD42501"/>
    </row>
    <row r="42502" spans="30:30" x14ac:dyDescent="0.25">
      <c r="AD42502"/>
    </row>
    <row r="42503" spans="30:30" x14ac:dyDescent="0.25">
      <c r="AD42503"/>
    </row>
    <row r="42504" spans="30:30" x14ac:dyDescent="0.25">
      <c r="AD42504"/>
    </row>
    <row r="42505" spans="30:30" x14ac:dyDescent="0.25">
      <c r="AD42505"/>
    </row>
    <row r="42506" spans="30:30" x14ac:dyDescent="0.25">
      <c r="AD42506"/>
    </row>
    <row r="42507" spans="30:30" x14ac:dyDescent="0.25">
      <c r="AD42507"/>
    </row>
    <row r="42508" spans="30:30" x14ac:dyDescent="0.25">
      <c r="AD42508"/>
    </row>
    <row r="42509" spans="30:30" x14ac:dyDescent="0.25">
      <c r="AD42509"/>
    </row>
    <row r="42510" spans="30:30" x14ac:dyDescent="0.25">
      <c r="AD42510"/>
    </row>
    <row r="42511" spans="30:30" x14ac:dyDescent="0.25">
      <c r="AD42511"/>
    </row>
    <row r="42512" spans="30:30" x14ac:dyDescent="0.25">
      <c r="AD42512"/>
    </row>
    <row r="42513" spans="30:30" x14ac:dyDescent="0.25">
      <c r="AD42513"/>
    </row>
    <row r="42514" spans="30:30" x14ac:dyDescent="0.25">
      <c r="AD42514"/>
    </row>
    <row r="42515" spans="30:30" x14ac:dyDescent="0.25">
      <c r="AD42515"/>
    </row>
    <row r="42516" spans="30:30" x14ac:dyDescent="0.25">
      <c r="AD42516"/>
    </row>
    <row r="42517" spans="30:30" x14ac:dyDescent="0.25">
      <c r="AD42517"/>
    </row>
    <row r="42518" spans="30:30" x14ac:dyDescent="0.25">
      <c r="AD42518"/>
    </row>
    <row r="42519" spans="30:30" x14ac:dyDescent="0.25">
      <c r="AD42519"/>
    </row>
    <row r="42520" spans="30:30" x14ac:dyDescent="0.25">
      <c r="AD42520"/>
    </row>
    <row r="42521" spans="30:30" x14ac:dyDescent="0.25">
      <c r="AD42521"/>
    </row>
    <row r="42522" spans="30:30" x14ac:dyDescent="0.25">
      <c r="AD42522"/>
    </row>
    <row r="42523" spans="30:30" x14ac:dyDescent="0.25">
      <c r="AD42523"/>
    </row>
    <row r="42524" spans="30:30" x14ac:dyDescent="0.25">
      <c r="AD42524"/>
    </row>
    <row r="42525" spans="30:30" x14ac:dyDescent="0.25">
      <c r="AD42525"/>
    </row>
    <row r="42526" spans="30:30" x14ac:dyDescent="0.25">
      <c r="AD42526"/>
    </row>
    <row r="42527" spans="30:30" x14ac:dyDescent="0.25">
      <c r="AD42527"/>
    </row>
    <row r="42528" spans="30:30" x14ac:dyDescent="0.25">
      <c r="AD42528"/>
    </row>
    <row r="42529" spans="30:30" x14ac:dyDescent="0.25">
      <c r="AD42529"/>
    </row>
    <row r="42530" spans="30:30" x14ac:dyDescent="0.25">
      <c r="AD42530"/>
    </row>
    <row r="42531" spans="30:30" x14ac:dyDescent="0.25">
      <c r="AD42531"/>
    </row>
    <row r="42532" spans="30:30" x14ac:dyDescent="0.25">
      <c r="AD42532"/>
    </row>
    <row r="42533" spans="30:30" x14ac:dyDescent="0.25">
      <c r="AD42533"/>
    </row>
    <row r="42534" spans="30:30" x14ac:dyDescent="0.25">
      <c r="AD42534"/>
    </row>
    <row r="42535" spans="30:30" x14ac:dyDescent="0.25">
      <c r="AD42535"/>
    </row>
    <row r="42536" spans="30:30" x14ac:dyDescent="0.25">
      <c r="AD42536"/>
    </row>
    <row r="42537" spans="30:30" x14ac:dyDescent="0.25">
      <c r="AD42537"/>
    </row>
    <row r="42538" spans="30:30" x14ac:dyDescent="0.25">
      <c r="AD42538"/>
    </row>
    <row r="42539" spans="30:30" x14ac:dyDescent="0.25">
      <c r="AD42539"/>
    </row>
    <row r="42540" spans="30:30" x14ac:dyDescent="0.25">
      <c r="AD42540"/>
    </row>
    <row r="42541" spans="30:30" x14ac:dyDescent="0.25">
      <c r="AD42541"/>
    </row>
    <row r="42542" spans="30:30" x14ac:dyDescent="0.25">
      <c r="AD42542"/>
    </row>
    <row r="42543" spans="30:30" x14ac:dyDescent="0.25">
      <c r="AD42543"/>
    </row>
    <row r="42544" spans="30:30" x14ac:dyDescent="0.25">
      <c r="AD42544"/>
    </row>
    <row r="42545" spans="30:30" x14ac:dyDescent="0.25">
      <c r="AD42545"/>
    </row>
    <row r="42546" spans="30:30" x14ac:dyDescent="0.25">
      <c r="AD42546"/>
    </row>
    <row r="42547" spans="30:30" x14ac:dyDescent="0.25">
      <c r="AD42547"/>
    </row>
    <row r="42548" spans="30:30" x14ac:dyDescent="0.25">
      <c r="AD42548"/>
    </row>
    <row r="42549" spans="30:30" x14ac:dyDescent="0.25">
      <c r="AD42549"/>
    </row>
    <row r="42550" spans="30:30" x14ac:dyDescent="0.25">
      <c r="AD42550"/>
    </row>
    <row r="42551" spans="30:30" x14ac:dyDescent="0.25">
      <c r="AD42551"/>
    </row>
    <row r="42552" spans="30:30" x14ac:dyDescent="0.25">
      <c r="AD42552"/>
    </row>
    <row r="42553" spans="30:30" x14ac:dyDescent="0.25">
      <c r="AD42553"/>
    </row>
    <row r="42554" spans="30:30" x14ac:dyDescent="0.25">
      <c r="AD42554"/>
    </row>
    <row r="42555" spans="30:30" x14ac:dyDescent="0.25">
      <c r="AD42555"/>
    </row>
    <row r="42556" spans="30:30" x14ac:dyDescent="0.25">
      <c r="AD42556"/>
    </row>
    <row r="42557" spans="30:30" x14ac:dyDescent="0.25">
      <c r="AD42557"/>
    </row>
    <row r="42558" spans="30:30" x14ac:dyDescent="0.25">
      <c r="AD42558"/>
    </row>
    <row r="42559" spans="30:30" x14ac:dyDescent="0.25">
      <c r="AD42559"/>
    </row>
    <row r="42560" spans="30:30" x14ac:dyDescent="0.25">
      <c r="AD42560"/>
    </row>
    <row r="42561" spans="30:30" x14ac:dyDescent="0.25">
      <c r="AD42561"/>
    </row>
    <row r="42562" spans="30:30" x14ac:dyDescent="0.25">
      <c r="AD42562"/>
    </row>
    <row r="42563" spans="30:30" x14ac:dyDescent="0.25">
      <c r="AD42563"/>
    </row>
    <row r="42564" spans="30:30" x14ac:dyDescent="0.25">
      <c r="AD42564"/>
    </row>
    <row r="42565" spans="30:30" x14ac:dyDescent="0.25">
      <c r="AD42565"/>
    </row>
    <row r="42566" spans="30:30" x14ac:dyDescent="0.25">
      <c r="AD42566"/>
    </row>
    <row r="42567" spans="30:30" x14ac:dyDescent="0.25">
      <c r="AD42567"/>
    </row>
    <row r="42568" spans="30:30" x14ac:dyDescent="0.25">
      <c r="AD42568"/>
    </row>
    <row r="42569" spans="30:30" x14ac:dyDescent="0.25">
      <c r="AD42569"/>
    </row>
    <row r="42570" spans="30:30" x14ac:dyDescent="0.25">
      <c r="AD42570"/>
    </row>
    <row r="42571" spans="30:30" x14ac:dyDescent="0.25">
      <c r="AD42571"/>
    </row>
    <row r="42572" spans="30:30" x14ac:dyDescent="0.25">
      <c r="AD42572"/>
    </row>
    <row r="42573" spans="30:30" x14ac:dyDescent="0.25">
      <c r="AD42573"/>
    </row>
    <row r="42574" spans="30:30" x14ac:dyDescent="0.25">
      <c r="AD42574"/>
    </row>
    <row r="42575" spans="30:30" x14ac:dyDescent="0.25">
      <c r="AD42575"/>
    </row>
    <row r="42576" spans="30:30" x14ac:dyDescent="0.25">
      <c r="AD42576"/>
    </row>
    <row r="42577" spans="30:30" x14ac:dyDescent="0.25">
      <c r="AD42577"/>
    </row>
    <row r="42578" spans="30:30" x14ac:dyDescent="0.25">
      <c r="AD42578"/>
    </row>
    <row r="42579" spans="30:30" x14ac:dyDescent="0.25">
      <c r="AD42579"/>
    </row>
    <row r="42580" spans="30:30" x14ac:dyDescent="0.25">
      <c r="AD42580"/>
    </row>
    <row r="42581" spans="30:30" x14ac:dyDescent="0.25">
      <c r="AD42581"/>
    </row>
    <row r="42582" spans="30:30" x14ac:dyDescent="0.25">
      <c r="AD42582"/>
    </row>
    <row r="42583" spans="30:30" x14ac:dyDescent="0.25">
      <c r="AD42583"/>
    </row>
    <row r="42584" spans="30:30" x14ac:dyDescent="0.25">
      <c r="AD42584"/>
    </row>
    <row r="42585" spans="30:30" x14ac:dyDescent="0.25">
      <c r="AD42585"/>
    </row>
    <row r="42586" spans="30:30" x14ac:dyDescent="0.25">
      <c r="AD42586"/>
    </row>
    <row r="42587" spans="30:30" x14ac:dyDescent="0.25">
      <c r="AD42587"/>
    </row>
    <row r="42588" spans="30:30" x14ac:dyDescent="0.25">
      <c r="AD42588"/>
    </row>
    <row r="42589" spans="30:30" x14ac:dyDescent="0.25">
      <c r="AD42589"/>
    </row>
    <row r="42590" spans="30:30" x14ac:dyDescent="0.25">
      <c r="AD42590"/>
    </row>
    <row r="42591" spans="30:30" x14ac:dyDescent="0.25">
      <c r="AD42591"/>
    </row>
    <row r="42592" spans="30:30" x14ac:dyDescent="0.25">
      <c r="AD42592"/>
    </row>
    <row r="42593" spans="30:30" x14ac:dyDescent="0.25">
      <c r="AD42593"/>
    </row>
    <row r="42594" spans="30:30" x14ac:dyDescent="0.25">
      <c r="AD42594"/>
    </row>
    <row r="42595" spans="30:30" x14ac:dyDescent="0.25">
      <c r="AD42595"/>
    </row>
    <row r="42596" spans="30:30" x14ac:dyDescent="0.25">
      <c r="AD42596"/>
    </row>
    <row r="42597" spans="30:30" x14ac:dyDescent="0.25">
      <c r="AD42597"/>
    </row>
    <row r="42598" spans="30:30" x14ac:dyDescent="0.25">
      <c r="AD42598"/>
    </row>
    <row r="42599" spans="30:30" x14ac:dyDescent="0.25">
      <c r="AD42599"/>
    </row>
    <row r="42600" spans="30:30" x14ac:dyDescent="0.25">
      <c r="AD42600"/>
    </row>
    <row r="42601" spans="30:30" x14ac:dyDescent="0.25">
      <c r="AD42601"/>
    </row>
    <row r="42602" spans="30:30" x14ac:dyDescent="0.25">
      <c r="AD42602"/>
    </row>
    <row r="42603" spans="30:30" x14ac:dyDescent="0.25">
      <c r="AD42603"/>
    </row>
    <row r="42604" spans="30:30" x14ac:dyDescent="0.25">
      <c r="AD42604"/>
    </row>
    <row r="42605" spans="30:30" x14ac:dyDescent="0.25">
      <c r="AD42605"/>
    </row>
    <row r="42606" spans="30:30" x14ac:dyDescent="0.25">
      <c r="AD42606"/>
    </row>
    <row r="42607" spans="30:30" x14ac:dyDescent="0.25">
      <c r="AD42607"/>
    </row>
    <row r="42608" spans="30:30" x14ac:dyDescent="0.25">
      <c r="AD42608"/>
    </row>
    <row r="42609" spans="30:30" x14ac:dyDescent="0.25">
      <c r="AD42609"/>
    </row>
    <row r="42610" spans="30:30" x14ac:dyDescent="0.25">
      <c r="AD42610"/>
    </row>
    <row r="42611" spans="30:30" x14ac:dyDescent="0.25">
      <c r="AD42611"/>
    </row>
    <row r="42612" spans="30:30" x14ac:dyDescent="0.25">
      <c r="AD42612"/>
    </row>
    <row r="42613" spans="30:30" x14ac:dyDescent="0.25">
      <c r="AD42613"/>
    </row>
    <row r="42614" spans="30:30" x14ac:dyDescent="0.25">
      <c r="AD42614"/>
    </row>
    <row r="42615" spans="30:30" x14ac:dyDescent="0.25">
      <c r="AD42615"/>
    </row>
    <row r="42616" spans="30:30" x14ac:dyDescent="0.25">
      <c r="AD42616"/>
    </row>
    <row r="42617" spans="30:30" x14ac:dyDescent="0.25">
      <c r="AD42617"/>
    </row>
    <row r="42618" spans="30:30" x14ac:dyDescent="0.25">
      <c r="AD42618"/>
    </row>
    <row r="42619" spans="30:30" x14ac:dyDescent="0.25">
      <c r="AD42619"/>
    </row>
    <row r="42620" spans="30:30" x14ac:dyDescent="0.25">
      <c r="AD42620"/>
    </row>
    <row r="42621" spans="30:30" x14ac:dyDescent="0.25">
      <c r="AD42621"/>
    </row>
    <row r="42622" spans="30:30" x14ac:dyDescent="0.25">
      <c r="AD42622"/>
    </row>
    <row r="42623" spans="30:30" x14ac:dyDescent="0.25">
      <c r="AD42623"/>
    </row>
    <row r="42624" spans="30:30" x14ac:dyDescent="0.25">
      <c r="AD42624"/>
    </row>
    <row r="42625" spans="30:30" x14ac:dyDescent="0.25">
      <c r="AD42625"/>
    </row>
    <row r="42626" spans="30:30" x14ac:dyDescent="0.25">
      <c r="AD42626"/>
    </row>
    <row r="42627" spans="30:30" x14ac:dyDescent="0.25">
      <c r="AD42627"/>
    </row>
    <row r="42628" spans="30:30" x14ac:dyDescent="0.25">
      <c r="AD42628"/>
    </row>
    <row r="42629" spans="30:30" x14ac:dyDescent="0.25">
      <c r="AD42629"/>
    </row>
    <row r="42630" spans="30:30" x14ac:dyDescent="0.25">
      <c r="AD42630"/>
    </row>
    <row r="42631" spans="30:30" x14ac:dyDescent="0.25">
      <c r="AD42631"/>
    </row>
    <row r="42632" spans="30:30" x14ac:dyDescent="0.25">
      <c r="AD42632"/>
    </row>
    <row r="42633" spans="30:30" x14ac:dyDescent="0.25">
      <c r="AD42633"/>
    </row>
    <row r="42634" spans="30:30" x14ac:dyDescent="0.25">
      <c r="AD42634"/>
    </row>
    <row r="42635" spans="30:30" x14ac:dyDescent="0.25">
      <c r="AD42635"/>
    </row>
    <row r="42636" spans="30:30" x14ac:dyDescent="0.25">
      <c r="AD42636"/>
    </row>
    <row r="42637" spans="30:30" x14ac:dyDescent="0.25">
      <c r="AD42637"/>
    </row>
    <row r="42638" spans="30:30" x14ac:dyDescent="0.25">
      <c r="AD42638"/>
    </row>
    <row r="42639" spans="30:30" x14ac:dyDescent="0.25">
      <c r="AD42639"/>
    </row>
    <row r="42640" spans="30:30" x14ac:dyDescent="0.25">
      <c r="AD42640"/>
    </row>
    <row r="42641" spans="30:30" x14ac:dyDescent="0.25">
      <c r="AD42641"/>
    </row>
    <row r="42642" spans="30:30" x14ac:dyDescent="0.25">
      <c r="AD42642"/>
    </row>
    <row r="42643" spans="30:30" x14ac:dyDescent="0.25">
      <c r="AD42643"/>
    </row>
    <row r="42644" spans="30:30" x14ac:dyDescent="0.25">
      <c r="AD42644"/>
    </row>
    <row r="42645" spans="30:30" x14ac:dyDescent="0.25">
      <c r="AD42645"/>
    </row>
    <row r="42646" spans="30:30" x14ac:dyDescent="0.25">
      <c r="AD42646"/>
    </row>
    <row r="42647" spans="30:30" x14ac:dyDescent="0.25">
      <c r="AD42647"/>
    </row>
    <row r="42648" spans="30:30" x14ac:dyDescent="0.25">
      <c r="AD42648"/>
    </row>
    <row r="42649" spans="30:30" x14ac:dyDescent="0.25">
      <c r="AD42649"/>
    </row>
    <row r="42650" spans="30:30" x14ac:dyDescent="0.25">
      <c r="AD42650"/>
    </row>
    <row r="42651" spans="30:30" x14ac:dyDescent="0.25">
      <c r="AD42651"/>
    </row>
    <row r="42652" spans="30:30" x14ac:dyDescent="0.25">
      <c r="AD42652"/>
    </row>
    <row r="42653" spans="30:30" x14ac:dyDescent="0.25">
      <c r="AD42653"/>
    </row>
    <row r="42654" spans="30:30" x14ac:dyDescent="0.25">
      <c r="AD42654"/>
    </row>
    <row r="42655" spans="30:30" x14ac:dyDescent="0.25">
      <c r="AD42655"/>
    </row>
    <row r="42656" spans="30:30" x14ac:dyDescent="0.25">
      <c r="AD42656"/>
    </row>
    <row r="42657" spans="30:30" x14ac:dyDescent="0.25">
      <c r="AD42657"/>
    </row>
    <row r="42658" spans="30:30" x14ac:dyDescent="0.25">
      <c r="AD42658"/>
    </row>
    <row r="42659" spans="30:30" x14ac:dyDescent="0.25">
      <c r="AD42659"/>
    </row>
    <row r="42660" spans="30:30" x14ac:dyDescent="0.25">
      <c r="AD42660"/>
    </row>
    <row r="42661" spans="30:30" x14ac:dyDescent="0.25">
      <c r="AD42661"/>
    </row>
    <row r="42662" spans="30:30" x14ac:dyDescent="0.25">
      <c r="AD42662"/>
    </row>
    <row r="42663" spans="30:30" x14ac:dyDescent="0.25">
      <c r="AD42663"/>
    </row>
    <row r="42664" spans="30:30" x14ac:dyDescent="0.25">
      <c r="AD42664"/>
    </row>
    <row r="42665" spans="30:30" x14ac:dyDescent="0.25">
      <c r="AD42665"/>
    </row>
    <row r="42666" spans="30:30" x14ac:dyDescent="0.25">
      <c r="AD42666"/>
    </row>
    <row r="42667" spans="30:30" x14ac:dyDescent="0.25">
      <c r="AD42667"/>
    </row>
    <row r="42668" spans="30:30" x14ac:dyDescent="0.25">
      <c r="AD42668"/>
    </row>
    <row r="42669" spans="30:30" x14ac:dyDescent="0.25">
      <c r="AD42669"/>
    </row>
    <row r="42670" spans="30:30" x14ac:dyDescent="0.25">
      <c r="AD42670"/>
    </row>
    <row r="42671" spans="30:30" x14ac:dyDescent="0.25">
      <c r="AD42671"/>
    </row>
    <row r="42672" spans="30:30" x14ac:dyDescent="0.25">
      <c r="AD42672"/>
    </row>
    <row r="42673" spans="30:30" x14ac:dyDescent="0.25">
      <c r="AD42673"/>
    </row>
    <row r="42674" spans="30:30" x14ac:dyDescent="0.25">
      <c r="AD42674"/>
    </row>
    <row r="42675" spans="30:30" x14ac:dyDescent="0.25">
      <c r="AD42675"/>
    </row>
    <row r="42676" spans="30:30" x14ac:dyDescent="0.25">
      <c r="AD42676"/>
    </row>
    <row r="42677" spans="30:30" x14ac:dyDescent="0.25">
      <c r="AD42677"/>
    </row>
    <row r="42678" spans="30:30" x14ac:dyDescent="0.25">
      <c r="AD42678"/>
    </row>
    <row r="42679" spans="30:30" x14ac:dyDescent="0.25">
      <c r="AD42679"/>
    </row>
    <row r="42680" spans="30:30" x14ac:dyDescent="0.25">
      <c r="AD42680"/>
    </row>
    <row r="42681" spans="30:30" x14ac:dyDescent="0.25">
      <c r="AD42681"/>
    </row>
    <row r="42682" spans="30:30" x14ac:dyDescent="0.25">
      <c r="AD42682"/>
    </row>
    <row r="42683" spans="30:30" x14ac:dyDescent="0.25">
      <c r="AD42683"/>
    </row>
    <row r="42684" spans="30:30" x14ac:dyDescent="0.25">
      <c r="AD42684"/>
    </row>
    <row r="42685" spans="30:30" x14ac:dyDescent="0.25">
      <c r="AD42685"/>
    </row>
    <row r="42686" spans="30:30" x14ac:dyDescent="0.25">
      <c r="AD42686"/>
    </row>
    <row r="42687" spans="30:30" x14ac:dyDescent="0.25">
      <c r="AD42687"/>
    </row>
    <row r="42688" spans="30:30" x14ac:dyDescent="0.25">
      <c r="AD42688"/>
    </row>
    <row r="42689" spans="30:30" x14ac:dyDescent="0.25">
      <c r="AD42689"/>
    </row>
    <row r="42690" spans="30:30" x14ac:dyDescent="0.25">
      <c r="AD42690"/>
    </row>
    <row r="42691" spans="30:30" x14ac:dyDescent="0.25">
      <c r="AD42691"/>
    </row>
    <row r="42692" spans="30:30" x14ac:dyDescent="0.25">
      <c r="AD42692"/>
    </row>
    <row r="42693" spans="30:30" x14ac:dyDescent="0.25">
      <c r="AD42693"/>
    </row>
    <row r="42694" spans="30:30" x14ac:dyDescent="0.25">
      <c r="AD42694"/>
    </row>
    <row r="42695" spans="30:30" x14ac:dyDescent="0.25">
      <c r="AD42695"/>
    </row>
    <row r="42696" spans="30:30" x14ac:dyDescent="0.25">
      <c r="AD42696"/>
    </row>
    <row r="42697" spans="30:30" x14ac:dyDescent="0.25">
      <c r="AD42697"/>
    </row>
    <row r="42698" spans="30:30" x14ac:dyDescent="0.25">
      <c r="AD42698"/>
    </row>
    <row r="42699" spans="30:30" x14ac:dyDescent="0.25">
      <c r="AD42699"/>
    </row>
    <row r="42700" spans="30:30" x14ac:dyDescent="0.25">
      <c r="AD42700"/>
    </row>
    <row r="42701" spans="30:30" x14ac:dyDescent="0.25">
      <c r="AD42701"/>
    </row>
    <row r="42702" spans="30:30" x14ac:dyDescent="0.25">
      <c r="AD42702"/>
    </row>
    <row r="42703" spans="30:30" x14ac:dyDescent="0.25">
      <c r="AD42703"/>
    </row>
    <row r="42704" spans="30:30" x14ac:dyDescent="0.25">
      <c r="AD42704"/>
    </row>
    <row r="42705" spans="30:30" x14ac:dyDescent="0.25">
      <c r="AD42705"/>
    </row>
    <row r="42706" spans="30:30" x14ac:dyDescent="0.25">
      <c r="AD42706"/>
    </row>
    <row r="42707" spans="30:30" x14ac:dyDescent="0.25">
      <c r="AD42707"/>
    </row>
    <row r="42708" spans="30:30" x14ac:dyDescent="0.25">
      <c r="AD42708"/>
    </row>
    <row r="42709" spans="30:30" x14ac:dyDescent="0.25">
      <c r="AD42709"/>
    </row>
    <row r="42710" spans="30:30" x14ac:dyDescent="0.25">
      <c r="AD42710"/>
    </row>
    <row r="42711" spans="30:30" x14ac:dyDescent="0.25">
      <c r="AD42711"/>
    </row>
    <row r="42712" spans="30:30" x14ac:dyDescent="0.25">
      <c r="AD42712"/>
    </row>
    <row r="42713" spans="30:30" x14ac:dyDescent="0.25">
      <c r="AD42713"/>
    </row>
    <row r="42714" spans="30:30" x14ac:dyDescent="0.25">
      <c r="AD42714"/>
    </row>
    <row r="42715" spans="30:30" x14ac:dyDescent="0.25">
      <c r="AD42715"/>
    </row>
    <row r="42716" spans="30:30" x14ac:dyDescent="0.25">
      <c r="AD42716"/>
    </row>
    <row r="42717" spans="30:30" x14ac:dyDescent="0.25">
      <c r="AD42717"/>
    </row>
    <row r="42718" spans="30:30" x14ac:dyDescent="0.25">
      <c r="AD42718"/>
    </row>
    <row r="42719" spans="30:30" x14ac:dyDescent="0.25">
      <c r="AD42719"/>
    </row>
    <row r="42720" spans="30:30" x14ac:dyDescent="0.25">
      <c r="AD42720"/>
    </row>
    <row r="42721" spans="30:30" x14ac:dyDescent="0.25">
      <c r="AD42721"/>
    </row>
    <row r="42722" spans="30:30" x14ac:dyDescent="0.25">
      <c r="AD42722"/>
    </row>
    <row r="42723" spans="30:30" x14ac:dyDescent="0.25">
      <c r="AD42723"/>
    </row>
    <row r="42724" spans="30:30" x14ac:dyDescent="0.25">
      <c r="AD42724"/>
    </row>
    <row r="42725" spans="30:30" x14ac:dyDescent="0.25">
      <c r="AD42725"/>
    </row>
    <row r="42726" spans="30:30" x14ac:dyDescent="0.25">
      <c r="AD42726"/>
    </row>
    <row r="42727" spans="30:30" x14ac:dyDescent="0.25">
      <c r="AD42727"/>
    </row>
    <row r="42728" spans="30:30" x14ac:dyDescent="0.25">
      <c r="AD42728"/>
    </row>
    <row r="42729" spans="30:30" x14ac:dyDescent="0.25">
      <c r="AD42729"/>
    </row>
    <row r="42730" spans="30:30" x14ac:dyDescent="0.25">
      <c r="AD42730"/>
    </row>
    <row r="42731" spans="30:30" x14ac:dyDescent="0.25">
      <c r="AD42731"/>
    </row>
    <row r="42732" spans="30:30" x14ac:dyDescent="0.25">
      <c r="AD42732"/>
    </row>
    <row r="42733" spans="30:30" x14ac:dyDescent="0.25">
      <c r="AD42733"/>
    </row>
    <row r="42734" spans="30:30" x14ac:dyDescent="0.25">
      <c r="AD42734"/>
    </row>
    <row r="42735" spans="30:30" x14ac:dyDescent="0.25">
      <c r="AD42735"/>
    </row>
    <row r="42736" spans="30:30" x14ac:dyDescent="0.25">
      <c r="AD42736"/>
    </row>
    <row r="42737" spans="30:30" x14ac:dyDescent="0.25">
      <c r="AD42737"/>
    </row>
    <row r="42738" spans="30:30" x14ac:dyDescent="0.25">
      <c r="AD42738"/>
    </row>
    <row r="42739" spans="30:30" x14ac:dyDescent="0.25">
      <c r="AD42739"/>
    </row>
    <row r="42740" spans="30:30" x14ac:dyDescent="0.25">
      <c r="AD42740"/>
    </row>
    <row r="42741" spans="30:30" x14ac:dyDescent="0.25">
      <c r="AD42741"/>
    </row>
    <row r="42742" spans="30:30" x14ac:dyDescent="0.25">
      <c r="AD42742"/>
    </row>
    <row r="42743" spans="30:30" x14ac:dyDescent="0.25">
      <c r="AD42743"/>
    </row>
    <row r="42744" spans="30:30" x14ac:dyDescent="0.25">
      <c r="AD42744"/>
    </row>
    <row r="42745" spans="30:30" x14ac:dyDescent="0.25">
      <c r="AD42745"/>
    </row>
    <row r="42746" spans="30:30" x14ac:dyDescent="0.25">
      <c r="AD42746"/>
    </row>
    <row r="42747" spans="30:30" x14ac:dyDescent="0.25">
      <c r="AD42747"/>
    </row>
    <row r="42748" spans="30:30" x14ac:dyDescent="0.25">
      <c r="AD42748"/>
    </row>
    <row r="42749" spans="30:30" x14ac:dyDescent="0.25">
      <c r="AD42749"/>
    </row>
    <row r="42750" spans="30:30" x14ac:dyDescent="0.25">
      <c r="AD42750"/>
    </row>
    <row r="42751" spans="30:30" x14ac:dyDescent="0.25">
      <c r="AD42751"/>
    </row>
    <row r="42752" spans="30:30" x14ac:dyDescent="0.25">
      <c r="AD42752"/>
    </row>
    <row r="42753" spans="30:30" x14ac:dyDescent="0.25">
      <c r="AD42753"/>
    </row>
    <row r="42754" spans="30:30" x14ac:dyDescent="0.25">
      <c r="AD42754"/>
    </row>
    <row r="42755" spans="30:30" x14ac:dyDescent="0.25">
      <c r="AD42755"/>
    </row>
    <row r="42756" spans="30:30" x14ac:dyDescent="0.25">
      <c r="AD42756"/>
    </row>
    <row r="42757" spans="30:30" x14ac:dyDescent="0.25">
      <c r="AD42757"/>
    </row>
    <row r="42758" spans="30:30" x14ac:dyDescent="0.25">
      <c r="AD42758"/>
    </row>
    <row r="42759" spans="30:30" x14ac:dyDescent="0.25">
      <c r="AD42759"/>
    </row>
    <row r="42760" spans="30:30" x14ac:dyDescent="0.25">
      <c r="AD42760"/>
    </row>
    <row r="42761" spans="30:30" x14ac:dyDescent="0.25">
      <c r="AD42761"/>
    </row>
    <row r="42762" spans="30:30" x14ac:dyDescent="0.25">
      <c r="AD42762"/>
    </row>
    <row r="42763" spans="30:30" x14ac:dyDescent="0.25">
      <c r="AD42763"/>
    </row>
    <row r="42764" spans="30:30" x14ac:dyDescent="0.25">
      <c r="AD42764"/>
    </row>
    <row r="42765" spans="30:30" x14ac:dyDescent="0.25">
      <c r="AD42765"/>
    </row>
    <row r="42766" spans="30:30" x14ac:dyDescent="0.25">
      <c r="AD42766"/>
    </row>
    <row r="42767" spans="30:30" x14ac:dyDescent="0.25">
      <c r="AD42767"/>
    </row>
    <row r="42768" spans="30:30" x14ac:dyDescent="0.25">
      <c r="AD42768"/>
    </row>
    <row r="42769" spans="30:30" x14ac:dyDescent="0.25">
      <c r="AD42769"/>
    </row>
    <row r="42770" spans="30:30" x14ac:dyDescent="0.25">
      <c r="AD42770"/>
    </row>
    <row r="42771" spans="30:30" x14ac:dyDescent="0.25">
      <c r="AD42771"/>
    </row>
    <row r="42772" spans="30:30" x14ac:dyDescent="0.25">
      <c r="AD42772"/>
    </row>
    <row r="42773" spans="30:30" x14ac:dyDescent="0.25">
      <c r="AD42773"/>
    </row>
    <row r="42774" spans="30:30" x14ac:dyDescent="0.25">
      <c r="AD42774"/>
    </row>
    <row r="42775" spans="30:30" x14ac:dyDescent="0.25">
      <c r="AD42775"/>
    </row>
    <row r="42776" spans="30:30" x14ac:dyDescent="0.25">
      <c r="AD42776"/>
    </row>
    <row r="42777" spans="30:30" x14ac:dyDescent="0.25">
      <c r="AD42777"/>
    </row>
    <row r="42778" spans="30:30" x14ac:dyDescent="0.25">
      <c r="AD42778"/>
    </row>
    <row r="42779" spans="30:30" x14ac:dyDescent="0.25">
      <c r="AD42779"/>
    </row>
    <row r="42780" spans="30:30" x14ac:dyDescent="0.25">
      <c r="AD42780"/>
    </row>
    <row r="42781" spans="30:30" x14ac:dyDescent="0.25">
      <c r="AD42781"/>
    </row>
    <row r="42782" spans="30:30" x14ac:dyDescent="0.25">
      <c r="AD42782"/>
    </row>
    <row r="42783" spans="30:30" x14ac:dyDescent="0.25">
      <c r="AD42783"/>
    </row>
    <row r="42784" spans="30:30" x14ac:dyDescent="0.25">
      <c r="AD42784"/>
    </row>
    <row r="42785" spans="30:30" x14ac:dyDescent="0.25">
      <c r="AD42785"/>
    </row>
    <row r="42786" spans="30:30" x14ac:dyDescent="0.25">
      <c r="AD42786"/>
    </row>
    <row r="42787" spans="30:30" x14ac:dyDescent="0.25">
      <c r="AD42787"/>
    </row>
    <row r="42788" spans="30:30" x14ac:dyDescent="0.25">
      <c r="AD42788"/>
    </row>
    <row r="42789" spans="30:30" x14ac:dyDescent="0.25">
      <c r="AD42789"/>
    </row>
    <row r="42790" spans="30:30" x14ac:dyDescent="0.25">
      <c r="AD42790"/>
    </row>
    <row r="42791" spans="30:30" x14ac:dyDescent="0.25">
      <c r="AD42791"/>
    </row>
    <row r="42792" spans="30:30" x14ac:dyDescent="0.25">
      <c r="AD42792"/>
    </row>
    <row r="42793" spans="30:30" x14ac:dyDescent="0.25">
      <c r="AD42793"/>
    </row>
    <row r="42794" spans="30:30" x14ac:dyDescent="0.25">
      <c r="AD42794"/>
    </row>
    <row r="42795" spans="30:30" x14ac:dyDescent="0.25">
      <c r="AD42795"/>
    </row>
    <row r="42796" spans="30:30" x14ac:dyDescent="0.25">
      <c r="AD42796"/>
    </row>
    <row r="42797" spans="30:30" x14ac:dyDescent="0.25">
      <c r="AD42797"/>
    </row>
    <row r="42798" spans="30:30" x14ac:dyDescent="0.25">
      <c r="AD42798"/>
    </row>
    <row r="42799" spans="30:30" x14ac:dyDescent="0.25">
      <c r="AD42799"/>
    </row>
    <row r="42800" spans="30:30" x14ac:dyDescent="0.25">
      <c r="AD42800"/>
    </row>
    <row r="42801" spans="30:30" x14ac:dyDescent="0.25">
      <c r="AD42801"/>
    </row>
    <row r="42802" spans="30:30" x14ac:dyDescent="0.25">
      <c r="AD42802"/>
    </row>
    <row r="42803" spans="30:30" x14ac:dyDescent="0.25">
      <c r="AD42803"/>
    </row>
    <row r="42804" spans="30:30" x14ac:dyDescent="0.25">
      <c r="AD42804"/>
    </row>
    <row r="42805" spans="30:30" x14ac:dyDescent="0.25">
      <c r="AD42805"/>
    </row>
    <row r="42806" spans="30:30" x14ac:dyDescent="0.25">
      <c r="AD42806"/>
    </row>
    <row r="42807" spans="30:30" x14ac:dyDescent="0.25">
      <c r="AD42807"/>
    </row>
    <row r="42808" spans="30:30" x14ac:dyDescent="0.25">
      <c r="AD42808"/>
    </row>
    <row r="42809" spans="30:30" x14ac:dyDescent="0.25">
      <c r="AD42809"/>
    </row>
    <row r="42810" spans="30:30" x14ac:dyDescent="0.25">
      <c r="AD42810"/>
    </row>
    <row r="42811" spans="30:30" x14ac:dyDescent="0.25">
      <c r="AD42811"/>
    </row>
    <row r="42812" spans="30:30" x14ac:dyDescent="0.25">
      <c r="AD42812"/>
    </row>
    <row r="42813" spans="30:30" x14ac:dyDescent="0.25">
      <c r="AD42813"/>
    </row>
    <row r="42814" spans="30:30" x14ac:dyDescent="0.25">
      <c r="AD42814"/>
    </row>
    <row r="42815" spans="30:30" x14ac:dyDescent="0.25">
      <c r="AD42815"/>
    </row>
    <row r="42816" spans="30:30" x14ac:dyDescent="0.25">
      <c r="AD42816"/>
    </row>
    <row r="42817" spans="30:30" x14ac:dyDescent="0.25">
      <c r="AD42817"/>
    </row>
    <row r="42818" spans="30:30" x14ac:dyDescent="0.25">
      <c r="AD42818"/>
    </row>
    <row r="42819" spans="30:30" x14ac:dyDescent="0.25">
      <c r="AD42819"/>
    </row>
    <row r="42820" spans="30:30" x14ac:dyDescent="0.25">
      <c r="AD42820"/>
    </row>
    <row r="42821" spans="30:30" x14ac:dyDescent="0.25">
      <c r="AD42821"/>
    </row>
    <row r="42822" spans="30:30" x14ac:dyDescent="0.25">
      <c r="AD42822"/>
    </row>
    <row r="42823" spans="30:30" x14ac:dyDescent="0.25">
      <c r="AD42823"/>
    </row>
    <row r="42824" spans="30:30" x14ac:dyDescent="0.25">
      <c r="AD42824"/>
    </row>
    <row r="42825" spans="30:30" x14ac:dyDescent="0.25">
      <c r="AD42825"/>
    </row>
    <row r="42826" spans="30:30" x14ac:dyDescent="0.25">
      <c r="AD42826"/>
    </row>
    <row r="42827" spans="30:30" x14ac:dyDescent="0.25">
      <c r="AD42827"/>
    </row>
    <row r="42828" spans="30:30" x14ac:dyDescent="0.25">
      <c r="AD42828"/>
    </row>
    <row r="42829" spans="30:30" x14ac:dyDescent="0.25">
      <c r="AD42829"/>
    </row>
    <row r="42830" spans="30:30" x14ac:dyDescent="0.25">
      <c r="AD42830"/>
    </row>
    <row r="42831" spans="30:30" x14ac:dyDescent="0.25">
      <c r="AD42831"/>
    </row>
    <row r="42832" spans="30:30" x14ac:dyDescent="0.25">
      <c r="AD42832"/>
    </row>
    <row r="42833" spans="30:30" x14ac:dyDescent="0.25">
      <c r="AD42833"/>
    </row>
    <row r="42834" spans="30:30" x14ac:dyDescent="0.25">
      <c r="AD42834"/>
    </row>
    <row r="42835" spans="30:30" x14ac:dyDescent="0.25">
      <c r="AD42835"/>
    </row>
    <row r="42836" spans="30:30" x14ac:dyDescent="0.25">
      <c r="AD42836"/>
    </row>
    <row r="42837" spans="30:30" x14ac:dyDescent="0.25">
      <c r="AD42837"/>
    </row>
    <row r="42838" spans="30:30" x14ac:dyDescent="0.25">
      <c r="AD42838"/>
    </row>
    <row r="42839" spans="30:30" x14ac:dyDescent="0.25">
      <c r="AD42839"/>
    </row>
    <row r="42840" spans="30:30" x14ac:dyDescent="0.25">
      <c r="AD42840"/>
    </row>
    <row r="42841" spans="30:30" x14ac:dyDescent="0.25">
      <c r="AD42841"/>
    </row>
    <row r="42842" spans="30:30" x14ac:dyDescent="0.25">
      <c r="AD42842"/>
    </row>
    <row r="42843" spans="30:30" x14ac:dyDescent="0.25">
      <c r="AD42843"/>
    </row>
    <row r="42844" spans="30:30" x14ac:dyDescent="0.25">
      <c r="AD42844"/>
    </row>
    <row r="42845" spans="30:30" x14ac:dyDescent="0.25">
      <c r="AD42845"/>
    </row>
    <row r="42846" spans="30:30" x14ac:dyDescent="0.25">
      <c r="AD42846"/>
    </row>
    <row r="42847" spans="30:30" x14ac:dyDescent="0.25">
      <c r="AD42847"/>
    </row>
    <row r="42848" spans="30:30" x14ac:dyDescent="0.25">
      <c r="AD42848"/>
    </row>
    <row r="42849" spans="30:30" x14ac:dyDescent="0.25">
      <c r="AD42849"/>
    </row>
    <row r="42850" spans="30:30" x14ac:dyDescent="0.25">
      <c r="AD42850"/>
    </row>
    <row r="42851" spans="30:30" x14ac:dyDescent="0.25">
      <c r="AD42851"/>
    </row>
    <row r="42852" spans="30:30" x14ac:dyDescent="0.25">
      <c r="AD42852"/>
    </row>
    <row r="42853" spans="30:30" x14ac:dyDescent="0.25">
      <c r="AD42853"/>
    </row>
    <row r="42854" spans="30:30" x14ac:dyDescent="0.25">
      <c r="AD42854"/>
    </row>
    <row r="42855" spans="30:30" x14ac:dyDescent="0.25">
      <c r="AD42855"/>
    </row>
    <row r="42856" spans="30:30" x14ac:dyDescent="0.25">
      <c r="AD42856"/>
    </row>
    <row r="42857" spans="30:30" x14ac:dyDescent="0.25">
      <c r="AD42857"/>
    </row>
    <row r="42858" spans="30:30" x14ac:dyDescent="0.25">
      <c r="AD42858"/>
    </row>
    <row r="42859" spans="30:30" x14ac:dyDescent="0.25">
      <c r="AD42859"/>
    </row>
    <row r="42860" spans="30:30" x14ac:dyDescent="0.25">
      <c r="AD42860"/>
    </row>
    <row r="42861" spans="30:30" x14ac:dyDescent="0.25">
      <c r="AD42861"/>
    </row>
    <row r="42862" spans="30:30" x14ac:dyDescent="0.25">
      <c r="AD42862"/>
    </row>
    <row r="42863" spans="30:30" x14ac:dyDescent="0.25">
      <c r="AD42863"/>
    </row>
    <row r="42864" spans="30:30" x14ac:dyDescent="0.25">
      <c r="AD42864"/>
    </row>
    <row r="42865" spans="30:30" x14ac:dyDescent="0.25">
      <c r="AD42865"/>
    </row>
    <row r="42866" spans="30:30" x14ac:dyDescent="0.25">
      <c r="AD42866"/>
    </row>
    <row r="42867" spans="30:30" x14ac:dyDescent="0.25">
      <c r="AD42867"/>
    </row>
    <row r="42868" spans="30:30" x14ac:dyDescent="0.25">
      <c r="AD42868"/>
    </row>
    <row r="42869" spans="30:30" x14ac:dyDescent="0.25">
      <c r="AD42869"/>
    </row>
    <row r="42870" spans="30:30" x14ac:dyDescent="0.25">
      <c r="AD42870"/>
    </row>
    <row r="42871" spans="30:30" x14ac:dyDescent="0.25">
      <c r="AD42871"/>
    </row>
    <row r="42872" spans="30:30" x14ac:dyDescent="0.25">
      <c r="AD42872"/>
    </row>
    <row r="42873" spans="30:30" x14ac:dyDescent="0.25">
      <c r="AD42873"/>
    </row>
    <row r="42874" spans="30:30" x14ac:dyDescent="0.25">
      <c r="AD42874"/>
    </row>
    <row r="42875" spans="30:30" x14ac:dyDescent="0.25">
      <c r="AD42875"/>
    </row>
    <row r="42876" spans="30:30" x14ac:dyDescent="0.25">
      <c r="AD42876"/>
    </row>
    <row r="42877" spans="30:30" x14ac:dyDescent="0.25">
      <c r="AD42877"/>
    </row>
    <row r="42878" spans="30:30" x14ac:dyDescent="0.25">
      <c r="AD42878"/>
    </row>
    <row r="42879" spans="30:30" x14ac:dyDescent="0.25">
      <c r="AD42879"/>
    </row>
    <row r="42880" spans="30:30" x14ac:dyDescent="0.25">
      <c r="AD42880"/>
    </row>
    <row r="42881" spans="30:30" x14ac:dyDescent="0.25">
      <c r="AD42881"/>
    </row>
    <row r="42882" spans="30:30" x14ac:dyDescent="0.25">
      <c r="AD42882"/>
    </row>
    <row r="42883" spans="30:30" x14ac:dyDescent="0.25">
      <c r="AD42883"/>
    </row>
    <row r="42884" spans="30:30" x14ac:dyDescent="0.25">
      <c r="AD42884"/>
    </row>
    <row r="42885" spans="30:30" x14ac:dyDescent="0.25">
      <c r="AD42885"/>
    </row>
    <row r="42886" spans="30:30" x14ac:dyDescent="0.25">
      <c r="AD42886"/>
    </row>
    <row r="42887" spans="30:30" x14ac:dyDescent="0.25">
      <c r="AD42887"/>
    </row>
    <row r="42888" spans="30:30" x14ac:dyDescent="0.25">
      <c r="AD42888"/>
    </row>
    <row r="42889" spans="30:30" x14ac:dyDescent="0.25">
      <c r="AD42889"/>
    </row>
    <row r="42890" spans="30:30" x14ac:dyDescent="0.25">
      <c r="AD42890"/>
    </row>
    <row r="42891" spans="30:30" x14ac:dyDescent="0.25">
      <c r="AD42891"/>
    </row>
    <row r="42892" spans="30:30" x14ac:dyDescent="0.25">
      <c r="AD42892"/>
    </row>
    <row r="42893" spans="30:30" x14ac:dyDescent="0.25">
      <c r="AD42893"/>
    </row>
    <row r="42894" spans="30:30" x14ac:dyDescent="0.25">
      <c r="AD42894"/>
    </row>
    <row r="42895" spans="30:30" x14ac:dyDescent="0.25">
      <c r="AD42895"/>
    </row>
    <row r="42896" spans="30:30" x14ac:dyDescent="0.25">
      <c r="AD42896"/>
    </row>
    <row r="42897" spans="30:30" x14ac:dyDescent="0.25">
      <c r="AD42897"/>
    </row>
    <row r="42898" spans="30:30" x14ac:dyDescent="0.25">
      <c r="AD42898"/>
    </row>
    <row r="42899" spans="30:30" x14ac:dyDescent="0.25">
      <c r="AD42899"/>
    </row>
    <row r="42900" spans="30:30" x14ac:dyDescent="0.25">
      <c r="AD42900"/>
    </row>
    <row r="42901" spans="30:30" x14ac:dyDescent="0.25">
      <c r="AD42901"/>
    </row>
    <row r="42902" spans="30:30" x14ac:dyDescent="0.25">
      <c r="AD42902"/>
    </row>
    <row r="42903" spans="30:30" x14ac:dyDescent="0.25">
      <c r="AD42903"/>
    </row>
    <row r="42904" spans="30:30" x14ac:dyDescent="0.25">
      <c r="AD42904"/>
    </row>
    <row r="42905" spans="30:30" x14ac:dyDescent="0.25">
      <c r="AD42905"/>
    </row>
    <row r="42906" spans="30:30" x14ac:dyDescent="0.25">
      <c r="AD42906"/>
    </row>
    <row r="42907" spans="30:30" x14ac:dyDescent="0.25">
      <c r="AD42907"/>
    </row>
    <row r="42908" spans="30:30" x14ac:dyDescent="0.25">
      <c r="AD42908"/>
    </row>
    <row r="42909" spans="30:30" x14ac:dyDescent="0.25">
      <c r="AD42909"/>
    </row>
    <row r="42910" spans="30:30" x14ac:dyDescent="0.25">
      <c r="AD42910"/>
    </row>
    <row r="42911" spans="30:30" x14ac:dyDescent="0.25">
      <c r="AD42911"/>
    </row>
    <row r="42912" spans="30:30" x14ac:dyDescent="0.25">
      <c r="AD42912"/>
    </row>
    <row r="42913" spans="30:30" x14ac:dyDescent="0.25">
      <c r="AD42913"/>
    </row>
    <row r="42914" spans="30:30" x14ac:dyDescent="0.25">
      <c r="AD42914"/>
    </row>
    <row r="42915" spans="30:30" x14ac:dyDescent="0.25">
      <c r="AD42915"/>
    </row>
    <row r="42916" spans="30:30" x14ac:dyDescent="0.25">
      <c r="AD42916"/>
    </row>
    <row r="42917" spans="30:30" x14ac:dyDescent="0.25">
      <c r="AD42917"/>
    </row>
    <row r="42918" spans="30:30" x14ac:dyDescent="0.25">
      <c r="AD42918"/>
    </row>
    <row r="42919" spans="30:30" x14ac:dyDescent="0.25">
      <c r="AD42919"/>
    </row>
    <row r="42920" spans="30:30" x14ac:dyDescent="0.25">
      <c r="AD42920"/>
    </row>
    <row r="42921" spans="30:30" x14ac:dyDescent="0.25">
      <c r="AD42921"/>
    </row>
    <row r="42922" spans="30:30" x14ac:dyDescent="0.25">
      <c r="AD42922"/>
    </row>
    <row r="42923" spans="30:30" x14ac:dyDescent="0.25">
      <c r="AD42923"/>
    </row>
    <row r="42924" spans="30:30" x14ac:dyDescent="0.25">
      <c r="AD42924"/>
    </row>
    <row r="42925" spans="30:30" x14ac:dyDescent="0.25">
      <c r="AD42925"/>
    </row>
    <row r="42926" spans="30:30" x14ac:dyDescent="0.25">
      <c r="AD42926"/>
    </row>
    <row r="42927" spans="30:30" x14ac:dyDescent="0.25">
      <c r="AD42927"/>
    </row>
    <row r="42928" spans="30:30" x14ac:dyDescent="0.25">
      <c r="AD42928"/>
    </row>
    <row r="42929" spans="30:30" x14ac:dyDescent="0.25">
      <c r="AD42929"/>
    </row>
    <row r="42930" spans="30:30" x14ac:dyDescent="0.25">
      <c r="AD42930"/>
    </row>
    <row r="42931" spans="30:30" x14ac:dyDescent="0.25">
      <c r="AD42931"/>
    </row>
    <row r="42932" spans="30:30" x14ac:dyDescent="0.25">
      <c r="AD42932"/>
    </row>
    <row r="42933" spans="30:30" x14ac:dyDescent="0.25">
      <c r="AD42933"/>
    </row>
    <row r="42934" spans="30:30" x14ac:dyDescent="0.25">
      <c r="AD42934"/>
    </row>
    <row r="42935" spans="30:30" x14ac:dyDescent="0.25">
      <c r="AD42935"/>
    </row>
    <row r="42936" spans="30:30" x14ac:dyDescent="0.25">
      <c r="AD42936"/>
    </row>
    <row r="42937" spans="30:30" x14ac:dyDescent="0.25">
      <c r="AD42937"/>
    </row>
    <row r="42938" spans="30:30" x14ac:dyDescent="0.25">
      <c r="AD42938"/>
    </row>
    <row r="42939" spans="30:30" x14ac:dyDescent="0.25">
      <c r="AD42939"/>
    </row>
    <row r="42940" spans="30:30" x14ac:dyDescent="0.25">
      <c r="AD42940"/>
    </row>
    <row r="42941" spans="30:30" x14ac:dyDescent="0.25">
      <c r="AD42941"/>
    </row>
    <row r="42942" spans="30:30" x14ac:dyDescent="0.25">
      <c r="AD42942"/>
    </row>
    <row r="42943" spans="30:30" x14ac:dyDescent="0.25">
      <c r="AD42943"/>
    </row>
    <row r="42944" spans="30:30" x14ac:dyDescent="0.25">
      <c r="AD42944"/>
    </row>
    <row r="42945" spans="30:30" x14ac:dyDescent="0.25">
      <c r="AD42945"/>
    </row>
    <row r="42946" spans="30:30" x14ac:dyDescent="0.25">
      <c r="AD42946"/>
    </row>
    <row r="42947" spans="30:30" x14ac:dyDescent="0.25">
      <c r="AD42947"/>
    </row>
    <row r="42948" spans="30:30" x14ac:dyDescent="0.25">
      <c r="AD42948"/>
    </row>
    <row r="42949" spans="30:30" x14ac:dyDescent="0.25">
      <c r="AD42949"/>
    </row>
    <row r="42950" spans="30:30" x14ac:dyDescent="0.25">
      <c r="AD42950"/>
    </row>
    <row r="42951" spans="30:30" x14ac:dyDescent="0.25">
      <c r="AD42951"/>
    </row>
    <row r="42952" spans="30:30" x14ac:dyDescent="0.25">
      <c r="AD42952"/>
    </row>
    <row r="42953" spans="30:30" x14ac:dyDescent="0.25">
      <c r="AD42953"/>
    </row>
    <row r="42954" spans="30:30" x14ac:dyDescent="0.25">
      <c r="AD42954"/>
    </row>
    <row r="42955" spans="30:30" x14ac:dyDescent="0.25">
      <c r="AD42955"/>
    </row>
    <row r="42956" spans="30:30" x14ac:dyDescent="0.25">
      <c r="AD42956"/>
    </row>
    <row r="42957" spans="30:30" x14ac:dyDescent="0.25">
      <c r="AD42957"/>
    </row>
    <row r="42958" spans="30:30" x14ac:dyDescent="0.25">
      <c r="AD42958"/>
    </row>
    <row r="42959" spans="30:30" x14ac:dyDescent="0.25">
      <c r="AD42959"/>
    </row>
    <row r="42960" spans="30:30" x14ac:dyDescent="0.25">
      <c r="AD42960"/>
    </row>
    <row r="42961" spans="30:30" x14ac:dyDescent="0.25">
      <c r="AD42961"/>
    </row>
    <row r="42962" spans="30:30" x14ac:dyDescent="0.25">
      <c r="AD42962"/>
    </row>
    <row r="42963" spans="30:30" x14ac:dyDescent="0.25">
      <c r="AD42963"/>
    </row>
    <row r="42964" spans="30:30" x14ac:dyDescent="0.25">
      <c r="AD42964"/>
    </row>
    <row r="42965" spans="30:30" x14ac:dyDescent="0.25">
      <c r="AD42965"/>
    </row>
    <row r="42966" spans="30:30" x14ac:dyDescent="0.25">
      <c r="AD42966"/>
    </row>
    <row r="42967" spans="30:30" x14ac:dyDescent="0.25">
      <c r="AD42967"/>
    </row>
    <row r="42968" spans="30:30" x14ac:dyDescent="0.25">
      <c r="AD42968"/>
    </row>
    <row r="42969" spans="30:30" x14ac:dyDescent="0.25">
      <c r="AD42969"/>
    </row>
    <row r="42970" spans="30:30" x14ac:dyDescent="0.25">
      <c r="AD42970"/>
    </row>
    <row r="42971" spans="30:30" x14ac:dyDescent="0.25">
      <c r="AD42971"/>
    </row>
    <row r="42972" spans="30:30" x14ac:dyDescent="0.25">
      <c r="AD42972"/>
    </row>
    <row r="42973" spans="30:30" x14ac:dyDescent="0.25">
      <c r="AD42973"/>
    </row>
    <row r="42974" spans="30:30" x14ac:dyDescent="0.25">
      <c r="AD42974"/>
    </row>
    <row r="42975" spans="30:30" x14ac:dyDescent="0.25">
      <c r="AD42975"/>
    </row>
    <row r="42976" spans="30:30" x14ac:dyDescent="0.25">
      <c r="AD42976"/>
    </row>
    <row r="42977" spans="30:30" x14ac:dyDescent="0.25">
      <c r="AD42977"/>
    </row>
    <row r="42978" spans="30:30" x14ac:dyDescent="0.25">
      <c r="AD42978"/>
    </row>
    <row r="42979" spans="30:30" x14ac:dyDescent="0.25">
      <c r="AD42979"/>
    </row>
    <row r="42980" spans="30:30" x14ac:dyDescent="0.25">
      <c r="AD42980"/>
    </row>
    <row r="42981" spans="30:30" x14ac:dyDescent="0.25">
      <c r="AD42981"/>
    </row>
    <row r="42982" spans="30:30" x14ac:dyDescent="0.25">
      <c r="AD42982"/>
    </row>
    <row r="42983" spans="30:30" x14ac:dyDescent="0.25">
      <c r="AD42983"/>
    </row>
    <row r="42984" spans="30:30" x14ac:dyDescent="0.25">
      <c r="AD42984"/>
    </row>
    <row r="42985" spans="30:30" x14ac:dyDescent="0.25">
      <c r="AD42985"/>
    </row>
    <row r="42986" spans="30:30" x14ac:dyDescent="0.25">
      <c r="AD42986"/>
    </row>
    <row r="42987" spans="30:30" x14ac:dyDescent="0.25">
      <c r="AD42987"/>
    </row>
    <row r="42988" spans="30:30" x14ac:dyDescent="0.25">
      <c r="AD42988"/>
    </row>
    <row r="42989" spans="30:30" x14ac:dyDescent="0.25">
      <c r="AD42989"/>
    </row>
    <row r="42990" spans="30:30" x14ac:dyDescent="0.25">
      <c r="AD42990"/>
    </row>
    <row r="42991" spans="30:30" x14ac:dyDescent="0.25">
      <c r="AD42991"/>
    </row>
    <row r="42992" spans="30:30" x14ac:dyDescent="0.25">
      <c r="AD42992"/>
    </row>
    <row r="42993" spans="30:30" x14ac:dyDescent="0.25">
      <c r="AD42993"/>
    </row>
    <row r="42994" spans="30:30" x14ac:dyDescent="0.25">
      <c r="AD42994"/>
    </row>
    <row r="42995" spans="30:30" x14ac:dyDescent="0.25">
      <c r="AD42995"/>
    </row>
    <row r="42996" spans="30:30" x14ac:dyDescent="0.25">
      <c r="AD42996"/>
    </row>
    <row r="42997" spans="30:30" x14ac:dyDescent="0.25">
      <c r="AD42997"/>
    </row>
    <row r="42998" spans="30:30" x14ac:dyDescent="0.25">
      <c r="AD42998"/>
    </row>
    <row r="42999" spans="30:30" x14ac:dyDescent="0.25">
      <c r="AD42999"/>
    </row>
    <row r="43000" spans="30:30" x14ac:dyDescent="0.25">
      <c r="AD43000"/>
    </row>
    <row r="43001" spans="30:30" x14ac:dyDescent="0.25">
      <c r="AD43001"/>
    </row>
    <row r="43002" spans="30:30" x14ac:dyDescent="0.25">
      <c r="AD43002"/>
    </row>
    <row r="43003" spans="30:30" x14ac:dyDescent="0.25">
      <c r="AD43003"/>
    </row>
    <row r="43004" spans="30:30" x14ac:dyDescent="0.25">
      <c r="AD43004"/>
    </row>
    <row r="43005" spans="30:30" x14ac:dyDescent="0.25">
      <c r="AD43005"/>
    </row>
    <row r="43006" spans="30:30" x14ac:dyDescent="0.25">
      <c r="AD43006"/>
    </row>
    <row r="43007" spans="30:30" x14ac:dyDescent="0.25">
      <c r="AD43007"/>
    </row>
    <row r="43008" spans="30:30" x14ac:dyDescent="0.25">
      <c r="AD43008"/>
    </row>
    <row r="43009" spans="30:30" x14ac:dyDescent="0.25">
      <c r="AD43009"/>
    </row>
    <row r="43010" spans="30:30" x14ac:dyDescent="0.25">
      <c r="AD43010"/>
    </row>
    <row r="43011" spans="30:30" x14ac:dyDescent="0.25">
      <c r="AD43011"/>
    </row>
    <row r="43012" spans="30:30" x14ac:dyDescent="0.25">
      <c r="AD43012"/>
    </row>
    <row r="43013" spans="30:30" x14ac:dyDescent="0.25">
      <c r="AD43013"/>
    </row>
    <row r="43014" spans="30:30" x14ac:dyDescent="0.25">
      <c r="AD43014"/>
    </row>
    <row r="43015" spans="30:30" x14ac:dyDescent="0.25">
      <c r="AD43015"/>
    </row>
    <row r="43016" spans="30:30" x14ac:dyDescent="0.25">
      <c r="AD43016"/>
    </row>
    <row r="43017" spans="30:30" x14ac:dyDescent="0.25">
      <c r="AD43017"/>
    </row>
    <row r="43018" spans="30:30" x14ac:dyDescent="0.25">
      <c r="AD43018"/>
    </row>
    <row r="43019" spans="30:30" x14ac:dyDescent="0.25">
      <c r="AD43019"/>
    </row>
    <row r="43020" spans="30:30" x14ac:dyDescent="0.25">
      <c r="AD43020"/>
    </row>
    <row r="43021" spans="30:30" x14ac:dyDescent="0.25">
      <c r="AD43021"/>
    </row>
    <row r="43022" spans="30:30" x14ac:dyDescent="0.25">
      <c r="AD43022"/>
    </row>
    <row r="43023" spans="30:30" x14ac:dyDescent="0.25">
      <c r="AD43023"/>
    </row>
    <row r="43024" spans="30:30" x14ac:dyDescent="0.25">
      <c r="AD43024"/>
    </row>
    <row r="43025" spans="30:30" x14ac:dyDescent="0.25">
      <c r="AD43025"/>
    </row>
    <row r="43026" spans="30:30" x14ac:dyDescent="0.25">
      <c r="AD43026"/>
    </row>
    <row r="43027" spans="30:30" x14ac:dyDescent="0.25">
      <c r="AD43027"/>
    </row>
    <row r="43028" spans="30:30" x14ac:dyDescent="0.25">
      <c r="AD43028"/>
    </row>
    <row r="43029" spans="30:30" x14ac:dyDescent="0.25">
      <c r="AD43029"/>
    </row>
    <row r="43030" spans="30:30" x14ac:dyDescent="0.25">
      <c r="AD43030"/>
    </row>
    <row r="43031" spans="30:30" x14ac:dyDescent="0.25">
      <c r="AD43031"/>
    </row>
    <row r="43032" spans="30:30" x14ac:dyDescent="0.25">
      <c r="AD43032"/>
    </row>
    <row r="43033" spans="30:30" x14ac:dyDescent="0.25">
      <c r="AD43033"/>
    </row>
    <row r="43034" spans="30:30" x14ac:dyDescent="0.25">
      <c r="AD43034"/>
    </row>
    <row r="43035" spans="30:30" x14ac:dyDescent="0.25">
      <c r="AD43035"/>
    </row>
    <row r="43036" spans="30:30" x14ac:dyDescent="0.25">
      <c r="AD43036"/>
    </row>
    <row r="43037" spans="30:30" x14ac:dyDescent="0.25">
      <c r="AD43037"/>
    </row>
    <row r="43038" spans="30:30" x14ac:dyDescent="0.25">
      <c r="AD43038"/>
    </row>
    <row r="43039" spans="30:30" x14ac:dyDescent="0.25">
      <c r="AD43039"/>
    </row>
    <row r="43040" spans="30:30" x14ac:dyDescent="0.25">
      <c r="AD43040"/>
    </row>
    <row r="43041" spans="30:30" x14ac:dyDescent="0.25">
      <c r="AD43041"/>
    </row>
    <row r="43042" spans="30:30" x14ac:dyDescent="0.25">
      <c r="AD43042"/>
    </row>
    <row r="43043" spans="30:30" x14ac:dyDescent="0.25">
      <c r="AD43043"/>
    </row>
    <row r="43044" spans="30:30" x14ac:dyDescent="0.25">
      <c r="AD43044"/>
    </row>
    <row r="43045" spans="30:30" x14ac:dyDescent="0.25">
      <c r="AD43045"/>
    </row>
    <row r="43046" spans="30:30" x14ac:dyDescent="0.25">
      <c r="AD43046"/>
    </row>
    <row r="43047" spans="30:30" x14ac:dyDescent="0.25">
      <c r="AD43047"/>
    </row>
    <row r="43048" spans="30:30" x14ac:dyDescent="0.25">
      <c r="AD43048"/>
    </row>
    <row r="43049" spans="30:30" x14ac:dyDescent="0.25">
      <c r="AD43049"/>
    </row>
    <row r="43050" spans="30:30" x14ac:dyDescent="0.25">
      <c r="AD43050"/>
    </row>
    <row r="43051" spans="30:30" x14ac:dyDescent="0.25">
      <c r="AD43051"/>
    </row>
    <row r="43052" spans="30:30" x14ac:dyDescent="0.25">
      <c r="AD43052"/>
    </row>
    <row r="43053" spans="30:30" x14ac:dyDescent="0.25">
      <c r="AD43053"/>
    </row>
    <row r="43054" spans="30:30" x14ac:dyDescent="0.25">
      <c r="AD43054"/>
    </row>
    <row r="43055" spans="30:30" x14ac:dyDescent="0.25">
      <c r="AD43055"/>
    </row>
    <row r="43056" spans="30:30" x14ac:dyDescent="0.25">
      <c r="AD43056"/>
    </row>
    <row r="43057" spans="30:30" x14ac:dyDescent="0.25">
      <c r="AD43057"/>
    </row>
    <row r="43058" spans="30:30" x14ac:dyDescent="0.25">
      <c r="AD43058"/>
    </row>
    <row r="43059" spans="30:30" x14ac:dyDescent="0.25">
      <c r="AD43059"/>
    </row>
    <row r="43060" spans="30:30" x14ac:dyDescent="0.25">
      <c r="AD43060"/>
    </row>
    <row r="43061" spans="30:30" x14ac:dyDescent="0.25">
      <c r="AD43061"/>
    </row>
    <row r="43062" spans="30:30" x14ac:dyDescent="0.25">
      <c r="AD43062"/>
    </row>
    <row r="43063" spans="30:30" x14ac:dyDescent="0.25">
      <c r="AD43063"/>
    </row>
    <row r="43064" spans="30:30" x14ac:dyDescent="0.25">
      <c r="AD43064"/>
    </row>
    <row r="43065" spans="30:30" x14ac:dyDescent="0.25">
      <c r="AD43065"/>
    </row>
    <row r="43066" spans="30:30" x14ac:dyDescent="0.25">
      <c r="AD43066"/>
    </row>
    <row r="43067" spans="30:30" x14ac:dyDescent="0.25">
      <c r="AD43067"/>
    </row>
    <row r="43068" spans="30:30" x14ac:dyDescent="0.25">
      <c r="AD43068"/>
    </row>
    <row r="43069" spans="30:30" x14ac:dyDescent="0.25">
      <c r="AD43069"/>
    </row>
    <row r="43070" spans="30:30" x14ac:dyDescent="0.25">
      <c r="AD43070"/>
    </row>
    <row r="43071" spans="30:30" x14ac:dyDescent="0.25">
      <c r="AD43071"/>
    </row>
    <row r="43072" spans="30:30" x14ac:dyDescent="0.25">
      <c r="AD43072"/>
    </row>
    <row r="43073" spans="30:30" x14ac:dyDescent="0.25">
      <c r="AD43073"/>
    </row>
    <row r="43074" spans="30:30" x14ac:dyDescent="0.25">
      <c r="AD43074"/>
    </row>
    <row r="43075" spans="30:30" x14ac:dyDescent="0.25">
      <c r="AD43075"/>
    </row>
    <row r="43076" spans="30:30" x14ac:dyDescent="0.25">
      <c r="AD43076"/>
    </row>
    <row r="43077" spans="30:30" x14ac:dyDescent="0.25">
      <c r="AD43077"/>
    </row>
    <row r="43078" spans="30:30" x14ac:dyDescent="0.25">
      <c r="AD43078"/>
    </row>
    <row r="43079" spans="30:30" x14ac:dyDescent="0.25">
      <c r="AD43079"/>
    </row>
    <row r="43080" spans="30:30" x14ac:dyDescent="0.25">
      <c r="AD43080"/>
    </row>
    <row r="43081" spans="30:30" x14ac:dyDescent="0.25">
      <c r="AD43081"/>
    </row>
    <row r="43082" spans="30:30" x14ac:dyDescent="0.25">
      <c r="AD43082"/>
    </row>
    <row r="43083" spans="30:30" x14ac:dyDescent="0.25">
      <c r="AD43083"/>
    </row>
    <row r="43084" spans="30:30" x14ac:dyDescent="0.25">
      <c r="AD43084"/>
    </row>
    <row r="43085" spans="30:30" x14ac:dyDescent="0.25">
      <c r="AD43085"/>
    </row>
    <row r="43086" spans="30:30" x14ac:dyDescent="0.25">
      <c r="AD43086"/>
    </row>
    <row r="43087" spans="30:30" x14ac:dyDescent="0.25">
      <c r="AD43087"/>
    </row>
    <row r="43088" spans="30:30" x14ac:dyDescent="0.25">
      <c r="AD43088"/>
    </row>
    <row r="43089" spans="30:30" x14ac:dyDescent="0.25">
      <c r="AD43089"/>
    </row>
    <row r="43090" spans="30:30" x14ac:dyDescent="0.25">
      <c r="AD43090"/>
    </row>
    <row r="43091" spans="30:30" x14ac:dyDescent="0.25">
      <c r="AD43091"/>
    </row>
    <row r="43092" spans="30:30" x14ac:dyDescent="0.25">
      <c r="AD43092"/>
    </row>
    <row r="43093" spans="30:30" x14ac:dyDescent="0.25">
      <c r="AD43093"/>
    </row>
    <row r="43094" spans="30:30" x14ac:dyDescent="0.25">
      <c r="AD43094"/>
    </row>
    <row r="43095" spans="30:30" x14ac:dyDescent="0.25">
      <c r="AD43095"/>
    </row>
    <row r="43096" spans="30:30" x14ac:dyDescent="0.25">
      <c r="AD43096"/>
    </row>
    <row r="43097" spans="30:30" x14ac:dyDescent="0.25">
      <c r="AD43097"/>
    </row>
    <row r="43098" spans="30:30" x14ac:dyDescent="0.25">
      <c r="AD43098"/>
    </row>
    <row r="43099" spans="30:30" x14ac:dyDescent="0.25">
      <c r="AD43099"/>
    </row>
    <row r="43100" spans="30:30" x14ac:dyDescent="0.25">
      <c r="AD43100"/>
    </row>
    <row r="43101" spans="30:30" x14ac:dyDescent="0.25">
      <c r="AD43101"/>
    </row>
    <row r="43102" spans="30:30" x14ac:dyDescent="0.25">
      <c r="AD43102"/>
    </row>
    <row r="43103" spans="30:30" x14ac:dyDescent="0.25">
      <c r="AD43103"/>
    </row>
    <row r="43104" spans="30:30" x14ac:dyDescent="0.25">
      <c r="AD43104"/>
    </row>
    <row r="43105" spans="30:30" x14ac:dyDescent="0.25">
      <c r="AD43105"/>
    </row>
    <row r="43106" spans="30:30" x14ac:dyDescent="0.25">
      <c r="AD43106"/>
    </row>
    <row r="43107" spans="30:30" x14ac:dyDescent="0.25">
      <c r="AD43107"/>
    </row>
    <row r="43108" spans="30:30" x14ac:dyDescent="0.25">
      <c r="AD43108"/>
    </row>
    <row r="43109" spans="30:30" x14ac:dyDescent="0.25">
      <c r="AD43109"/>
    </row>
    <row r="43110" spans="30:30" x14ac:dyDescent="0.25">
      <c r="AD43110"/>
    </row>
    <row r="43111" spans="30:30" x14ac:dyDescent="0.25">
      <c r="AD43111"/>
    </row>
    <row r="43112" spans="30:30" x14ac:dyDescent="0.25">
      <c r="AD43112"/>
    </row>
    <row r="43113" spans="30:30" x14ac:dyDescent="0.25">
      <c r="AD43113"/>
    </row>
    <row r="43114" spans="30:30" x14ac:dyDescent="0.25">
      <c r="AD43114"/>
    </row>
    <row r="43115" spans="30:30" x14ac:dyDescent="0.25">
      <c r="AD43115"/>
    </row>
    <row r="43116" spans="30:30" x14ac:dyDescent="0.25">
      <c r="AD43116"/>
    </row>
    <row r="43117" spans="30:30" x14ac:dyDescent="0.25">
      <c r="AD43117"/>
    </row>
    <row r="43118" spans="30:30" x14ac:dyDescent="0.25">
      <c r="AD43118"/>
    </row>
    <row r="43119" spans="30:30" x14ac:dyDescent="0.25">
      <c r="AD43119"/>
    </row>
    <row r="43120" spans="30:30" x14ac:dyDescent="0.25">
      <c r="AD43120"/>
    </row>
    <row r="43121" spans="30:30" x14ac:dyDescent="0.25">
      <c r="AD43121"/>
    </row>
    <row r="43122" spans="30:30" x14ac:dyDescent="0.25">
      <c r="AD43122"/>
    </row>
    <row r="43123" spans="30:30" x14ac:dyDescent="0.25">
      <c r="AD43123"/>
    </row>
    <row r="43124" spans="30:30" x14ac:dyDescent="0.25">
      <c r="AD43124"/>
    </row>
    <row r="43125" spans="30:30" x14ac:dyDescent="0.25">
      <c r="AD43125"/>
    </row>
    <row r="43126" spans="30:30" x14ac:dyDescent="0.25">
      <c r="AD43126"/>
    </row>
    <row r="43127" spans="30:30" x14ac:dyDescent="0.25">
      <c r="AD43127"/>
    </row>
    <row r="43128" spans="30:30" x14ac:dyDescent="0.25">
      <c r="AD43128"/>
    </row>
    <row r="43129" spans="30:30" x14ac:dyDescent="0.25">
      <c r="AD43129"/>
    </row>
    <row r="43130" spans="30:30" x14ac:dyDescent="0.25">
      <c r="AD43130"/>
    </row>
    <row r="43131" spans="30:30" x14ac:dyDescent="0.25">
      <c r="AD43131"/>
    </row>
    <row r="43132" spans="30:30" x14ac:dyDescent="0.25">
      <c r="AD43132"/>
    </row>
    <row r="43133" spans="30:30" x14ac:dyDescent="0.25">
      <c r="AD43133"/>
    </row>
    <row r="43134" spans="30:30" x14ac:dyDescent="0.25">
      <c r="AD43134"/>
    </row>
    <row r="43135" spans="30:30" x14ac:dyDescent="0.25">
      <c r="AD43135"/>
    </row>
    <row r="43136" spans="30:30" x14ac:dyDescent="0.25">
      <c r="AD43136"/>
    </row>
    <row r="43137" spans="30:30" x14ac:dyDescent="0.25">
      <c r="AD43137"/>
    </row>
    <row r="43138" spans="30:30" x14ac:dyDescent="0.25">
      <c r="AD43138"/>
    </row>
    <row r="43139" spans="30:30" x14ac:dyDescent="0.25">
      <c r="AD43139"/>
    </row>
    <row r="43140" spans="30:30" x14ac:dyDescent="0.25">
      <c r="AD43140"/>
    </row>
    <row r="43141" spans="30:30" x14ac:dyDescent="0.25">
      <c r="AD43141"/>
    </row>
    <row r="43142" spans="30:30" x14ac:dyDescent="0.25">
      <c r="AD43142"/>
    </row>
    <row r="43143" spans="30:30" x14ac:dyDescent="0.25">
      <c r="AD43143"/>
    </row>
    <row r="43144" spans="30:30" x14ac:dyDescent="0.25">
      <c r="AD43144"/>
    </row>
    <row r="43145" spans="30:30" x14ac:dyDescent="0.25">
      <c r="AD43145"/>
    </row>
    <row r="43146" spans="30:30" x14ac:dyDescent="0.25">
      <c r="AD43146"/>
    </row>
    <row r="43147" spans="30:30" x14ac:dyDescent="0.25">
      <c r="AD43147"/>
    </row>
    <row r="43148" spans="30:30" x14ac:dyDescent="0.25">
      <c r="AD43148"/>
    </row>
    <row r="43149" spans="30:30" x14ac:dyDescent="0.25">
      <c r="AD43149"/>
    </row>
    <row r="43150" spans="30:30" x14ac:dyDescent="0.25">
      <c r="AD43150"/>
    </row>
    <row r="43151" spans="30:30" x14ac:dyDescent="0.25">
      <c r="AD43151"/>
    </row>
    <row r="43152" spans="30:30" x14ac:dyDescent="0.25">
      <c r="AD43152"/>
    </row>
    <row r="43153" spans="30:30" x14ac:dyDescent="0.25">
      <c r="AD43153"/>
    </row>
    <row r="43154" spans="30:30" x14ac:dyDescent="0.25">
      <c r="AD43154"/>
    </row>
    <row r="43155" spans="30:30" x14ac:dyDescent="0.25">
      <c r="AD43155"/>
    </row>
    <row r="43156" spans="30:30" x14ac:dyDescent="0.25">
      <c r="AD43156"/>
    </row>
    <row r="43157" spans="30:30" x14ac:dyDescent="0.25">
      <c r="AD43157"/>
    </row>
    <row r="43158" spans="30:30" x14ac:dyDescent="0.25">
      <c r="AD43158"/>
    </row>
    <row r="43159" spans="30:30" x14ac:dyDescent="0.25">
      <c r="AD43159"/>
    </row>
    <row r="43160" spans="30:30" x14ac:dyDescent="0.25">
      <c r="AD43160"/>
    </row>
    <row r="43161" spans="30:30" x14ac:dyDescent="0.25">
      <c r="AD43161"/>
    </row>
    <row r="43162" spans="30:30" x14ac:dyDescent="0.25">
      <c r="AD43162"/>
    </row>
    <row r="43163" spans="30:30" x14ac:dyDescent="0.25">
      <c r="AD43163"/>
    </row>
    <row r="43164" spans="30:30" x14ac:dyDescent="0.25">
      <c r="AD43164"/>
    </row>
    <row r="43165" spans="30:30" x14ac:dyDescent="0.25">
      <c r="AD43165"/>
    </row>
    <row r="43166" spans="30:30" x14ac:dyDescent="0.25">
      <c r="AD43166"/>
    </row>
    <row r="43167" spans="30:30" x14ac:dyDescent="0.25">
      <c r="AD43167"/>
    </row>
    <row r="43168" spans="30:30" x14ac:dyDescent="0.25">
      <c r="AD43168"/>
    </row>
    <row r="43169" spans="30:30" x14ac:dyDescent="0.25">
      <c r="AD43169"/>
    </row>
    <row r="43170" spans="30:30" x14ac:dyDescent="0.25">
      <c r="AD43170"/>
    </row>
    <row r="43171" spans="30:30" x14ac:dyDescent="0.25">
      <c r="AD43171"/>
    </row>
    <row r="43172" spans="30:30" x14ac:dyDescent="0.25">
      <c r="AD43172"/>
    </row>
    <row r="43173" spans="30:30" x14ac:dyDescent="0.25">
      <c r="AD43173"/>
    </row>
    <row r="43174" spans="30:30" x14ac:dyDescent="0.25">
      <c r="AD43174"/>
    </row>
    <row r="43175" spans="30:30" x14ac:dyDescent="0.25">
      <c r="AD43175"/>
    </row>
    <row r="43176" spans="30:30" x14ac:dyDescent="0.25">
      <c r="AD43176"/>
    </row>
    <row r="43177" spans="30:30" x14ac:dyDescent="0.25">
      <c r="AD43177"/>
    </row>
    <row r="43178" spans="30:30" x14ac:dyDescent="0.25">
      <c r="AD43178"/>
    </row>
    <row r="43179" spans="30:30" x14ac:dyDescent="0.25">
      <c r="AD43179"/>
    </row>
    <row r="43180" spans="30:30" x14ac:dyDescent="0.25">
      <c r="AD43180"/>
    </row>
    <row r="43181" spans="30:30" x14ac:dyDescent="0.25">
      <c r="AD43181"/>
    </row>
    <row r="43182" spans="30:30" x14ac:dyDescent="0.25">
      <c r="AD43182"/>
    </row>
    <row r="43183" spans="30:30" x14ac:dyDescent="0.25">
      <c r="AD43183"/>
    </row>
    <row r="43184" spans="30:30" x14ac:dyDescent="0.25">
      <c r="AD43184"/>
    </row>
    <row r="43185" spans="30:30" x14ac:dyDescent="0.25">
      <c r="AD43185"/>
    </row>
    <row r="43186" spans="30:30" x14ac:dyDescent="0.25">
      <c r="AD43186"/>
    </row>
    <row r="43187" spans="30:30" x14ac:dyDescent="0.25">
      <c r="AD43187"/>
    </row>
    <row r="43188" spans="30:30" x14ac:dyDescent="0.25">
      <c r="AD43188"/>
    </row>
    <row r="43189" spans="30:30" x14ac:dyDescent="0.25">
      <c r="AD43189"/>
    </row>
    <row r="43190" spans="30:30" x14ac:dyDescent="0.25">
      <c r="AD43190"/>
    </row>
    <row r="43191" spans="30:30" x14ac:dyDescent="0.25">
      <c r="AD43191"/>
    </row>
    <row r="43192" spans="30:30" x14ac:dyDescent="0.25">
      <c r="AD43192"/>
    </row>
    <row r="43193" spans="30:30" x14ac:dyDescent="0.25">
      <c r="AD43193"/>
    </row>
    <row r="43194" spans="30:30" x14ac:dyDescent="0.25">
      <c r="AD43194"/>
    </row>
    <row r="43195" spans="30:30" x14ac:dyDescent="0.25">
      <c r="AD43195"/>
    </row>
    <row r="43196" spans="30:30" x14ac:dyDescent="0.25">
      <c r="AD43196"/>
    </row>
    <row r="43197" spans="30:30" x14ac:dyDescent="0.25">
      <c r="AD43197"/>
    </row>
    <row r="43198" spans="30:30" x14ac:dyDescent="0.25">
      <c r="AD43198"/>
    </row>
    <row r="43199" spans="30:30" x14ac:dyDescent="0.25">
      <c r="AD43199"/>
    </row>
    <row r="43200" spans="30:30" x14ac:dyDescent="0.25">
      <c r="AD43200"/>
    </row>
    <row r="43201" spans="30:30" x14ac:dyDescent="0.25">
      <c r="AD43201"/>
    </row>
    <row r="43202" spans="30:30" x14ac:dyDescent="0.25">
      <c r="AD43202"/>
    </row>
    <row r="43203" spans="30:30" x14ac:dyDescent="0.25">
      <c r="AD43203"/>
    </row>
    <row r="43204" spans="30:30" x14ac:dyDescent="0.25">
      <c r="AD43204"/>
    </row>
    <row r="43205" spans="30:30" x14ac:dyDescent="0.25">
      <c r="AD43205"/>
    </row>
    <row r="43206" spans="30:30" x14ac:dyDescent="0.25">
      <c r="AD43206"/>
    </row>
    <row r="43207" spans="30:30" x14ac:dyDescent="0.25">
      <c r="AD43207"/>
    </row>
    <row r="43208" spans="30:30" x14ac:dyDescent="0.25">
      <c r="AD43208"/>
    </row>
    <row r="43209" spans="30:30" x14ac:dyDescent="0.25">
      <c r="AD43209"/>
    </row>
    <row r="43210" spans="30:30" x14ac:dyDescent="0.25">
      <c r="AD43210"/>
    </row>
    <row r="43211" spans="30:30" x14ac:dyDescent="0.25">
      <c r="AD43211"/>
    </row>
    <row r="43212" spans="30:30" x14ac:dyDescent="0.25">
      <c r="AD43212"/>
    </row>
    <row r="43213" spans="30:30" x14ac:dyDescent="0.25">
      <c r="AD43213"/>
    </row>
    <row r="43214" spans="30:30" x14ac:dyDescent="0.25">
      <c r="AD43214"/>
    </row>
    <row r="43215" spans="30:30" x14ac:dyDescent="0.25">
      <c r="AD43215"/>
    </row>
    <row r="43216" spans="30:30" x14ac:dyDescent="0.25">
      <c r="AD43216"/>
    </row>
    <row r="43217" spans="30:30" x14ac:dyDescent="0.25">
      <c r="AD43217"/>
    </row>
    <row r="43218" spans="30:30" x14ac:dyDescent="0.25">
      <c r="AD43218"/>
    </row>
    <row r="43219" spans="30:30" x14ac:dyDescent="0.25">
      <c r="AD43219"/>
    </row>
    <row r="43220" spans="30:30" x14ac:dyDescent="0.25">
      <c r="AD43220"/>
    </row>
    <row r="43221" spans="30:30" x14ac:dyDescent="0.25">
      <c r="AD43221"/>
    </row>
    <row r="43222" spans="30:30" x14ac:dyDescent="0.25">
      <c r="AD43222"/>
    </row>
    <row r="43223" spans="30:30" x14ac:dyDescent="0.25">
      <c r="AD43223"/>
    </row>
    <row r="43224" spans="30:30" x14ac:dyDescent="0.25">
      <c r="AD43224"/>
    </row>
    <row r="43225" spans="30:30" x14ac:dyDescent="0.25">
      <c r="AD43225"/>
    </row>
    <row r="43226" spans="30:30" x14ac:dyDescent="0.25">
      <c r="AD43226"/>
    </row>
    <row r="43227" spans="30:30" x14ac:dyDescent="0.25">
      <c r="AD43227"/>
    </row>
    <row r="43228" spans="30:30" x14ac:dyDescent="0.25">
      <c r="AD43228"/>
    </row>
    <row r="43229" spans="30:30" x14ac:dyDescent="0.25">
      <c r="AD43229"/>
    </row>
    <row r="43230" spans="30:30" x14ac:dyDescent="0.25">
      <c r="AD43230"/>
    </row>
    <row r="43231" spans="30:30" x14ac:dyDescent="0.25">
      <c r="AD43231"/>
    </row>
    <row r="43232" spans="30:30" x14ac:dyDescent="0.25">
      <c r="AD43232"/>
    </row>
    <row r="43233" spans="30:30" x14ac:dyDescent="0.25">
      <c r="AD43233"/>
    </row>
    <row r="43234" spans="30:30" x14ac:dyDescent="0.25">
      <c r="AD43234"/>
    </row>
    <row r="43235" spans="30:30" x14ac:dyDescent="0.25">
      <c r="AD43235"/>
    </row>
    <row r="43236" spans="30:30" x14ac:dyDescent="0.25">
      <c r="AD43236"/>
    </row>
    <row r="43237" spans="30:30" x14ac:dyDescent="0.25">
      <c r="AD43237"/>
    </row>
    <row r="43238" spans="30:30" x14ac:dyDescent="0.25">
      <c r="AD43238"/>
    </row>
    <row r="43239" spans="30:30" x14ac:dyDescent="0.25">
      <c r="AD43239"/>
    </row>
    <row r="43240" spans="30:30" x14ac:dyDescent="0.25">
      <c r="AD43240"/>
    </row>
    <row r="43241" spans="30:30" x14ac:dyDescent="0.25">
      <c r="AD43241"/>
    </row>
    <row r="43242" spans="30:30" x14ac:dyDescent="0.25">
      <c r="AD43242"/>
    </row>
    <row r="43243" spans="30:30" x14ac:dyDescent="0.25">
      <c r="AD43243"/>
    </row>
    <row r="43244" spans="30:30" x14ac:dyDescent="0.25">
      <c r="AD43244"/>
    </row>
    <row r="43245" spans="30:30" x14ac:dyDescent="0.25">
      <c r="AD43245"/>
    </row>
    <row r="43246" spans="30:30" x14ac:dyDescent="0.25">
      <c r="AD43246"/>
    </row>
    <row r="43247" spans="30:30" x14ac:dyDescent="0.25">
      <c r="AD43247"/>
    </row>
    <row r="43248" spans="30:30" x14ac:dyDescent="0.25">
      <c r="AD43248"/>
    </row>
    <row r="43249" spans="30:30" x14ac:dyDescent="0.25">
      <c r="AD43249"/>
    </row>
    <row r="43250" spans="30:30" x14ac:dyDescent="0.25">
      <c r="AD43250"/>
    </row>
    <row r="43251" spans="30:30" x14ac:dyDescent="0.25">
      <c r="AD43251"/>
    </row>
    <row r="43252" spans="30:30" x14ac:dyDescent="0.25">
      <c r="AD43252"/>
    </row>
    <row r="43253" spans="30:30" x14ac:dyDescent="0.25">
      <c r="AD43253"/>
    </row>
    <row r="43254" spans="30:30" x14ac:dyDescent="0.25">
      <c r="AD43254"/>
    </row>
    <row r="43255" spans="30:30" x14ac:dyDescent="0.25">
      <c r="AD43255"/>
    </row>
    <row r="43256" spans="30:30" x14ac:dyDescent="0.25">
      <c r="AD43256"/>
    </row>
    <row r="43257" spans="30:30" x14ac:dyDescent="0.25">
      <c r="AD43257"/>
    </row>
    <row r="43258" spans="30:30" x14ac:dyDescent="0.25">
      <c r="AD43258"/>
    </row>
    <row r="43259" spans="30:30" x14ac:dyDescent="0.25">
      <c r="AD43259"/>
    </row>
    <row r="43260" spans="30:30" x14ac:dyDescent="0.25">
      <c r="AD43260"/>
    </row>
    <row r="43261" spans="30:30" x14ac:dyDescent="0.25">
      <c r="AD43261"/>
    </row>
    <row r="43262" spans="30:30" x14ac:dyDescent="0.25">
      <c r="AD43262"/>
    </row>
    <row r="43263" spans="30:30" x14ac:dyDescent="0.25">
      <c r="AD43263"/>
    </row>
    <row r="43264" spans="30:30" x14ac:dyDescent="0.25">
      <c r="AD43264"/>
    </row>
    <row r="43265" spans="30:30" x14ac:dyDescent="0.25">
      <c r="AD43265"/>
    </row>
    <row r="43266" spans="30:30" x14ac:dyDescent="0.25">
      <c r="AD43266"/>
    </row>
    <row r="43267" spans="30:30" x14ac:dyDescent="0.25">
      <c r="AD43267"/>
    </row>
    <row r="43268" spans="30:30" x14ac:dyDescent="0.25">
      <c r="AD43268"/>
    </row>
    <row r="43269" spans="30:30" x14ac:dyDescent="0.25">
      <c r="AD43269"/>
    </row>
    <row r="43270" spans="30:30" x14ac:dyDescent="0.25">
      <c r="AD43270"/>
    </row>
    <row r="43271" spans="30:30" x14ac:dyDescent="0.25">
      <c r="AD43271"/>
    </row>
    <row r="43272" spans="30:30" x14ac:dyDescent="0.25">
      <c r="AD43272"/>
    </row>
    <row r="43273" spans="30:30" x14ac:dyDescent="0.25">
      <c r="AD43273"/>
    </row>
    <row r="43274" spans="30:30" x14ac:dyDescent="0.25">
      <c r="AD43274"/>
    </row>
    <row r="43275" spans="30:30" x14ac:dyDescent="0.25">
      <c r="AD43275"/>
    </row>
    <row r="43276" spans="30:30" x14ac:dyDescent="0.25">
      <c r="AD43276"/>
    </row>
    <row r="43277" spans="30:30" x14ac:dyDescent="0.25">
      <c r="AD43277"/>
    </row>
    <row r="43278" spans="30:30" x14ac:dyDescent="0.25">
      <c r="AD43278"/>
    </row>
    <row r="43279" spans="30:30" x14ac:dyDescent="0.25">
      <c r="AD43279"/>
    </row>
    <row r="43280" spans="30:30" x14ac:dyDescent="0.25">
      <c r="AD43280"/>
    </row>
    <row r="43281" spans="30:30" x14ac:dyDescent="0.25">
      <c r="AD43281"/>
    </row>
    <row r="43282" spans="30:30" x14ac:dyDescent="0.25">
      <c r="AD43282"/>
    </row>
    <row r="43283" spans="30:30" x14ac:dyDescent="0.25">
      <c r="AD43283"/>
    </row>
    <row r="43284" spans="30:30" x14ac:dyDescent="0.25">
      <c r="AD43284"/>
    </row>
    <row r="43285" spans="30:30" x14ac:dyDescent="0.25">
      <c r="AD43285"/>
    </row>
    <row r="43286" spans="30:30" x14ac:dyDescent="0.25">
      <c r="AD43286"/>
    </row>
    <row r="43287" spans="30:30" x14ac:dyDescent="0.25">
      <c r="AD43287"/>
    </row>
    <row r="43288" spans="30:30" x14ac:dyDescent="0.25">
      <c r="AD43288"/>
    </row>
    <row r="43289" spans="30:30" x14ac:dyDescent="0.25">
      <c r="AD43289"/>
    </row>
    <row r="43290" spans="30:30" x14ac:dyDescent="0.25">
      <c r="AD43290"/>
    </row>
    <row r="43291" spans="30:30" x14ac:dyDescent="0.25">
      <c r="AD43291"/>
    </row>
    <row r="43292" spans="30:30" x14ac:dyDescent="0.25">
      <c r="AD43292"/>
    </row>
    <row r="43293" spans="30:30" x14ac:dyDescent="0.25">
      <c r="AD43293"/>
    </row>
    <row r="43294" spans="30:30" x14ac:dyDescent="0.25">
      <c r="AD43294"/>
    </row>
    <row r="43295" spans="30:30" x14ac:dyDescent="0.25">
      <c r="AD43295"/>
    </row>
    <row r="43296" spans="30:30" x14ac:dyDescent="0.25">
      <c r="AD43296"/>
    </row>
    <row r="43297" spans="30:30" x14ac:dyDescent="0.25">
      <c r="AD43297"/>
    </row>
    <row r="43298" spans="30:30" x14ac:dyDescent="0.25">
      <c r="AD43298"/>
    </row>
    <row r="43299" spans="30:30" x14ac:dyDescent="0.25">
      <c r="AD43299"/>
    </row>
    <row r="43300" spans="30:30" x14ac:dyDescent="0.25">
      <c r="AD43300"/>
    </row>
    <row r="43301" spans="30:30" x14ac:dyDescent="0.25">
      <c r="AD43301"/>
    </row>
    <row r="43302" spans="30:30" x14ac:dyDescent="0.25">
      <c r="AD43302"/>
    </row>
    <row r="43303" spans="30:30" x14ac:dyDescent="0.25">
      <c r="AD43303"/>
    </row>
    <row r="43304" spans="30:30" x14ac:dyDescent="0.25">
      <c r="AD43304"/>
    </row>
    <row r="43305" spans="30:30" x14ac:dyDescent="0.25">
      <c r="AD43305"/>
    </row>
    <row r="43306" spans="30:30" x14ac:dyDescent="0.25">
      <c r="AD43306"/>
    </row>
    <row r="43307" spans="30:30" x14ac:dyDescent="0.25">
      <c r="AD43307"/>
    </row>
    <row r="43308" spans="30:30" x14ac:dyDescent="0.25">
      <c r="AD43308"/>
    </row>
    <row r="43309" spans="30:30" x14ac:dyDescent="0.25">
      <c r="AD43309"/>
    </row>
    <row r="43310" spans="30:30" x14ac:dyDescent="0.25">
      <c r="AD43310"/>
    </row>
    <row r="43311" spans="30:30" x14ac:dyDescent="0.25">
      <c r="AD43311"/>
    </row>
    <row r="43312" spans="30:30" x14ac:dyDescent="0.25">
      <c r="AD43312"/>
    </row>
    <row r="43313" spans="30:30" x14ac:dyDescent="0.25">
      <c r="AD43313"/>
    </row>
    <row r="43314" spans="30:30" x14ac:dyDescent="0.25">
      <c r="AD43314"/>
    </row>
    <row r="43315" spans="30:30" x14ac:dyDescent="0.25">
      <c r="AD43315"/>
    </row>
    <row r="43316" spans="30:30" x14ac:dyDescent="0.25">
      <c r="AD43316"/>
    </row>
    <row r="43317" spans="30:30" x14ac:dyDescent="0.25">
      <c r="AD43317"/>
    </row>
    <row r="43318" spans="30:30" x14ac:dyDescent="0.25">
      <c r="AD43318"/>
    </row>
    <row r="43319" spans="30:30" x14ac:dyDescent="0.25">
      <c r="AD43319"/>
    </row>
    <row r="43320" spans="30:30" x14ac:dyDescent="0.25">
      <c r="AD43320"/>
    </row>
    <row r="43321" spans="30:30" x14ac:dyDescent="0.25">
      <c r="AD43321"/>
    </row>
    <row r="43322" spans="30:30" x14ac:dyDescent="0.25">
      <c r="AD43322"/>
    </row>
    <row r="43323" spans="30:30" x14ac:dyDescent="0.25">
      <c r="AD43323"/>
    </row>
    <row r="43324" spans="30:30" x14ac:dyDescent="0.25">
      <c r="AD43324"/>
    </row>
    <row r="43325" spans="30:30" x14ac:dyDescent="0.25">
      <c r="AD43325"/>
    </row>
    <row r="43326" spans="30:30" x14ac:dyDescent="0.25">
      <c r="AD43326"/>
    </row>
    <row r="43327" spans="30:30" x14ac:dyDescent="0.25">
      <c r="AD43327"/>
    </row>
    <row r="43328" spans="30:30" x14ac:dyDescent="0.25">
      <c r="AD43328"/>
    </row>
    <row r="43329" spans="30:30" x14ac:dyDescent="0.25">
      <c r="AD43329"/>
    </row>
    <row r="43330" spans="30:30" x14ac:dyDescent="0.25">
      <c r="AD43330"/>
    </row>
    <row r="43331" spans="30:30" x14ac:dyDescent="0.25">
      <c r="AD43331"/>
    </row>
    <row r="43332" spans="30:30" x14ac:dyDescent="0.25">
      <c r="AD43332"/>
    </row>
    <row r="43333" spans="30:30" x14ac:dyDescent="0.25">
      <c r="AD43333"/>
    </row>
    <row r="43334" spans="30:30" x14ac:dyDescent="0.25">
      <c r="AD43334"/>
    </row>
    <row r="43335" spans="30:30" x14ac:dyDescent="0.25">
      <c r="AD43335"/>
    </row>
    <row r="43336" spans="30:30" x14ac:dyDescent="0.25">
      <c r="AD43336"/>
    </row>
    <row r="43337" spans="30:30" x14ac:dyDescent="0.25">
      <c r="AD43337"/>
    </row>
    <row r="43338" spans="30:30" x14ac:dyDescent="0.25">
      <c r="AD43338"/>
    </row>
    <row r="43339" spans="30:30" x14ac:dyDescent="0.25">
      <c r="AD43339"/>
    </row>
    <row r="43340" spans="30:30" x14ac:dyDescent="0.25">
      <c r="AD43340"/>
    </row>
    <row r="43341" spans="30:30" x14ac:dyDescent="0.25">
      <c r="AD43341"/>
    </row>
    <row r="43342" spans="30:30" x14ac:dyDescent="0.25">
      <c r="AD43342"/>
    </row>
    <row r="43343" spans="30:30" x14ac:dyDescent="0.25">
      <c r="AD43343"/>
    </row>
    <row r="43344" spans="30:30" x14ac:dyDescent="0.25">
      <c r="AD43344"/>
    </row>
    <row r="43345" spans="30:30" x14ac:dyDescent="0.25">
      <c r="AD43345"/>
    </row>
    <row r="43346" spans="30:30" x14ac:dyDescent="0.25">
      <c r="AD43346"/>
    </row>
    <row r="43347" spans="30:30" x14ac:dyDescent="0.25">
      <c r="AD43347"/>
    </row>
    <row r="43348" spans="30:30" x14ac:dyDescent="0.25">
      <c r="AD43348"/>
    </row>
    <row r="43349" spans="30:30" x14ac:dyDescent="0.25">
      <c r="AD43349"/>
    </row>
    <row r="43350" spans="30:30" x14ac:dyDescent="0.25">
      <c r="AD43350"/>
    </row>
    <row r="43351" spans="30:30" x14ac:dyDescent="0.25">
      <c r="AD43351"/>
    </row>
    <row r="43352" spans="30:30" x14ac:dyDescent="0.25">
      <c r="AD43352"/>
    </row>
    <row r="43353" spans="30:30" x14ac:dyDescent="0.25">
      <c r="AD43353"/>
    </row>
    <row r="43354" spans="30:30" x14ac:dyDescent="0.25">
      <c r="AD43354"/>
    </row>
    <row r="43355" spans="30:30" x14ac:dyDescent="0.25">
      <c r="AD43355"/>
    </row>
    <row r="43356" spans="30:30" x14ac:dyDescent="0.25">
      <c r="AD43356"/>
    </row>
    <row r="43357" spans="30:30" x14ac:dyDescent="0.25">
      <c r="AD43357"/>
    </row>
    <row r="43358" spans="30:30" x14ac:dyDescent="0.25">
      <c r="AD43358"/>
    </row>
    <row r="43359" spans="30:30" x14ac:dyDescent="0.25">
      <c r="AD43359"/>
    </row>
    <row r="43360" spans="30:30" x14ac:dyDescent="0.25">
      <c r="AD43360"/>
    </row>
    <row r="43361" spans="30:30" x14ac:dyDescent="0.25">
      <c r="AD43361"/>
    </row>
    <row r="43362" spans="30:30" x14ac:dyDescent="0.25">
      <c r="AD43362"/>
    </row>
    <row r="43363" spans="30:30" x14ac:dyDescent="0.25">
      <c r="AD43363"/>
    </row>
    <row r="43364" spans="30:30" x14ac:dyDescent="0.25">
      <c r="AD43364"/>
    </row>
    <row r="43365" spans="30:30" x14ac:dyDescent="0.25">
      <c r="AD43365"/>
    </row>
    <row r="43366" spans="30:30" x14ac:dyDescent="0.25">
      <c r="AD43366"/>
    </row>
    <row r="43367" spans="30:30" x14ac:dyDescent="0.25">
      <c r="AD43367"/>
    </row>
    <row r="43368" spans="30:30" x14ac:dyDescent="0.25">
      <c r="AD43368"/>
    </row>
    <row r="43369" spans="30:30" x14ac:dyDescent="0.25">
      <c r="AD43369"/>
    </row>
    <row r="43370" spans="30:30" x14ac:dyDescent="0.25">
      <c r="AD43370"/>
    </row>
    <row r="43371" spans="30:30" x14ac:dyDescent="0.25">
      <c r="AD43371"/>
    </row>
    <row r="43372" spans="30:30" x14ac:dyDescent="0.25">
      <c r="AD43372"/>
    </row>
    <row r="43373" spans="30:30" x14ac:dyDescent="0.25">
      <c r="AD43373"/>
    </row>
    <row r="43374" spans="30:30" x14ac:dyDescent="0.25">
      <c r="AD43374"/>
    </row>
    <row r="43375" spans="30:30" x14ac:dyDescent="0.25">
      <c r="AD43375"/>
    </row>
    <row r="43376" spans="30:30" x14ac:dyDescent="0.25">
      <c r="AD43376"/>
    </row>
    <row r="43377" spans="30:30" x14ac:dyDescent="0.25">
      <c r="AD43377"/>
    </row>
    <row r="43378" spans="30:30" x14ac:dyDescent="0.25">
      <c r="AD43378"/>
    </row>
    <row r="43379" spans="30:30" x14ac:dyDescent="0.25">
      <c r="AD43379"/>
    </row>
    <row r="43380" spans="30:30" x14ac:dyDescent="0.25">
      <c r="AD43380"/>
    </row>
    <row r="43381" spans="30:30" x14ac:dyDescent="0.25">
      <c r="AD43381"/>
    </row>
    <row r="43382" spans="30:30" x14ac:dyDescent="0.25">
      <c r="AD43382"/>
    </row>
    <row r="43383" spans="30:30" x14ac:dyDescent="0.25">
      <c r="AD43383"/>
    </row>
    <row r="43384" spans="30:30" x14ac:dyDescent="0.25">
      <c r="AD43384"/>
    </row>
    <row r="43385" spans="30:30" x14ac:dyDescent="0.25">
      <c r="AD43385"/>
    </row>
    <row r="43386" spans="30:30" x14ac:dyDescent="0.25">
      <c r="AD43386"/>
    </row>
    <row r="43387" spans="30:30" x14ac:dyDescent="0.25">
      <c r="AD43387"/>
    </row>
    <row r="43388" spans="30:30" x14ac:dyDescent="0.25">
      <c r="AD43388"/>
    </row>
    <row r="43389" spans="30:30" x14ac:dyDescent="0.25">
      <c r="AD43389"/>
    </row>
    <row r="43390" spans="30:30" x14ac:dyDescent="0.25">
      <c r="AD43390"/>
    </row>
    <row r="43391" spans="30:30" x14ac:dyDescent="0.25">
      <c r="AD43391"/>
    </row>
    <row r="43392" spans="30:30" x14ac:dyDescent="0.25">
      <c r="AD43392"/>
    </row>
    <row r="43393" spans="30:30" x14ac:dyDescent="0.25">
      <c r="AD43393"/>
    </row>
    <row r="43394" spans="30:30" x14ac:dyDescent="0.25">
      <c r="AD43394"/>
    </row>
    <row r="43395" spans="30:30" x14ac:dyDescent="0.25">
      <c r="AD43395"/>
    </row>
    <row r="43396" spans="30:30" x14ac:dyDescent="0.25">
      <c r="AD43396"/>
    </row>
    <row r="43397" spans="30:30" x14ac:dyDescent="0.25">
      <c r="AD43397"/>
    </row>
    <row r="43398" spans="30:30" x14ac:dyDescent="0.25">
      <c r="AD43398"/>
    </row>
    <row r="43399" spans="30:30" x14ac:dyDescent="0.25">
      <c r="AD43399"/>
    </row>
    <row r="43400" spans="30:30" x14ac:dyDescent="0.25">
      <c r="AD43400"/>
    </row>
    <row r="43401" spans="30:30" x14ac:dyDescent="0.25">
      <c r="AD43401"/>
    </row>
    <row r="43402" spans="30:30" x14ac:dyDescent="0.25">
      <c r="AD43402"/>
    </row>
    <row r="43403" spans="30:30" x14ac:dyDescent="0.25">
      <c r="AD43403"/>
    </row>
    <row r="43404" spans="30:30" x14ac:dyDescent="0.25">
      <c r="AD43404"/>
    </row>
    <row r="43405" spans="30:30" x14ac:dyDescent="0.25">
      <c r="AD43405"/>
    </row>
    <row r="43406" spans="30:30" x14ac:dyDescent="0.25">
      <c r="AD43406"/>
    </row>
    <row r="43407" spans="30:30" x14ac:dyDescent="0.25">
      <c r="AD43407"/>
    </row>
    <row r="43408" spans="30:30" x14ac:dyDescent="0.25">
      <c r="AD43408"/>
    </row>
    <row r="43409" spans="30:30" x14ac:dyDescent="0.25">
      <c r="AD43409"/>
    </row>
    <row r="43410" spans="30:30" x14ac:dyDescent="0.25">
      <c r="AD43410"/>
    </row>
    <row r="43411" spans="30:30" x14ac:dyDescent="0.25">
      <c r="AD43411"/>
    </row>
    <row r="43412" spans="30:30" x14ac:dyDescent="0.25">
      <c r="AD43412"/>
    </row>
    <row r="43413" spans="30:30" x14ac:dyDescent="0.25">
      <c r="AD43413"/>
    </row>
    <row r="43414" spans="30:30" x14ac:dyDescent="0.25">
      <c r="AD43414"/>
    </row>
    <row r="43415" spans="30:30" x14ac:dyDescent="0.25">
      <c r="AD43415"/>
    </row>
    <row r="43416" spans="30:30" x14ac:dyDescent="0.25">
      <c r="AD43416"/>
    </row>
    <row r="43417" spans="30:30" x14ac:dyDescent="0.25">
      <c r="AD43417"/>
    </row>
    <row r="43418" spans="30:30" x14ac:dyDescent="0.25">
      <c r="AD43418"/>
    </row>
    <row r="43419" spans="30:30" x14ac:dyDescent="0.25">
      <c r="AD43419"/>
    </row>
    <row r="43420" spans="30:30" x14ac:dyDescent="0.25">
      <c r="AD43420"/>
    </row>
    <row r="43421" spans="30:30" x14ac:dyDescent="0.25">
      <c r="AD43421"/>
    </row>
    <row r="43422" spans="30:30" x14ac:dyDescent="0.25">
      <c r="AD43422"/>
    </row>
    <row r="43423" spans="30:30" x14ac:dyDescent="0.25">
      <c r="AD43423"/>
    </row>
    <row r="43424" spans="30:30" x14ac:dyDescent="0.25">
      <c r="AD43424"/>
    </row>
    <row r="43425" spans="30:30" x14ac:dyDescent="0.25">
      <c r="AD43425"/>
    </row>
    <row r="43426" spans="30:30" x14ac:dyDescent="0.25">
      <c r="AD43426"/>
    </row>
    <row r="43427" spans="30:30" x14ac:dyDescent="0.25">
      <c r="AD43427"/>
    </row>
    <row r="43428" spans="30:30" x14ac:dyDescent="0.25">
      <c r="AD43428"/>
    </row>
    <row r="43429" spans="30:30" x14ac:dyDescent="0.25">
      <c r="AD43429"/>
    </row>
    <row r="43430" spans="30:30" x14ac:dyDescent="0.25">
      <c r="AD43430"/>
    </row>
    <row r="43431" spans="30:30" x14ac:dyDescent="0.25">
      <c r="AD43431"/>
    </row>
    <row r="43432" spans="30:30" x14ac:dyDescent="0.25">
      <c r="AD43432"/>
    </row>
    <row r="43433" spans="30:30" x14ac:dyDescent="0.25">
      <c r="AD43433"/>
    </row>
    <row r="43434" spans="30:30" x14ac:dyDescent="0.25">
      <c r="AD43434"/>
    </row>
    <row r="43435" spans="30:30" x14ac:dyDescent="0.25">
      <c r="AD43435"/>
    </row>
    <row r="43436" spans="30:30" x14ac:dyDescent="0.25">
      <c r="AD43436"/>
    </row>
    <row r="43437" spans="30:30" x14ac:dyDescent="0.25">
      <c r="AD43437"/>
    </row>
    <row r="43438" spans="30:30" x14ac:dyDescent="0.25">
      <c r="AD43438"/>
    </row>
    <row r="43439" spans="30:30" x14ac:dyDescent="0.25">
      <c r="AD43439"/>
    </row>
    <row r="43440" spans="30:30" x14ac:dyDescent="0.25">
      <c r="AD43440"/>
    </row>
    <row r="43441" spans="30:30" x14ac:dyDescent="0.25">
      <c r="AD43441"/>
    </row>
    <row r="43442" spans="30:30" x14ac:dyDescent="0.25">
      <c r="AD43442"/>
    </row>
    <row r="43443" spans="30:30" x14ac:dyDescent="0.25">
      <c r="AD43443"/>
    </row>
    <row r="43444" spans="30:30" x14ac:dyDescent="0.25">
      <c r="AD43444"/>
    </row>
    <row r="43445" spans="30:30" x14ac:dyDescent="0.25">
      <c r="AD43445"/>
    </row>
    <row r="43446" spans="30:30" x14ac:dyDescent="0.25">
      <c r="AD43446"/>
    </row>
    <row r="43447" spans="30:30" x14ac:dyDescent="0.25">
      <c r="AD43447"/>
    </row>
    <row r="43448" spans="30:30" x14ac:dyDescent="0.25">
      <c r="AD43448"/>
    </row>
    <row r="43449" spans="30:30" x14ac:dyDescent="0.25">
      <c r="AD43449"/>
    </row>
    <row r="43450" spans="30:30" x14ac:dyDescent="0.25">
      <c r="AD43450"/>
    </row>
    <row r="43451" spans="30:30" x14ac:dyDescent="0.25">
      <c r="AD43451"/>
    </row>
    <row r="43452" spans="30:30" x14ac:dyDescent="0.25">
      <c r="AD43452"/>
    </row>
    <row r="43453" spans="30:30" x14ac:dyDescent="0.25">
      <c r="AD43453"/>
    </row>
    <row r="43454" spans="30:30" x14ac:dyDescent="0.25">
      <c r="AD43454"/>
    </row>
    <row r="43455" spans="30:30" x14ac:dyDescent="0.25">
      <c r="AD43455"/>
    </row>
    <row r="43456" spans="30:30" x14ac:dyDescent="0.25">
      <c r="AD43456"/>
    </row>
    <row r="43457" spans="30:30" x14ac:dyDescent="0.25">
      <c r="AD43457"/>
    </row>
    <row r="43458" spans="30:30" x14ac:dyDescent="0.25">
      <c r="AD43458"/>
    </row>
    <row r="43459" spans="30:30" x14ac:dyDescent="0.25">
      <c r="AD43459"/>
    </row>
    <row r="43460" spans="30:30" x14ac:dyDescent="0.25">
      <c r="AD43460"/>
    </row>
    <row r="43461" spans="30:30" x14ac:dyDescent="0.25">
      <c r="AD43461"/>
    </row>
    <row r="43462" spans="30:30" x14ac:dyDescent="0.25">
      <c r="AD43462"/>
    </row>
    <row r="43463" spans="30:30" x14ac:dyDescent="0.25">
      <c r="AD43463"/>
    </row>
    <row r="43464" spans="30:30" x14ac:dyDescent="0.25">
      <c r="AD43464"/>
    </row>
    <row r="43465" spans="30:30" x14ac:dyDescent="0.25">
      <c r="AD43465"/>
    </row>
    <row r="43466" spans="30:30" x14ac:dyDescent="0.25">
      <c r="AD43466"/>
    </row>
    <row r="43467" spans="30:30" x14ac:dyDescent="0.25">
      <c r="AD43467"/>
    </row>
    <row r="43468" spans="30:30" x14ac:dyDescent="0.25">
      <c r="AD43468"/>
    </row>
    <row r="43469" spans="30:30" x14ac:dyDescent="0.25">
      <c r="AD43469"/>
    </row>
    <row r="43470" spans="30:30" x14ac:dyDescent="0.25">
      <c r="AD43470"/>
    </row>
    <row r="43471" spans="30:30" x14ac:dyDescent="0.25">
      <c r="AD43471"/>
    </row>
    <row r="43472" spans="30:30" x14ac:dyDescent="0.25">
      <c r="AD43472"/>
    </row>
    <row r="43473" spans="30:30" x14ac:dyDescent="0.25">
      <c r="AD43473"/>
    </row>
    <row r="43474" spans="30:30" x14ac:dyDescent="0.25">
      <c r="AD43474"/>
    </row>
    <row r="43475" spans="30:30" x14ac:dyDescent="0.25">
      <c r="AD43475"/>
    </row>
    <row r="43476" spans="30:30" x14ac:dyDescent="0.25">
      <c r="AD43476"/>
    </row>
    <row r="43477" spans="30:30" x14ac:dyDescent="0.25">
      <c r="AD43477"/>
    </row>
    <row r="43478" spans="30:30" x14ac:dyDescent="0.25">
      <c r="AD43478"/>
    </row>
    <row r="43479" spans="30:30" x14ac:dyDescent="0.25">
      <c r="AD43479"/>
    </row>
    <row r="43480" spans="30:30" x14ac:dyDescent="0.25">
      <c r="AD43480"/>
    </row>
    <row r="43481" spans="30:30" x14ac:dyDescent="0.25">
      <c r="AD43481"/>
    </row>
    <row r="43482" spans="30:30" x14ac:dyDescent="0.25">
      <c r="AD43482"/>
    </row>
    <row r="43483" spans="30:30" x14ac:dyDescent="0.25">
      <c r="AD43483"/>
    </row>
    <row r="43484" spans="30:30" x14ac:dyDescent="0.25">
      <c r="AD43484"/>
    </row>
    <row r="43485" spans="30:30" x14ac:dyDescent="0.25">
      <c r="AD43485"/>
    </row>
    <row r="43486" spans="30:30" x14ac:dyDescent="0.25">
      <c r="AD43486"/>
    </row>
    <row r="43487" spans="30:30" x14ac:dyDescent="0.25">
      <c r="AD43487"/>
    </row>
    <row r="43488" spans="30:30" x14ac:dyDescent="0.25">
      <c r="AD43488"/>
    </row>
    <row r="43489" spans="30:30" x14ac:dyDescent="0.25">
      <c r="AD43489"/>
    </row>
    <row r="43490" spans="30:30" x14ac:dyDescent="0.25">
      <c r="AD43490"/>
    </row>
    <row r="43491" spans="30:30" x14ac:dyDescent="0.25">
      <c r="AD43491"/>
    </row>
    <row r="43492" spans="30:30" x14ac:dyDescent="0.25">
      <c r="AD43492"/>
    </row>
    <row r="43493" spans="30:30" x14ac:dyDescent="0.25">
      <c r="AD43493"/>
    </row>
    <row r="43494" spans="30:30" x14ac:dyDescent="0.25">
      <c r="AD43494"/>
    </row>
    <row r="43495" spans="30:30" x14ac:dyDescent="0.25">
      <c r="AD43495"/>
    </row>
    <row r="43496" spans="30:30" x14ac:dyDescent="0.25">
      <c r="AD43496"/>
    </row>
    <row r="43497" spans="30:30" x14ac:dyDescent="0.25">
      <c r="AD43497"/>
    </row>
    <row r="43498" spans="30:30" x14ac:dyDescent="0.25">
      <c r="AD43498"/>
    </row>
    <row r="43499" spans="30:30" x14ac:dyDescent="0.25">
      <c r="AD43499"/>
    </row>
    <row r="43500" spans="30:30" x14ac:dyDescent="0.25">
      <c r="AD43500"/>
    </row>
    <row r="43501" spans="30:30" x14ac:dyDescent="0.25">
      <c r="AD43501"/>
    </row>
    <row r="43502" spans="30:30" x14ac:dyDescent="0.25">
      <c r="AD43502"/>
    </row>
    <row r="43503" spans="30:30" x14ac:dyDescent="0.25">
      <c r="AD43503"/>
    </row>
    <row r="43504" spans="30:30" x14ac:dyDescent="0.25">
      <c r="AD43504"/>
    </row>
    <row r="43505" spans="30:30" x14ac:dyDescent="0.25">
      <c r="AD43505"/>
    </row>
    <row r="43506" spans="30:30" x14ac:dyDescent="0.25">
      <c r="AD43506"/>
    </row>
    <row r="43507" spans="30:30" x14ac:dyDescent="0.25">
      <c r="AD43507"/>
    </row>
    <row r="43508" spans="30:30" x14ac:dyDescent="0.25">
      <c r="AD43508"/>
    </row>
    <row r="43509" spans="30:30" x14ac:dyDescent="0.25">
      <c r="AD43509"/>
    </row>
    <row r="43510" spans="30:30" x14ac:dyDescent="0.25">
      <c r="AD43510"/>
    </row>
    <row r="43511" spans="30:30" x14ac:dyDescent="0.25">
      <c r="AD43511"/>
    </row>
    <row r="43512" spans="30:30" x14ac:dyDescent="0.25">
      <c r="AD43512"/>
    </row>
    <row r="43513" spans="30:30" x14ac:dyDescent="0.25">
      <c r="AD43513"/>
    </row>
    <row r="43514" spans="30:30" x14ac:dyDescent="0.25">
      <c r="AD43514"/>
    </row>
    <row r="43515" spans="30:30" x14ac:dyDescent="0.25">
      <c r="AD43515"/>
    </row>
    <row r="43516" spans="30:30" x14ac:dyDescent="0.25">
      <c r="AD43516"/>
    </row>
    <row r="43517" spans="30:30" x14ac:dyDescent="0.25">
      <c r="AD43517"/>
    </row>
    <row r="43518" spans="30:30" x14ac:dyDescent="0.25">
      <c r="AD43518"/>
    </row>
    <row r="43519" spans="30:30" x14ac:dyDescent="0.25">
      <c r="AD43519"/>
    </row>
    <row r="43520" spans="30:30" x14ac:dyDescent="0.25">
      <c r="AD43520"/>
    </row>
    <row r="43521" spans="30:30" x14ac:dyDescent="0.25">
      <c r="AD43521"/>
    </row>
    <row r="43522" spans="30:30" x14ac:dyDescent="0.25">
      <c r="AD43522"/>
    </row>
    <row r="43523" spans="30:30" x14ac:dyDescent="0.25">
      <c r="AD43523"/>
    </row>
    <row r="43524" spans="30:30" x14ac:dyDescent="0.25">
      <c r="AD43524"/>
    </row>
    <row r="43525" spans="30:30" x14ac:dyDescent="0.25">
      <c r="AD43525"/>
    </row>
    <row r="43526" spans="30:30" x14ac:dyDescent="0.25">
      <c r="AD43526"/>
    </row>
    <row r="43527" spans="30:30" x14ac:dyDescent="0.25">
      <c r="AD43527"/>
    </row>
    <row r="43528" spans="30:30" x14ac:dyDescent="0.25">
      <c r="AD43528"/>
    </row>
    <row r="43529" spans="30:30" x14ac:dyDescent="0.25">
      <c r="AD43529"/>
    </row>
    <row r="43530" spans="30:30" x14ac:dyDescent="0.25">
      <c r="AD43530"/>
    </row>
    <row r="43531" spans="30:30" x14ac:dyDescent="0.25">
      <c r="AD43531"/>
    </row>
    <row r="43532" spans="30:30" x14ac:dyDescent="0.25">
      <c r="AD43532"/>
    </row>
    <row r="43533" spans="30:30" x14ac:dyDescent="0.25">
      <c r="AD43533"/>
    </row>
    <row r="43534" spans="30:30" x14ac:dyDescent="0.25">
      <c r="AD43534"/>
    </row>
    <row r="43535" spans="30:30" x14ac:dyDescent="0.25">
      <c r="AD43535"/>
    </row>
    <row r="43536" spans="30:30" x14ac:dyDescent="0.25">
      <c r="AD43536"/>
    </row>
    <row r="43537" spans="30:30" x14ac:dyDescent="0.25">
      <c r="AD43537"/>
    </row>
    <row r="43538" spans="30:30" x14ac:dyDescent="0.25">
      <c r="AD43538"/>
    </row>
    <row r="43539" spans="30:30" x14ac:dyDescent="0.25">
      <c r="AD43539"/>
    </row>
    <row r="43540" spans="30:30" x14ac:dyDescent="0.25">
      <c r="AD43540"/>
    </row>
    <row r="43541" spans="30:30" x14ac:dyDescent="0.25">
      <c r="AD43541"/>
    </row>
    <row r="43542" spans="30:30" x14ac:dyDescent="0.25">
      <c r="AD43542"/>
    </row>
    <row r="43543" spans="30:30" x14ac:dyDescent="0.25">
      <c r="AD43543"/>
    </row>
    <row r="43544" spans="30:30" x14ac:dyDescent="0.25">
      <c r="AD43544"/>
    </row>
    <row r="43545" spans="30:30" x14ac:dyDescent="0.25">
      <c r="AD43545"/>
    </row>
    <row r="43546" spans="30:30" x14ac:dyDescent="0.25">
      <c r="AD43546"/>
    </row>
    <row r="43547" spans="30:30" x14ac:dyDescent="0.25">
      <c r="AD43547"/>
    </row>
    <row r="43548" spans="30:30" x14ac:dyDescent="0.25">
      <c r="AD43548"/>
    </row>
    <row r="43549" spans="30:30" x14ac:dyDescent="0.25">
      <c r="AD43549"/>
    </row>
    <row r="43550" spans="30:30" x14ac:dyDescent="0.25">
      <c r="AD43550"/>
    </row>
    <row r="43551" spans="30:30" x14ac:dyDescent="0.25">
      <c r="AD43551"/>
    </row>
    <row r="43552" spans="30:30" x14ac:dyDescent="0.25">
      <c r="AD43552"/>
    </row>
    <row r="43553" spans="30:30" x14ac:dyDescent="0.25">
      <c r="AD43553"/>
    </row>
    <row r="43554" spans="30:30" x14ac:dyDescent="0.25">
      <c r="AD43554"/>
    </row>
    <row r="43555" spans="30:30" x14ac:dyDescent="0.25">
      <c r="AD43555"/>
    </row>
    <row r="43556" spans="30:30" x14ac:dyDescent="0.25">
      <c r="AD43556"/>
    </row>
    <row r="43557" spans="30:30" x14ac:dyDescent="0.25">
      <c r="AD43557"/>
    </row>
    <row r="43558" spans="30:30" x14ac:dyDescent="0.25">
      <c r="AD43558"/>
    </row>
    <row r="43559" spans="30:30" x14ac:dyDescent="0.25">
      <c r="AD43559"/>
    </row>
    <row r="43560" spans="30:30" x14ac:dyDescent="0.25">
      <c r="AD43560"/>
    </row>
    <row r="43561" spans="30:30" x14ac:dyDescent="0.25">
      <c r="AD43561"/>
    </row>
    <row r="43562" spans="30:30" x14ac:dyDescent="0.25">
      <c r="AD43562"/>
    </row>
    <row r="43563" spans="30:30" x14ac:dyDescent="0.25">
      <c r="AD43563"/>
    </row>
    <row r="43564" spans="30:30" x14ac:dyDescent="0.25">
      <c r="AD43564"/>
    </row>
    <row r="43565" spans="30:30" x14ac:dyDescent="0.25">
      <c r="AD43565"/>
    </row>
    <row r="43566" spans="30:30" x14ac:dyDescent="0.25">
      <c r="AD43566"/>
    </row>
    <row r="43567" spans="30:30" x14ac:dyDescent="0.25">
      <c r="AD43567"/>
    </row>
    <row r="43568" spans="30:30" x14ac:dyDescent="0.25">
      <c r="AD43568"/>
    </row>
    <row r="43569" spans="30:30" x14ac:dyDescent="0.25">
      <c r="AD43569"/>
    </row>
    <row r="43570" spans="30:30" x14ac:dyDescent="0.25">
      <c r="AD43570"/>
    </row>
    <row r="43571" spans="30:30" x14ac:dyDescent="0.25">
      <c r="AD43571"/>
    </row>
    <row r="43572" spans="30:30" x14ac:dyDescent="0.25">
      <c r="AD43572"/>
    </row>
    <row r="43573" spans="30:30" x14ac:dyDescent="0.25">
      <c r="AD43573"/>
    </row>
    <row r="43574" spans="30:30" x14ac:dyDescent="0.25">
      <c r="AD43574"/>
    </row>
    <row r="43575" spans="30:30" x14ac:dyDescent="0.25">
      <c r="AD43575"/>
    </row>
    <row r="43576" spans="30:30" x14ac:dyDescent="0.25">
      <c r="AD43576"/>
    </row>
    <row r="43577" spans="30:30" x14ac:dyDescent="0.25">
      <c r="AD43577"/>
    </row>
    <row r="43578" spans="30:30" x14ac:dyDescent="0.25">
      <c r="AD43578"/>
    </row>
    <row r="43579" spans="30:30" x14ac:dyDescent="0.25">
      <c r="AD43579"/>
    </row>
    <row r="43580" spans="30:30" x14ac:dyDescent="0.25">
      <c r="AD43580"/>
    </row>
    <row r="43581" spans="30:30" x14ac:dyDescent="0.25">
      <c r="AD43581"/>
    </row>
    <row r="43582" spans="30:30" x14ac:dyDescent="0.25">
      <c r="AD43582"/>
    </row>
    <row r="43583" spans="30:30" x14ac:dyDescent="0.25">
      <c r="AD43583"/>
    </row>
    <row r="43584" spans="30:30" x14ac:dyDescent="0.25">
      <c r="AD43584"/>
    </row>
    <row r="43585" spans="30:30" x14ac:dyDescent="0.25">
      <c r="AD43585"/>
    </row>
    <row r="43586" spans="30:30" x14ac:dyDescent="0.25">
      <c r="AD43586"/>
    </row>
    <row r="43587" spans="30:30" x14ac:dyDescent="0.25">
      <c r="AD43587"/>
    </row>
    <row r="43588" spans="30:30" x14ac:dyDescent="0.25">
      <c r="AD43588"/>
    </row>
    <row r="43589" spans="30:30" x14ac:dyDescent="0.25">
      <c r="AD43589"/>
    </row>
    <row r="43590" spans="30:30" x14ac:dyDescent="0.25">
      <c r="AD43590"/>
    </row>
    <row r="43591" spans="30:30" x14ac:dyDescent="0.25">
      <c r="AD43591"/>
    </row>
    <row r="43592" spans="30:30" x14ac:dyDescent="0.25">
      <c r="AD43592"/>
    </row>
    <row r="43593" spans="30:30" x14ac:dyDescent="0.25">
      <c r="AD43593"/>
    </row>
    <row r="43594" spans="30:30" x14ac:dyDescent="0.25">
      <c r="AD43594"/>
    </row>
    <row r="43595" spans="30:30" x14ac:dyDescent="0.25">
      <c r="AD43595"/>
    </row>
    <row r="43596" spans="30:30" x14ac:dyDescent="0.25">
      <c r="AD43596"/>
    </row>
    <row r="43597" spans="30:30" x14ac:dyDescent="0.25">
      <c r="AD43597"/>
    </row>
    <row r="43598" spans="30:30" x14ac:dyDescent="0.25">
      <c r="AD43598"/>
    </row>
    <row r="43599" spans="30:30" x14ac:dyDescent="0.25">
      <c r="AD43599"/>
    </row>
    <row r="43600" spans="30:30" x14ac:dyDescent="0.25">
      <c r="AD43600"/>
    </row>
    <row r="43601" spans="30:30" x14ac:dyDescent="0.25">
      <c r="AD43601"/>
    </row>
    <row r="43602" spans="30:30" x14ac:dyDescent="0.25">
      <c r="AD43602"/>
    </row>
    <row r="43603" spans="30:30" x14ac:dyDescent="0.25">
      <c r="AD43603"/>
    </row>
    <row r="43604" spans="30:30" x14ac:dyDescent="0.25">
      <c r="AD43604"/>
    </row>
    <row r="43605" spans="30:30" x14ac:dyDescent="0.25">
      <c r="AD43605"/>
    </row>
    <row r="43606" spans="30:30" x14ac:dyDescent="0.25">
      <c r="AD43606"/>
    </row>
    <row r="43607" spans="30:30" x14ac:dyDescent="0.25">
      <c r="AD43607"/>
    </row>
    <row r="43608" spans="30:30" x14ac:dyDescent="0.25">
      <c r="AD43608"/>
    </row>
    <row r="43609" spans="30:30" x14ac:dyDescent="0.25">
      <c r="AD43609"/>
    </row>
    <row r="43610" spans="30:30" x14ac:dyDescent="0.25">
      <c r="AD43610"/>
    </row>
    <row r="43611" spans="30:30" x14ac:dyDescent="0.25">
      <c r="AD43611"/>
    </row>
    <row r="43612" spans="30:30" x14ac:dyDescent="0.25">
      <c r="AD43612"/>
    </row>
    <row r="43613" spans="30:30" x14ac:dyDescent="0.25">
      <c r="AD43613"/>
    </row>
    <row r="43614" spans="30:30" x14ac:dyDescent="0.25">
      <c r="AD43614"/>
    </row>
    <row r="43615" spans="30:30" x14ac:dyDescent="0.25">
      <c r="AD43615"/>
    </row>
    <row r="43616" spans="30:30" x14ac:dyDescent="0.25">
      <c r="AD43616"/>
    </row>
    <row r="43617" spans="30:30" x14ac:dyDescent="0.25">
      <c r="AD43617"/>
    </row>
    <row r="43618" spans="30:30" x14ac:dyDescent="0.25">
      <c r="AD43618"/>
    </row>
    <row r="43619" spans="30:30" x14ac:dyDescent="0.25">
      <c r="AD43619"/>
    </row>
    <row r="43620" spans="30:30" x14ac:dyDescent="0.25">
      <c r="AD43620"/>
    </row>
    <row r="43621" spans="30:30" x14ac:dyDescent="0.25">
      <c r="AD43621"/>
    </row>
    <row r="43622" spans="30:30" x14ac:dyDescent="0.25">
      <c r="AD43622"/>
    </row>
    <row r="43623" spans="30:30" x14ac:dyDescent="0.25">
      <c r="AD43623"/>
    </row>
    <row r="43624" spans="30:30" x14ac:dyDescent="0.25">
      <c r="AD43624"/>
    </row>
    <row r="43625" spans="30:30" x14ac:dyDescent="0.25">
      <c r="AD43625"/>
    </row>
    <row r="43626" spans="30:30" x14ac:dyDescent="0.25">
      <c r="AD43626"/>
    </row>
    <row r="43627" spans="30:30" x14ac:dyDescent="0.25">
      <c r="AD43627"/>
    </row>
    <row r="43628" spans="30:30" x14ac:dyDescent="0.25">
      <c r="AD43628"/>
    </row>
    <row r="43629" spans="30:30" x14ac:dyDescent="0.25">
      <c r="AD43629"/>
    </row>
    <row r="43630" spans="30:30" x14ac:dyDescent="0.25">
      <c r="AD43630"/>
    </row>
    <row r="43631" spans="30:30" x14ac:dyDescent="0.25">
      <c r="AD43631"/>
    </row>
    <row r="43632" spans="30:30" x14ac:dyDescent="0.25">
      <c r="AD43632"/>
    </row>
    <row r="43633" spans="30:30" x14ac:dyDescent="0.25">
      <c r="AD43633"/>
    </row>
    <row r="43634" spans="30:30" x14ac:dyDescent="0.25">
      <c r="AD43634"/>
    </row>
    <row r="43635" spans="30:30" x14ac:dyDescent="0.25">
      <c r="AD43635"/>
    </row>
    <row r="43636" spans="30:30" x14ac:dyDescent="0.25">
      <c r="AD43636"/>
    </row>
    <row r="43637" spans="30:30" x14ac:dyDescent="0.25">
      <c r="AD43637"/>
    </row>
    <row r="43638" spans="30:30" x14ac:dyDescent="0.25">
      <c r="AD43638"/>
    </row>
    <row r="43639" spans="30:30" x14ac:dyDescent="0.25">
      <c r="AD43639"/>
    </row>
    <row r="43640" spans="30:30" x14ac:dyDescent="0.25">
      <c r="AD43640"/>
    </row>
    <row r="43641" spans="30:30" x14ac:dyDescent="0.25">
      <c r="AD43641"/>
    </row>
    <row r="43642" spans="30:30" x14ac:dyDescent="0.25">
      <c r="AD43642"/>
    </row>
    <row r="43643" spans="30:30" x14ac:dyDescent="0.25">
      <c r="AD43643"/>
    </row>
    <row r="43644" spans="30:30" x14ac:dyDescent="0.25">
      <c r="AD43644"/>
    </row>
    <row r="43645" spans="30:30" x14ac:dyDescent="0.25">
      <c r="AD43645"/>
    </row>
    <row r="43646" spans="30:30" x14ac:dyDescent="0.25">
      <c r="AD43646"/>
    </row>
    <row r="43647" spans="30:30" x14ac:dyDescent="0.25">
      <c r="AD43647"/>
    </row>
    <row r="43648" spans="30:30" x14ac:dyDescent="0.25">
      <c r="AD43648"/>
    </row>
    <row r="43649" spans="30:30" x14ac:dyDescent="0.25">
      <c r="AD43649"/>
    </row>
    <row r="43650" spans="30:30" x14ac:dyDescent="0.25">
      <c r="AD43650"/>
    </row>
    <row r="43651" spans="30:30" x14ac:dyDescent="0.25">
      <c r="AD43651"/>
    </row>
    <row r="43652" spans="30:30" x14ac:dyDescent="0.25">
      <c r="AD43652"/>
    </row>
    <row r="43653" spans="30:30" x14ac:dyDescent="0.25">
      <c r="AD43653"/>
    </row>
    <row r="43654" spans="30:30" x14ac:dyDescent="0.25">
      <c r="AD43654"/>
    </row>
    <row r="43655" spans="30:30" x14ac:dyDescent="0.25">
      <c r="AD43655"/>
    </row>
    <row r="43656" spans="30:30" x14ac:dyDescent="0.25">
      <c r="AD43656"/>
    </row>
    <row r="43657" spans="30:30" x14ac:dyDescent="0.25">
      <c r="AD43657"/>
    </row>
    <row r="43658" spans="30:30" x14ac:dyDescent="0.25">
      <c r="AD43658"/>
    </row>
    <row r="43659" spans="30:30" x14ac:dyDescent="0.25">
      <c r="AD43659"/>
    </row>
    <row r="43660" spans="30:30" x14ac:dyDescent="0.25">
      <c r="AD43660"/>
    </row>
    <row r="43661" spans="30:30" x14ac:dyDescent="0.25">
      <c r="AD43661"/>
    </row>
    <row r="43662" spans="30:30" x14ac:dyDescent="0.25">
      <c r="AD43662"/>
    </row>
    <row r="43663" spans="30:30" x14ac:dyDescent="0.25">
      <c r="AD43663"/>
    </row>
    <row r="43664" spans="30:30" x14ac:dyDescent="0.25">
      <c r="AD43664"/>
    </row>
    <row r="43665" spans="30:30" x14ac:dyDescent="0.25">
      <c r="AD43665"/>
    </row>
    <row r="43666" spans="30:30" x14ac:dyDescent="0.25">
      <c r="AD43666"/>
    </row>
    <row r="43667" spans="30:30" x14ac:dyDescent="0.25">
      <c r="AD43667"/>
    </row>
    <row r="43668" spans="30:30" x14ac:dyDescent="0.25">
      <c r="AD43668"/>
    </row>
    <row r="43669" spans="30:30" x14ac:dyDescent="0.25">
      <c r="AD43669"/>
    </row>
    <row r="43670" spans="30:30" x14ac:dyDescent="0.25">
      <c r="AD43670"/>
    </row>
    <row r="43671" spans="30:30" x14ac:dyDescent="0.25">
      <c r="AD43671"/>
    </row>
    <row r="43672" spans="30:30" x14ac:dyDescent="0.25">
      <c r="AD43672"/>
    </row>
    <row r="43673" spans="30:30" x14ac:dyDescent="0.25">
      <c r="AD43673"/>
    </row>
    <row r="43674" spans="30:30" x14ac:dyDescent="0.25">
      <c r="AD43674"/>
    </row>
    <row r="43675" spans="30:30" x14ac:dyDescent="0.25">
      <c r="AD43675"/>
    </row>
    <row r="43676" spans="30:30" x14ac:dyDescent="0.25">
      <c r="AD43676"/>
    </row>
    <row r="43677" spans="30:30" x14ac:dyDescent="0.25">
      <c r="AD43677"/>
    </row>
    <row r="43678" spans="30:30" x14ac:dyDescent="0.25">
      <c r="AD43678"/>
    </row>
    <row r="43679" spans="30:30" x14ac:dyDescent="0.25">
      <c r="AD43679"/>
    </row>
    <row r="43680" spans="30:30" x14ac:dyDescent="0.25">
      <c r="AD43680"/>
    </row>
    <row r="43681" spans="30:30" x14ac:dyDescent="0.25">
      <c r="AD43681"/>
    </row>
    <row r="43682" spans="30:30" x14ac:dyDescent="0.25">
      <c r="AD43682"/>
    </row>
    <row r="43683" spans="30:30" x14ac:dyDescent="0.25">
      <c r="AD43683"/>
    </row>
    <row r="43684" spans="30:30" x14ac:dyDescent="0.25">
      <c r="AD43684"/>
    </row>
    <row r="43685" spans="30:30" x14ac:dyDescent="0.25">
      <c r="AD43685"/>
    </row>
    <row r="43686" spans="30:30" x14ac:dyDescent="0.25">
      <c r="AD43686"/>
    </row>
    <row r="43687" spans="30:30" x14ac:dyDescent="0.25">
      <c r="AD43687"/>
    </row>
    <row r="43688" spans="30:30" x14ac:dyDescent="0.25">
      <c r="AD43688"/>
    </row>
    <row r="43689" spans="30:30" x14ac:dyDescent="0.25">
      <c r="AD43689"/>
    </row>
    <row r="43690" spans="30:30" x14ac:dyDescent="0.25">
      <c r="AD43690"/>
    </row>
    <row r="43691" spans="30:30" x14ac:dyDescent="0.25">
      <c r="AD43691"/>
    </row>
    <row r="43692" spans="30:30" x14ac:dyDescent="0.25">
      <c r="AD43692"/>
    </row>
    <row r="43693" spans="30:30" x14ac:dyDescent="0.25">
      <c r="AD43693"/>
    </row>
    <row r="43694" spans="30:30" x14ac:dyDescent="0.25">
      <c r="AD43694"/>
    </row>
    <row r="43695" spans="30:30" x14ac:dyDescent="0.25">
      <c r="AD43695"/>
    </row>
    <row r="43696" spans="30:30" x14ac:dyDescent="0.25">
      <c r="AD43696"/>
    </row>
    <row r="43697" spans="30:30" x14ac:dyDescent="0.25">
      <c r="AD43697"/>
    </row>
    <row r="43698" spans="30:30" x14ac:dyDescent="0.25">
      <c r="AD43698"/>
    </row>
    <row r="43699" spans="30:30" x14ac:dyDescent="0.25">
      <c r="AD43699"/>
    </row>
    <row r="43700" spans="30:30" x14ac:dyDescent="0.25">
      <c r="AD43700"/>
    </row>
    <row r="43701" spans="30:30" x14ac:dyDescent="0.25">
      <c r="AD43701"/>
    </row>
    <row r="43702" spans="30:30" x14ac:dyDescent="0.25">
      <c r="AD43702"/>
    </row>
    <row r="43703" spans="30:30" x14ac:dyDescent="0.25">
      <c r="AD43703"/>
    </row>
    <row r="43704" spans="30:30" x14ac:dyDescent="0.25">
      <c r="AD43704"/>
    </row>
    <row r="43705" spans="30:30" x14ac:dyDescent="0.25">
      <c r="AD43705"/>
    </row>
    <row r="43706" spans="30:30" x14ac:dyDescent="0.25">
      <c r="AD43706"/>
    </row>
    <row r="43707" spans="30:30" x14ac:dyDescent="0.25">
      <c r="AD43707"/>
    </row>
    <row r="43708" spans="30:30" x14ac:dyDescent="0.25">
      <c r="AD43708"/>
    </row>
    <row r="43709" spans="30:30" x14ac:dyDescent="0.25">
      <c r="AD43709"/>
    </row>
    <row r="43710" spans="30:30" x14ac:dyDescent="0.25">
      <c r="AD43710"/>
    </row>
    <row r="43711" spans="30:30" x14ac:dyDescent="0.25">
      <c r="AD43711"/>
    </row>
    <row r="43712" spans="30:30" x14ac:dyDescent="0.25">
      <c r="AD43712"/>
    </row>
    <row r="43713" spans="30:30" x14ac:dyDescent="0.25">
      <c r="AD43713"/>
    </row>
    <row r="43714" spans="30:30" x14ac:dyDescent="0.25">
      <c r="AD43714"/>
    </row>
    <row r="43715" spans="30:30" x14ac:dyDescent="0.25">
      <c r="AD43715"/>
    </row>
    <row r="43716" spans="30:30" x14ac:dyDescent="0.25">
      <c r="AD43716"/>
    </row>
    <row r="43717" spans="30:30" x14ac:dyDescent="0.25">
      <c r="AD43717"/>
    </row>
    <row r="43718" spans="30:30" x14ac:dyDescent="0.25">
      <c r="AD43718"/>
    </row>
    <row r="43719" spans="30:30" x14ac:dyDescent="0.25">
      <c r="AD43719"/>
    </row>
    <row r="43720" spans="30:30" x14ac:dyDescent="0.25">
      <c r="AD43720"/>
    </row>
    <row r="43721" spans="30:30" x14ac:dyDescent="0.25">
      <c r="AD43721"/>
    </row>
    <row r="43722" spans="30:30" x14ac:dyDescent="0.25">
      <c r="AD43722"/>
    </row>
    <row r="43723" spans="30:30" x14ac:dyDescent="0.25">
      <c r="AD43723"/>
    </row>
    <row r="43724" spans="30:30" x14ac:dyDescent="0.25">
      <c r="AD43724"/>
    </row>
    <row r="43725" spans="30:30" x14ac:dyDescent="0.25">
      <c r="AD43725"/>
    </row>
    <row r="43726" spans="30:30" x14ac:dyDescent="0.25">
      <c r="AD43726"/>
    </row>
    <row r="43727" spans="30:30" x14ac:dyDescent="0.25">
      <c r="AD43727"/>
    </row>
    <row r="43728" spans="30:30" x14ac:dyDescent="0.25">
      <c r="AD43728"/>
    </row>
    <row r="43729" spans="30:30" x14ac:dyDescent="0.25">
      <c r="AD43729"/>
    </row>
    <row r="43730" spans="30:30" x14ac:dyDescent="0.25">
      <c r="AD43730"/>
    </row>
    <row r="43731" spans="30:30" x14ac:dyDescent="0.25">
      <c r="AD43731"/>
    </row>
    <row r="43732" spans="30:30" x14ac:dyDescent="0.25">
      <c r="AD43732"/>
    </row>
    <row r="43733" spans="30:30" x14ac:dyDescent="0.25">
      <c r="AD43733"/>
    </row>
    <row r="43734" spans="30:30" x14ac:dyDescent="0.25">
      <c r="AD43734"/>
    </row>
    <row r="43735" spans="30:30" x14ac:dyDescent="0.25">
      <c r="AD43735"/>
    </row>
    <row r="43736" spans="30:30" x14ac:dyDescent="0.25">
      <c r="AD43736"/>
    </row>
    <row r="43737" spans="30:30" x14ac:dyDescent="0.25">
      <c r="AD43737"/>
    </row>
    <row r="43738" spans="30:30" x14ac:dyDescent="0.25">
      <c r="AD43738"/>
    </row>
    <row r="43739" spans="30:30" x14ac:dyDescent="0.25">
      <c r="AD43739"/>
    </row>
    <row r="43740" spans="30:30" x14ac:dyDescent="0.25">
      <c r="AD43740"/>
    </row>
    <row r="43741" spans="30:30" x14ac:dyDescent="0.25">
      <c r="AD43741"/>
    </row>
    <row r="43742" spans="30:30" x14ac:dyDescent="0.25">
      <c r="AD43742"/>
    </row>
    <row r="43743" spans="30:30" x14ac:dyDescent="0.25">
      <c r="AD43743"/>
    </row>
    <row r="43744" spans="30:30" x14ac:dyDescent="0.25">
      <c r="AD43744"/>
    </row>
    <row r="43745" spans="30:30" x14ac:dyDescent="0.25">
      <c r="AD43745"/>
    </row>
    <row r="43746" spans="30:30" x14ac:dyDescent="0.25">
      <c r="AD43746"/>
    </row>
    <row r="43747" spans="30:30" x14ac:dyDescent="0.25">
      <c r="AD43747"/>
    </row>
    <row r="43748" spans="30:30" x14ac:dyDescent="0.25">
      <c r="AD43748"/>
    </row>
    <row r="43749" spans="30:30" x14ac:dyDescent="0.25">
      <c r="AD43749"/>
    </row>
    <row r="43750" spans="30:30" x14ac:dyDescent="0.25">
      <c r="AD43750"/>
    </row>
    <row r="43751" spans="30:30" x14ac:dyDescent="0.25">
      <c r="AD43751"/>
    </row>
    <row r="43752" spans="30:30" x14ac:dyDescent="0.25">
      <c r="AD43752"/>
    </row>
    <row r="43753" spans="30:30" x14ac:dyDescent="0.25">
      <c r="AD43753"/>
    </row>
    <row r="43754" spans="30:30" x14ac:dyDescent="0.25">
      <c r="AD43754"/>
    </row>
    <row r="43755" spans="30:30" x14ac:dyDescent="0.25">
      <c r="AD43755"/>
    </row>
    <row r="43756" spans="30:30" x14ac:dyDescent="0.25">
      <c r="AD43756"/>
    </row>
    <row r="43757" spans="30:30" x14ac:dyDescent="0.25">
      <c r="AD43757"/>
    </row>
    <row r="43758" spans="30:30" x14ac:dyDescent="0.25">
      <c r="AD43758"/>
    </row>
    <row r="43759" spans="30:30" x14ac:dyDescent="0.25">
      <c r="AD43759"/>
    </row>
    <row r="43760" spans="30:30" x14ac:dyDescent="0.25">
      <c r="AD43760"/>
    </row>
    <row r="43761" spans="30:30" x14ac:dyDescent="0.25">
      <c r="AD43761"/>
    </row>
    <row r="43762" spans="30:30" x14ac:dyDescent="0.25">
      <c r="AD43762"/>
    </row>
    <row r="43763" spans="30:30" x14ac:dyDescent="0.25">
      <c r="AD43763"/>
    </row>
    <row r="43764" spans="30:30" x14ac:dyDescent="0.25">
      <c r="AD43764"/>
    </row>
    <row r="43765" spans="30:30" x14ac:dyDescent="0.25">
      <c r="AD43765"/>
    </row>
    <row r="43766" spans="30:30" x14ac:dyDescent="0.25">
      <c r="AD43766"/>
    </row>
    <row r="43767" spans="30:30" x14ac:dyDescent="0.25">
      <c r="AD43767"/>
    </row>
    <row r="43768" spans="30:30" x14ac:dyDescent="0.25">
      <c r="AD43768"/>
    </row>
    <row r="43769" spans="30:30" x14ac:dyDescent="0.25">
      <c r="AD43769"/>
    </row>
    <row r="43770" spans="30:30" x14ac:dyDescent="0.25">
      <c r="AD43770"/>
    </row>
    <row r="43771" spans="30:30" x14ac:dyDescent="0.25">
      <c r="AD43771"/>
    </row>
    <row r="43772" spans="30:30" x14ac:dyDescent="0.25">
      <c r="AD43772"/>
    </row>
    <row r="43773" spans="30:30" x14ac:dyDescent="0.25">
      <c r="AD43773"/>
    </row>
    <row r="43774" spans="30:30" x14ac:dyDescent="0.25">
      <c r="AD43774"/>
    </row>
    <row r="43775" spans="30:30" x14ac:dyDescent="0.25">
      <c r="AD43775"/>
    </row>
    <row r="43776" spans="30:30" x14ac:dyDescent="0.25">
      <c r="AD43776"/>
    </row>
    <row r="43777" spans="30:30" x14ac:dyDescent="0.25">
      <c r="AD43777"/>
    </row>
    <row r="43778" spans="30:30" x14ac:dyDescent="0.25">
      <c r="AD43778"/>
    </row>
    <row r="43779" spans="30:30" x14ac:dyDescent="0.25">
      <c r="AD43779"/>
    </row>
    <row r="43780" spans="30:30" x14ac:dyDescent="0.25">
      <c r="AD43780"/>
    </row>
    <row r="43781" spans="30:30" x14ac:dyDescent="0.25">
      <c r="AD43781"/>
    </row>
    <row r="43782" spans="30:30" x14ac:dyDescent="0.25">
      <c r="AD43782"/>
    </row>
    <row r="43783" spans="30:30" x14ac:dyDescent="0.25">
      <c r="AD43783"/>
    </row>
    <row r="43784" spans="30:30" x14ac:dyDescent="0.25">
      <c r="AD43784"/>
    </row>
    <row r="43785" spans="30:30" x14ac:dyDescent="0.25">
      <c r="AD43785"/>
    </row>
    <row r="43786" spans="30:30" x14ac:dyDescent="0.25">
      <c r="AD43786"/>
    </row>
    <row r="43787" spans="30:30" x14ac:dyDescent="0.25">
      <c r="AD43787"/>
    </row>
    <row r="43788" spans="30:30" x14ac:dyDescent="0.25">
      <c r="AD43788"/>
    </row>
    <row r="43789" spans="30:30" x14ac:dyDescent="0.25">
      <c r="AD43789"/>
    </row>
    <row r="43790" spans="30:30" x14ac:dyDescent="0.25">
      <c r="AD43790"/>
    </row>
    <row r="43791" spans="30:30" x14ac:dyDescent="0.25">
      <c r="AD43791"/>
    </row>
    <row r="43792" spans="30:30" x14ac:dyDescent="0.25">
      <c r="AD43792"/>
    </row>
    <row r="43793" spans="30:30" x14ac:dyDescent="0.25">
      <c r="AD43793"/>
    </row>
    <row r="43794" spans="30:30" x14ac:dyDescent="0.25">
      <c r="AD43794"/>
    </row>
    <row r="43795" spans="30:30" x14ac:dyDescent="0.25">
      <c r="AD43795"/>
    </row>
    <row r="43796" spans="30:30" x14ac:dyDescent="0.25">
      <c r="AD43796"/>
    </row>
    <row r="43797" spans="30:30" x14ac:dyDescent="0.25">
      <c r="AD43797"/>
    </row>
    <row r="43798" spans="30:30" x14ac:dyDescent="0.25">
      <c r="AD43798"/>
    </row>
    <row r="43799" spans="30:30" x14ac:dyDescent="0.25">
      <c r="AD43799"/>
    </row>
    <row r="43800" spans="30:30" x14ac:dyDescent="0.25">
      <c r="AD43800"/>
    </row>
    <row r="43801" spans="30:30" x14ac:dyDescent="0.25">
      <c r="AD43801"/>
    </row>
    <row r="43802" spans="30:30" x14ac:dyDescent="0.25">
      <c r="AD43802"/>
    </row>
    <row r="43803" spans="30:30" x14ac:dyDescent="0.25">
      <c r="AD43803"/>
    </row>
    <row r="43804" spans="30:30" x14ac:dyDescent="0.25">
      <c r="AD43804"/>
    </row>
    <row r="43805" spans="30:30" x14ac:dyDescent="0.25">
      <c r="AD43805"/>
    </row>
    <row r="43806" spans="30:30" x14ac:dyDescent="0.25">
      <c r="AD43806"/>
    </row>
    <row r="43807" spans="30:30" x14ac:dyDescent="0.25">
      <c r="AD43807"/>
    </row>
    <row r="43808" spans="30:30" x14ac:dyDescent="0.25">
      <c r="AD43808"/>
    </row>
    <row r="43809" spans="30:30" x14ac:dyDescent="0.25">
      <c r="AD43809"/>
    </row>
    <row r="43810" spans="30:30" x14ac:dyDescent="0.25">
      <c r="AD43810"/>
    </row>
    <row r="43811" spans="30:30" x14ac:dyDescent="0.25">
      <c r="AD43811"/>
    </row>
    <row r="43812" spans="30:30" x14ac:dyDescent="0.25">
      <c r="AD43812"/>
    </row>
    <row r="43813" spans="30:30" x14ac:dyDescent="0.25">
      <c r="AD43813"/>
    </row>
    <row r="43814" spans="30:30" x14ac:dyDescent="0.25">
      <c r="AD43814"/>
    </row>
    <row r="43815" spans="30:30" x14ac:dyDescent="0.25">
      <c r="AD43815"/>
    </row>
    <row r="43816" spans="30:30" x14ac:dyDescent="0.25">
      <c r="AD43816"/>
    </row>
    <row r="43817" spans="30:30" x14ac:dyDescent="0.25">
      <c r="AD43817"/>
    </row>
    <row r="43818" spans="30:30" x14ac:dyDescent="0.25">
      <c r="AD43818"/>
    </row>
    <row r="43819" spans="30:30" x14ac:dyDescent="0.25">
      <c r="AD43819"/>
    </row>
    <row r="43820" spans="30:30" x14ac:dyDescent="0.25">
      <c r="AD43820"/>
    </row>
    <row r="43821" spans="30:30" x14ac:dyDescent="0.25">
      <c r="AD43821"/>
    </row>
    <row r="43822" spans="30:30" x14ac:dyDescent="0.25">
      <c r="AD43822"/>
    </row>
    <row r="43823" spans="30:30" x14ac:dyDescent="0.25">
      <c r="AD43823"/>
    </row>
    <row r="43824" spans="30:30" x14ac:dyDescent="0.25">
      <c r="AD43824"/>
    </row>
    <row r="43825" spans="30:30" x14ac:dyDescent="0.25">
      <c r="AD43825"/>
    </row>
    <row r="43826" spans="30:30" x14ac:dyDescent="0.25">
      <c r="AD43826"/>
    </row>
    <row r="43827" spans="30:30" x14ac:dyDescent="0.25">
      <c r="AD43827"/>
    </row>
    <row r="43828" spans="30:30" x14ac:dyDescent="0.25">
      <c r="AD43828"/>
    </row>
    <row r="43829" spans="30:30" x14ac:dyDescent="0.25">
      <c r="AD43829"/>
    </row>
    <row r="43830" spans="30:30" x14ac:dyDescent="0.25">
      <c r="AD43830"/>
    </row>
    <row r="43831" spans="30:30" x14ac:dyDescent="0.25">
      <c r="AD43831"/>
    </row>
    <row r="43832" spans="30:30" x14ac:dyDescent="0.25">
      <c r="AD43832"/>
    </row>
    <row r="43833" spans="30:30" x14ac:dyDescent="0.25">
      <c r="AD43833"/>
    </row>
    <row r="43834" spans="30:30" x14ac:dyDescent="0.25">
      <c r="AD43834"/>
    </row>
    <row r="43835" spans="30:30" x14ac:dyDescent="0.25">
      <c r="AD43835"/>
    </row>
    <row r="43836" spans="30:30" x14ac:dyDescent="0.25">
      <c r="AD43836"/>
    </row>
    <row r="43837" spans="30:30" x14ac:dyDescent="0.25">
      <c r="AD43837"/>
    </row>
    <row r="43838" spans="30:30" x14ac:dyDescent="0.25">
      <c r="AD43838"/>
    </row>
    <row r="43839" spans="30:30" x14ac:dyDescent="0.25">
      <c r="AD43839"/>
    </row>
    <row r="43840" spans="30:30" x14ac:dyDescent="0.25">
      <c r="AD43840"/>
    </row>
    <row r="43841" spans="30:30" x14ac:dyDescent="0.25">
      <c r="AD43841"/>
    </row>
    <row r="43842" spans="30:30" x14ac:dyDescent="0.25">
      <c r="AD43842"/>
    </row>
    <row r="43843" spans="30:30" x14ac:dyDescent="0.25">
      <c r="AD43843"/>
    </row>
    <row r="43844" spans="30:30" x14ac:dyDescent="0.25">
      <c r="AD43844"/>
    </row>
    <row r="43845" spans="30:30" x14ac:dyDescent="0.25">
      <c r="AD43845"/>
    </row>
    <row r="43846" spans="30:30" x14ac:dyDescent="0.25">
      <c r="AD43846"/>
    </row>
    <row r="43847" spans="30:30" x14ac:dyDescent="0.25">
      <c r="AD43847"/>
    </row>
    <row r="43848" spans="30:30" x14ac:dyDescent="0.25">
      <c r="AD43848"/>
    </row>
    <row r="43849" spans="30:30" x14ac:dyDescent="0.25">
      <c r="AD43849"/>
    </row>
    <row r="43850" spans="30:30" x14ac:dyDescent="0.25">
      <c r="AD43850"/>
    </row>
    <row r="43851" spans="30:30" x14ac:dyDescent="0.25">
      <c r="AD43851"/>
    </row>
    <row r="43852" spans="30:30" x14ac:dyDescent="0.25">
      <c r="AD43852"/>
    </row>
    <row r="43853" spans="30:30" x14ac:dyDescent="0.25">
      <c r="AD43853"/>
    </row>
    <row r="43854" spans="30:30" x14ac:dyDescent="0.25">
      <c r="AD43854"/>
    </row>
    <row r="43855" spans="30:30" x14ac:dyDescent="0.25">
      <c r="AD43855"/>
    </row>
    <row r="43856" spans="30:30" x14ac:dyDescent="0.25">
      <c r="AD43856"/>
    </row>
    <row r="43857" spans="30:30" x14ac:dyDescent="0.25">
      <c r="AD43857"/>
    </row>
    <row r="43858" spans="30:30" x14ac:dyDescent="0.25">
      <c r="AD43858"/>
    </row>
    <row r="43859" spans="30:30" x14ac:dyDescent="0.25">
      <c r="AD43859"/>
    </row>
    <row r="43860" spans="30:30" x14ac:dyDescent="0.25">
      <c r="AD43860"/>
    </row>
    <row r="43861" spans="30:30" x14ac:dyDescent="0.25">
      <c r="AD43861"/>
    </row>
    <row r="43862" spans="30:30" x14ac:dyDescent="0.25">
      <c r="AD43862"/>
    </row>
    <row r="43863" spans="30:30" x14ac:dyDescent="0.25">
      <c r="AD43863"/>
    </row>
    <row r="43864" spans="30:30" x14ac:dyDescent="0.25">
      <c r="AD43864"/>
    </row>
    <row r="43865" spans="30:30" x14ac:dyDescent="0.25">
      <c r="AD43865"/>
    </row>
    <row r="43866" spans="30:30" x14ac:dyDescent="0.25">
      <c r="AD43866"/>
    </row>
    <row r="43867" spans="30:30" x14ac:dyDescent="0.25">
      <c r="AD43867"/>
    </row>
    <row r="43868" spans="30:30" x14ac:dyDescent="0.25">
      <c r="AD43868"/>
    </row>
    <row r="43869" spans="30:30" x14ac:dyDescent="0.25">
      <c r="AD43869"/>
    </row>
    <row r="43870" spans="30:30" x14ac:dyDescent="0.25">
      <c r="AD43870"/>
    </row>
    <row r="43871" spans="30:30" x14ac:dyDescent="0.25">
      <c r="AD43871"/>
    </row>
    <row r="43872" spans="30:30" x14ac:dyDescent="0.25">
      <c r="AD43872"/>
    </row>
    <row r="43873" spans="30:30" x14ac:dyDescent="0.25">
      <c r="AD43873"/>
    </row>
    <row r="43874" spans="30:30" x14ac:dyDescent="0.25">
      <c r="AD43874"/>
    </row>
    <row r="43875" spans="30:30" x14ac:dyDescent="0.25">
      <c r="AD43875"/>
    </row>
    <row r="43876" spans="30:30" x14ac:dyDescent="0.25">
      <c r="AD43876"/>
    </row>
    <row r="43877" spans="30:30" x14ac:dyDescent="0.25">
      <c r="AD43877"/>
    </row>
    <row r="43878" spans="30:30" x14ac:dyDescent="0.25">
      <c r="AD43878"/>
    </row>
    <row r="43879" spans="30:30" x14ac:dyDescent="0.25">
      <c r="AD43879"/>
    </row>
    <row r="43880" spans="30:30" x14ac:dyDescent="0.25">
      <c r="AD43880"/>
    </row>
    <row r="43881" spans="30:30" x14ac:dyDescent="0.25">
      <c r="AD43881"/>
    </row>
    <row r="43882" spans="30:30" x14ac:dyDescent="0.25">
      <c r="AD43882"/>
    </row>
    <row r="43883" spans="30:30" x14ac:dyDescent="0.25">
      <c r="AD43883"/>
    </row>
    <row r="43884" spans="30:30" x14ac:dyDescent="0.25">
      <c r="AD43884"/>
    </row>
    <row r="43885" spans="30:30" x14ac:dyDescent="0.25">
      <c r="AD43885"/>
    </row>
    <row r="43886" spans="30:30" x14ac:dyDescent="0.25">
      <c r="AD43886"/>
    </row>
    <row r="43887" spans="30:30" x14ac:dyDescent="0.25">
      <c r="AD43887"/>
    </row>
    <row r="43888" spans="30:30" x14ac:dyDescent="0.25">
      <c r="AD43888"/>
    </row>
    <row r="43889" spans="30:30" x14ac:dyDescent="0.25">
      <c r="AD43889"/>
    </row>
    <row r="43890" spans="30:30" x14ac:dyDescent="0.25">
      <c r="AD43890"/>
    </row>
    <row r="43891" spans="30:30" x14ac:dyDescent="0.25">
      <c r="AD43891"/>
    </row>
    <row r="43892" spans="30:30" x14ac:dyDescent="0.25">
      <c r="AD43892"/>
    </row>
    <row r="43893" spans="30:30" x14ac:dyDescent="0.25">
      <c r="AD43893"/>
    </row>
    <row r="43894" spans="30:30" x14ac:dyDescent="0.25">
      <c r="AD43894"/>
    </row>
    <row r="43895" spans="30:30" x14ac:dyDescent="0.25">
      <c r="AD43895"/>
    </row>
    <row r="43896" spans="30:30" x14ac:dyDescent="0.25">
      <c r="AD43896"/>
    </row>
    <row r="43897" spans="30:30" x14ac:dyDescent="0.25">
      <c r="AD43897"/>
    </row>
    <row r="43898" spans="30:30" x14ac:dyDescent="0.25">
      <c r="AD43898"/>
    </row>
    <row r="43899" spans="30:30" x14ac:dyDescent="0.25">
      <c r="AD43899"/>
    </row>
    <row r="43900" spans="30:30" x14ac:dyDescent="0.25">
      <c r="AD43900"/>
    </row>
    <row r="43901" spans="30:30" x14ac:dyDescent="0.25">
      <c r="AD43901"/>
    </row>
    <row r="43902" spans="30:30" x14ac:dyDescent="0.25">
      <c r="AD43902"/>
    </row>
    <row r="43903" spans="30:30" x14ac:dyDescent="0.25">
      <c r="AD43903"/>
    </row>
    <row r="43904" spans="30:30" x14ac:dyDescent="0.25">
      <c r="AD43904"/>
    </row>
    <row r="43905" spans="30:30" x14ac:dyDescent="0.25">
      <c r="AD43905"/>
    </row>
    <row r="43906" spans="30:30" x14ac:dyDescent="0.25">
      <c r="AD43906"/>
    </row>
    <row r="43907" spans="30:30" x14ac:dyDescent="0.25">
      <c r="AD43907"/>
    </row>
    <row r="43908" spans="30:30" x14ac:dyDescent="0.25">
      <c r="AD43908"/>
    </row>
    <row r="43909" spans="30:30" x14ac:dyDescent="0.25">
      <c r="AD43909"/>
    </row>
    <row r="43910" spans="30:30" x14ac:dyDescent="0.25">
      <c r="AD43910"/>
    </row>
    <row r="43911" spans="30:30" x14ac:dyDescent="0.25">
      <c r="AD43911"/>
    </row>
    <row r="43912" spans="30:30" x14ac:dyDescent="0.25">
      <c r="AD43912"/>
    </row>
    <row r="43913" spans="30:30" x14ac:dyDescent="0.25">
      <c r="AD43913"/>
    </row>
    <row r="43914" spans="30:30" x14ac:dyDescent="0.25">
      <c r="AD43914"/>
    </row>
    <row r="43915" spans="30:30" x14ac:dyDescent="0.25">
      <c r="AD43915"/>
    </row>
    <row r="43916" spans="30:30" x14ac:dyDescent="0.25">
      <c r="AD43916"/>
    </row>
    <row r="43917" spans="30:30" x14ac:dyDescent="0.25">
      <c r="AD43917"/>
    </row>
    <row r="43918" spans="30:30" x14ac:dyDescent="0.25">
      <c r="AD43918"/>
    </row>
    <row r="43919" spans="30:30" x14ac:dyDescent="0.25">
      <c r="AD43919"/>
    </row>
    <row r="43920" spans="30:30" x14ac:dyDescent="0.25">
      <c r="AD43920"/>
    </row>
    <row r="43921" spans="30:30" x14ac:dyDescent="0.25">
      <c r="AD43921"/>
    </row>
    <row r="43922" spans="30:30" x14ac:dyDescent="0.25">
      <c r="AD43922"/>
    </row>
    <row r="43923" spans="30:30" x14ac:dyDescent="0.25">
      <c r="AD43923"/>
    </row>
    <row r="43924" spans="30:30" x14ac:dyDescent="0.25">
      <c r="AD43924"/>
    </row>
    <row r="43925" spans="30:30" x14ac:dyDescent="0.25">
      <c r="AD43925"/>
    </row>
    <row r="43926" spans="30:30" x14ac:dyDescent="0.25">
      <c r="AD43926"/>
    </row>
    <row r="43927" spans="30:30" x14ac:dyDescent="0.25">
      <c r="AD43927"/>
    </row>
    <row r="43928" spans="30:30" x14ac:dyDescent="0.25">
      <c r="AD43928"/>
    </row>
    <row r="43929" spans="30:30" x14ac:dyDescent="0.25">
      <c r="AD43929"/>
    </row>
    <row r="43930" spans="30:30" x14ac:dyDescent="0.25">
      <c r="AD43930"/>
    </row>
    <row r="43931" spans="30:30" x14ac:dyDescent="0.25">
      <c r="AD43931"/>
    </row>
    <row r="43932" spans="30:30" x14ac:dyDescent="0.25">
      <c r="AD43932"/>
    </row>
    <row r="43933" spans="30:30" x14ac:dyDescent="0.25">
      <c r="AD43933"/>
    </row>
    <row r="43934" spans="30:30" x14ac:dyDescent="0.25">
      <c r="AD43934"/>
    </row>
    <row r="43935" spans="30:30" x14ac:dyDescent="0.25">
      <c r="AD43935"/>
    </row>
    <row r="43936" spans="30:30" x14ac:dyDescent="0.25">
      <c r="AD43936"/>
    </row>
    <row r="43937" spans="30:30" x14ac:dyDescent="0.25">
      <c r="AD43937"/>
    </row>
    <row r="43938" spans="30:30" x14ac:dyDescent="0.25">
      <c r="AD43938"/>
    </row>
    <row r="43939" spans="30:30" x14ac:dyDescent="0.25">
      <c r="AD43939"/>
    </row>
    <row r="43940" spans="30:30" x14ac:dyDescent="0.25">
      <c r="AD43940"/>
    </row>
    <row r="43941" spans="30:30" x14ac:dyDescent="0.25">
      <c r="AD43941"/>
    </row>
    <row r="43942" spans="30:30" x14ac:dyDescent="0.25">
      <c r="AD43942"/>
    </row>
    <row r="43943" spans="30:30" x14ac:dyDescent="0.25">
      <c r="AD43943"/>
    </row>
    <row r="43944" spans="30:30" x14ac:dyDescent="0.25">
      <c r="AD43944"/>
    </row>
    <row r="43945" spans="30:30" x14ac:dyDescent="0.25">
      <c r="AD43945"/>
    </row>
    <row r="43946" spans="30:30" x14ac:dyDescent="0.25">
      <c r="AD43946"/>
    </row>
    <row r="43947" spans="30:30" x14ac:dyDescent="0.25">
      <c r="AD43947"/>
    </row>
    <row r="43948" spans="30:30" x14ac:dyDescent="0.25">
      <c r="AD43948"/>
    </row>
    <row r="43949" spans="30:30" x14ac:dyDescent="0.25">
      <c r="AD43949"/>
    </row>
    <row r="43950" spans="30:30" x14ac:dyDescent="0.25">
      <c r="AD43950"/>
    </row>
    <row r="43951" spans="30:30" x14ac:dyDescent="0.25">
      <c r="AD43951"/>
    </row>
    <row r="43952" spans="30:30" x14ac:dyDescent="0.25">
      <c r="AD43952"/>
    </row>
    <row r="43953" spans="30:30" x14ac:dyDescent="0.25">
      <c r="AD43953"/>
    </row>
    <row r="43954" spans="30:30" x14ac:dyDescent="0.25">
      <c r="AD43954"/>
    </row>
    <row r="43955" spans="30:30" x14ac:dyDescent="0.25">
      <c r="AD43955"/>
    </row>
    <row r="43956" spans="30:30" x14ac:dyDescent="0.25">
      <c r="AD43956"/>
    </row>
    <row r="43957" spans="30:30" x14ac:dyDescent="0.25">
      <c r="AD43957"/>
    </row>
    <row r="43958" spans="30:30" x14ac:dyDescent="0.25">
      <c r="AD43958"/>
    </row>
    <row r="43959" spans="30:30" x14ac:dyDescent="0.25">
      <c r="AD43959"/>
    </row>
    <row r="43960" spans="30:30" x14ac:dyDescent="0.25">
      <c r="AD43960"/>
    </row>
    <row r="43961" spans="30:30" x14ac:dyDescent="0.25">
      <c r="AD43961"/>
    </row>
    <row r="43962" spans="30:30" x14ac:dyDescent="0.25">
      <c r="AD43962"/>
    </row>
    <row r="43963" spans="30:30" x14ac:dyDescent="0.25">
      <c r="AD43963"/>
    </row>
    <row r="43964" spans="30:30" x14ac:dyDescent="0.25">
      <c r="AD43964"/>
    </row>
    <row r="43965" spans="30:30" x14ac:dyDescent="0.25">
      <c r="AD43965"/>
    </row>
    <row r="43966" spans="30:30" x14ac:dyDescent="0.25">
      <c r="AD43966"/>
    </row>
    <row r="43967" spans="30:30" x14ac:dyDescent="0.25">
      <c r="AD43967"/>
    </row>
    <row r="43968" spans="30:30" x14ac:dyDescent="0.25">
      <c r="AD43968"/>
    </row>
    <row r="43969" spans="30:30" x14ac:dyDescent="0.25">
      <c r="AD43969"/>
    </row>
    <row r="43970" spans="30:30" x14ac:dyDescent="0.25">
      <c r="AD43970"/>
    </row>
    <row r="43971" spans="30:30" x14ac:dyDescent="0.25">
      <c r="AD43971"/>
    </row>
    <row r="43972" spans="30:30" x14ac:dyDescent="0.25">
      <c r="AD43972"/>
    </row>
    <row r="43973" spans="30:30" x14ac:dyDescent="0.25">
      <c r="AD43973"/>
    </row>
    <row r="43974" spans="30:30" x14ac:dyDescent="0.25">
      <c r="AD43974"/>
    </row>
    <row r="43975" spans="30:30" x14ac:dyDescent="0.25">
      <c r="AD43975"/>
    </row>
    <row r="43976" spans="30:30" x14ac:dyDescent="0.25">
      <c r="AD43976"/>
    </row>
    <row r="43977" spans="30:30" x14ac:dyDescent="0.25">
      <c r="AD43977"/>
    </row>
    <row r="43978" spans="30:30" x14ac:dyDescent="0.25">
      <c r="AD43978"/>
    </row>
    <row r="43979" spans="30:30" x14ac:dyDescent="0.25">
      <c r="AD43979"/>
    </row>
    <row r="43980" spans="30:30" x14ac:dyDescent="0.25">
      <c r="AD43980"/>
    </row>
    <row r="43981" spans="30:30" x14ac:dyDescent="0.25">
      <c r="AD43981"/>
    </row>
    <row r="43982" spans="30:30" x14ac:dyDescent="0.25">
      <c r="AD43982"/>
    </row>
    <row r="43983" spans="30:30" x14ac:dyDescent="0.25">
      <c r="AD43983"/>
    </row>
    <row r="43984" spans="30:30" x14ac:dyDescent="0.25">
      <c r="AD43984"/>
    </row>
    <row r="43985" spans="30:30" x14ac:dyDescent="0.25">
      <c r="AD43985"/>
    </row>
    <row r="43986" spans="30:30" x14ac:dyDescent="0.25">
      <c r="AD43986"/>
    </row>
    <row r="43987" spans="30:30" x14ac:dyDescent="0.25">
      <c r="AD43987"/>
    </row>
    <row r="43988" spans="30:30" x14ac:dyDescent="0.25">
      <c r="AD43988"/>
    </row>
    <row r="43989" spans="30:30" x14ac:dyDescent="0.25">
      <c r="AD43989"/>
    </row>
    <row r="43990" spans="30:30" x14ac:dyDescent="0.25">
      <c r="AD43990"/>
    </row>
    <row r="43991" spans="30:30" x14ac:dyDescent="0.25">
      <c r="AD43991"/>
    </row>
    <row r="43992" spans="30:30" x14ac:dyDescent="0.25">
      <c r="AD43992"/>
    </row>
    <row r="43993" spans="30:30" x14ac:dyDescent="0.25">
      <c r="AD43993"/>
    </row>
    <row r="43994" spans="30:30" x14ac:dyDescent="0.25">
      <c r="AD43994"/>
    </row>
    <row r="43995" spans="30:30" x14ac:dyDescent="0.25">
      <c r="AD43995"/>
    </row>
    <row r="43996" spans="30:30" x14ac:dyDescent="0.25">
      <c r="AD43996"/>
    </row>
    <row r="43997" spans="30:30" x14ac:dyDescent="0.25">
      <c r="AD43997"/>
    </row>
    <row r="43998" spans="30:30" x14ac:dyDescent="0.25">
      <c r="AD43998"/>
    </row>
    <row r="43999" spans="30:30" x14ac:dyDescent="0.25">
      <c r="AD43999"/>
    </row>
    <row r="44000" spans="30:30" x14ac:dyDescent="0.25">
      <c r="AD44000"/>
    </row>
    <row r="44001" spans="30:30" x14ac:dyDescent="0.25">
      <c r="AD44001"/>
    </row>
    <row r="44002" spans="30:30" x14ac:dyDescent="0.25">
      <c r="AD44002"/>
    </row>
    <row r="44003" spans="30:30" x14ac:dyDescent="0.25">
      <c r="AD44003"/>
    </row>
    <row r="44004" spans="30:30" x14ac:dyDescent="0.25">
      <c r="AD44004"/>
    </row>
    <row r="44005" spans="30:30" x14ac:dyDescent="0.25">
      <c r="AD44005"/>
    </row>
    <row r="44006" spans="30:30" x14ac:dyDescent="0.25">
      <c r="AD44006"/>
    </row>
    <row r="44007" spans="30:30" x14ac:dyDescent="0.25">
      <c r="AD44007"/>
    </row>
    <row r="44008" spans="30:30" x14ac:dyDescent="0.25">
      <c r="AD44008"/>
    </row>
    <row r="44009" spans="30:30" x14ac:dyDescent="0.25">
      <c r="AD44009"/>
    </row>
    <row r="44010" spans="30:30" x14ac:dyDescent="0.25">
      <c r="AD44010"/>
    </row>
    <row r="44011" spans="30:30" x14ac:dyDescent="0.25">
      <c r="AD44011"/>
    </row>
    <row r="44012" spans="30:30" x14ac:dyDescent="0.25">
      <c r="AD44012"/>
    </row>
    <row r="44013" spans="30:30" x14ac:dyDescent="0.25">
      <c r="AD44013"/>
    </row>
    <row r="44014" spans="30:30" x14ac:dyDescent="0.25">
      <c r="AD44014"/>
    </row>
    <row r="44015" spans="30:30" x14ac:dyDescent="0.25">
      <c r="AD44015"/>
    </row>
    <row r="44016" spans="30:30" x14ac:dyDescent="0.25">
      <c r="AD44016"/>
    </row>
    <row r="44017" spans="30:30" x14ac:dyDescent="0.25">
      <c r="AD44017"/>
    </row>
    <row r="44018" spans="30:30" x14ac:dyDescent="0.25">
      <c r="AD44018"/>
    </row>
    <row r="44019" spans="30:30" x14ac:dyDescent="0.25">
      <c r="AD44019"/>
    </row>
    <row r="44020" spans="30:30" x14ac:dyDescent="0.25">
      <c r="AD44020"/>
    </row>
    <row r="44021" spans="30:30" x14ac:dyDescent="0.25">
      <c r="AD44021"/>
    </row>
    <row r="44022" spans="30:30" x14ac:dyDescent="0.25">
      <c r="AD44022"/>
    </row>
    <row r="44023" spans="30:30" x14ac:dyDescent="0.25">
      <c r="AD44023"/>
    </row>
    <row r="44024" spans="30:30" x14ac:dyDescent="0.25">
      <c r="AD44024"/>
    </row>
    <row r="44025" spans="30:30" x14ac:dyDescent="0.25">
      <c r="AD44025"/>
    </row>
    <row r="44026" spans="30:30" x14ac:dyDescent="0.25">
      <c r="AD44026"/>
    </row>
    <row r="44027" spans="30:30" x14ac:dyDescent="0.25">
      <c r="AD44027"/>
    </row>
    <row r="44028" spans="30:30" x14ac:dyDescent="0.25">
      <c r="AD44028"/>
    </row>
    <row r="44029" spans="30:30" x14ac:dyDescent="0.25">
      <c r="AD44029"/>
    </row>
    <row r="44030" spans="30:30" x14ac:dyDescent="0.25">
      <c r="AD44030"/>
    </row>
    <row r="44031" spans="30:30" x14ac:dyDescent="0.25">
      <c r="AD44031"/>
    </row>
    <row r="44032" spans="30:30" x14ac:dyDescent="0.25">
      <c r="AD44032"/>
    </row>
    <row r="44033" spans="30:30" x14ac:dyDescent="0.25">
      <c r="AD44033"/>
    </row>
    <row r="44034" spans="30:30" x14ac:dyDescent="0.25">
      <c r="AD44034"/>
    </row>
    <row r="44035" spans="30:30" x14ac:dyDescent="0.25">
      <c r="AD44035"/>
    </row>
    <row r="44036" spans="30:30" x14ac:dyDescent="0.25">
      <c r="AD44036"/>
    </row>
    <row r="44037" spans="30:30" x14ac:dyDescent="0.25">
      <c r="AD44037"/>
    </row>
    <row r="44038" spans="30:30" x14ac:dyDescent="0.25">
      <c r="AD44038"/>
    </row>
    <row r="44039" spans="30:30" x14ac:dyDescent="0.25">
      <c r="AD44039"/>
    </row>
    <row r="44040" spans="30:30" x14ac:dyDescent="0.25">
      <c r="AD44040"/>
    </row>
    <row r="44041" spans="30:30" x14ac:dyDescent="0.25">
      <c r="AD44041"/>
    </row>
    <row r="44042" spans="30:30" x14ac:dyDescent="0.25">
      <c r="AD44042"/>
    </row>
    <row r="44043" spans="30:30" x14ac:dyDescent="0.25">
      <c r="AD44043"/>
    </row>
    <row r="44044" spans="30:30" x14ac:dyDescent="0.25">
      <c r="AD44044"/>
    </row>
    <row r="44045" spans="30:30" x14ac:dyDescent="0.25">
      <c r="AD44045"/>
    </row>
    <row r="44046" spans="30:30" x14ac:dyDescent="0.25">
      <c r="AD44046"/>
    </row>
    <row r="44047" spans="30:30" x14ac:dyDescent="0.25">
      <c r="AD44047"/>
    </row>
    <row r="44048" spans="30:30" x14ac:dyDescent="0.25">
      <c r="AD44048"/>
    </row>
    <row r="44049" spans="30:30" x14ac:dyDescent="0.25">
      <c r="AD44049"/>
    </row>
    <row r="44050" spans="30:30" x14ac:dyDescent="0.25">
      <c r="AD44050"/>
    </row>
    <row r="44051" spans="30:30" x14ac:dyDescent="0.25">
      <c r="AD44051"/>
    </row>
    <row r="44052" spans="30:30" x14ac:dyDescent="0.25">
      <c r="AD44052"/>
    </row>
    <row r="44053" spans="30:30" x14ac:dyDescent="0.25">
      <c r="AD44053"/>
    </row>
    <row r="44054" spans="30:30" x14ac:dyDescent="0.25">
      <c r="AD44054"/>
    </row>
    <row r="44055" spans="30:30" x14ac:dyDescent="0.25">
      <c r="AD44055"/>
    </row>
    <row r="44056" spans="30:30" x14ac:dyDescent="0.25">
      <c r="AD44056"/>
    </row>
    <row r="44057" spans="30:30" x14ac:dyDescent="0.25">
      <c r="AD44057"/>
    </row>
    <row r="44058" spans="30:30" x14ac:dyDescent="0.25">
      <c r="AD44058"/>
    </row>
    <row r="44059" spans="30:30" x14ac:dyDescent="0.25">
      <c r="AD44059"/>
    </row>
    <row r="44060" spans="30:30" x14ac:dyDescent="0.25">
      <c r="AD44060"/>
    </row>
    <row r="44061" spans="30:30" x14ac:dyDescent="0.25">
      <c r="AD44061"/>
    </row>
    <row r="44062" spans="30:30" x14ac:dyDescent="0.25">
      <c r="AD44062"/>
    </row>
    <row r="44063" spans="30:30" x14ac:dyDescent="0.25">
      <c r="AD44063"/>
    </row>
    <row r="44064" spans="30:30" x14ac:dyDescent="0.25">
      <c r="AD44064"/>
    </row>
    <row r="44065" spans="30:30" x14ac:dyDescent="0.25">
      <c r="AD44065"/>
    </row>
    <row r="44066" spans="30:30" x14ac:dyDescent="0.25">
      <c r="AD44066"/>
    </row>
    <row r="44067" spans="30:30" x14ac:dyDescent="0.25">
      <c r="AD44067"/>
    </row>
    <row r="44068" spans="30:30" x14ac:dyDescent="0.25">
      <c r="AD44068"/>
    </row>
    <row r="44069" spans="30:30" x14ac:dyDescent="0.25">
      <c r="AD44069"/>
    </row>
    <row r="44070" spans="30:30" x14ac:dyDescent="0.25">
      <c r="AD44070"/>
    </row>
    <row r="44071" spans="30:30" x14ac:dyDescent="0.25">
      <c r="AD44071"/>
    </row>
    <row r="44072" spans="30:30" x14ac:dyDescent="0.25">
      <c r="AD44072"/>
    </row>
    <row r="44073" spans="30:30" x14ac:dyDescent="0.25">
      <c r="AD44073"/>
    </row>
    <row r="44074" spans="30:30" x14ac:dyDescent="0.25">
      <c r="AD44074"/>
    </row>
    <row r="44075" spans="30:30" x14ac:dyDescent="0.25">
      <c r="AD44075"/>
    </row>
    <row r="44076" spans="30:30" x14ac:dyDescent="0.25">
      <c r="AD44076"/>
    </row>
    <row r="44077" spans="30:30" x14ac:dyDescent="0.25">
      <c r="AD44077"/>
    </row>
    <row r="44078" spans="30:30" x14ac:dyDescent="0.25">
      <c r="AD44078"/>
    </row>
    <row r="44079" spans="30:30" x14ac:dyDescent="0.25">
      <c r="AD44079"/>
    </row>
    <row r="44080" spans="30:30" x14ac:dyDescent="0.25">
      <c r="AD44080"/>
    </row>
    <row r="44081" spans="30:30" x14ac:dyDescent="0.25">
      <c r="AD44081"/>
    </row>
    <row r="44082" spans="30:30" x14ac:dyDescent="0.25">
      <c r="AD44082"/>
    </row>
    <row r="44083" spans="30:30" x14ac:dyDescent="0.25">
      <c r="AD44083"/>
    </row>
    <row r="44084" spans="30:30" x14ac:dyDescent="0.25">
      <c r="AD44084"/>
    </row>
    <row r="44085" spans="30:30" x14ac:dyDescent="0.25">
      <c r="AD44085"/>
    </row>
    <row r="44086" spans="30:30" x14ac:dyDescent="0.25">
      <c r="AD44086"/>
    </row>
    <row r="44087" spans="30:30" x14ac:dyDescent="0.25">
      <c r="AD44087"/>
    </row>
    <row r="44088" spans="30:30" x14ac:dyDescent="0.25">
      <c r="AD44088"/>
    </row>
    <row r="44089" spans="30:30" x14ac:dyDescent="0.25">
      <c r="AD44089"/>
    </row>
    <row r="44090" spans="30:30" x14ac:dyDescent="0.25">
      <c r="AD44090"/>
    </row>
    <row r="44091" spans="30:30" x14ac:dyDescent="0.25">
      <c r="AD44091"/>
    </row>
    <row r="44092" spans="30:30" x14ac:dyDescent="0.25">
      <c r="AD44092"/>
    </row>
    <row r="44093" spans="30:30" x14ac:dyDescent="0.25">
      <c r="AD44093"/>
    </row>
    <row r="44094" spans="30:30" x14ac:dyDescent="0.25">
      <c r="AD44094"/>
    </row>
    <row r="44095" spans="30:30" x14ac:dyDescent="0.25">
      <c r="AD44095"/>
    </row>
    <row r="44096" spans="30:30" x14ac:dyDescent="0.25">
      <c r="AD44096"/>
    </row>
    <row r="44097" spans="30:30" x14ac:dyDescent="0.25">
      <c r="AD44097"/>
    </row>
    <row r="44098" spans="30:30" x14ac:dyDescent="0.25">
      <c r="AD44098"/>
    </row>
    <row r="44099" spans="30:30" x14ac:dyDescent="0.25">
      <c r="AD44099"/>
    </row>
    <row r="44100" spans="30:30" x14ac:dyDescent="0.25">
      <c r="AD44100"/>
    </row>
    <row r="44101" spans="30:30" x14ac:dyDescent="0.25">
      <c r="AD44101"/>
    </row>
    <row r="44102" spans="30:30" x14ac:dyDescent="0.25">
      <c r="AD44102"/>
    </row>
    <row r="44103" spans="30:30" x14ac:dyDescent="0.25">
      <c r="AD44103"/>
    </row>
    <row r="44104" spans="30:30" x14ac:dyDescent="0.25">
      <c r="AD44104"/>
    </row>
    <row r="44105" spans="30:30" x14ac:dyDescent="0.25">
      <c r="AD44105"/>
    </row>
    <row r="44106" spans="30:30" x14ac:dyDescent="0.25">
      <c r="AD44106"/>
    </row>
    <row r="44107" spans="30:30" x14ac:dyDescent="0.25">
      <c r="AD44107"/>
    </row>
    <row r="44108" spans="30:30" x14ac:dyDescent="0.25">
      <c r="AD44108"/>
    </row>
    <row r="44109" spans="30:30" x14ac:dyDescent="0.25">
      <c r="AD44109"/>
    </row>
    <row r="44110" spans="30:30" x14ac:dyDescent="0.25">
      <c r="AD44110"/>
    </row>
    <row r="44111" spans="30:30" x14ac:dyDescent="0.25">
      <c r="AD44111"/>
    </row>
    <row r="44112" spans="30:30" x14ac:dyDescent="0.25">
      <c r="AD44112"/>
    </row>
    <row r="44113" spans="30:30" x14ac:dyDescent="0.25">
      <c r="AD44113"/>
    </row>
    <row r="44114" spans="30:30" x14ac:dyDescent="0.25">
      <c r="AD44114"/>
    </row>
    <row r="44115" spans="30:30" x14ac:dyDescent="0.25">
      <c r="AD44115"/>
    </row>
    <row r="44116" spans="30:30" x14ac:dyDescent="0.25">
      <c r="AD44116"/>
    </row>
    <row r="44117" spans="30:30" x14ac:dyDescent="0.25">
      <c r="AD44117"/>
    </row>
    <row r="44118" spans="30:30" x14ac:dyDescent="0.25">
      <c r="AD44118"/>
    </row>
    <row r="44119" spans="30:30" x14ac:dyDescent="0.25">
      <c r="AD44119"/>
    </row>
    <row r="44120" spans="30:30" x14ac:dyDescent="0.25">
      <c r="AD44120"/>
    </row>
    <row r="44121" spans="30:30" x14ac:dyDescent="0.25">
      <c r="AD44121"/>
    </row>
    <row r="44122" spans="30:30" x14ac:dyDescent="0.25">
      <c r="AD44122"/>
    </row>
    <row r="44123" spans="30:30" x14ac:dyDescent="0.25">
      <c r="AD44123"/>
    </row>
    <row r="44124" spans="30:30" x14ac:dyDescent="0.25">
      <c r="AD44124"/>
    </row>
    <row r="44125" spans="30:30" x14ac:dyDescent="0.25">
      <c r="AD44125"/>
    </row>
    <row r="44126" spans="30:30" x14ac:dyDescent="0.25">
      <c r="AD44126"/>
    </row>
    <row r="44127" spans="30:30" x14ac:dyDescent="0.25">
      <c r="AD44127"/>
    </row>
    <row r="44128" spans="30:30" x14ac:dyDescent="0.25">
      <c r="AD44128"/>
    </row>
    <row r="44129" spans="30:30" x14ac:dyDescent="0.25">
      <c r="AD44129"/>
    </row>
    <row r="44130" spans="30:30" x14ac:dyDescent="0.25">
      <c r="AD44130"/>
    </row>
    <row r="44131" spans="30:30" x14ac:dyDescent="0.25">
      <c r="AD44131"/>
    </row>
    <row r="44132" spans="30:30" x14ac:dyDescent="0.25">
      <c r="AD44132"/>
    </row>
    <row r="44133" spans="30:30" x14ac:dyDescent="0.25">
      <c r="AD44133"/>
    </row>
    <row r="44134" spans="30:30" x14ac:dyDescent="0.25">
      <c r="AD44134"/>
    </row>
    <row r="44135" spans="30:30" x14ac:dyDescent="0.25">
      <c r="AD44135"/>
    </row>
    <row r="44136" spans="30:30" x14ac:dyDescent="0.25">
      <c r="AD44136"/>
    </row>
    <row r="44137" spans="30:30" x14ac:dyDescent="0.25">
      <c r="AD44137"/>
    </row>
    <row r="44138" spans="30:30" x14ac:dyDescent="0.25">
      <c r="AD44138"/>
    </row>
    <row r="44139" spans="30:30" x14ac:dyDescent="0.25">
      <c r="AD44139"/>
    </row>
    <row r="44140" spans="30:30" x14ac:dyDescent="0.25">
      <c r="AD44140"/>
    </row>
    <row r="44141" spans="30:30" x14ac:dyDescent="0.25">
      <c r="AD44141"/>
    </row>
    <row r="44142" spans="30:30" x14ac:dyDescent="0.25">
      <c r="AD44142"/>
    </row>
    <row r="44143" spans="30:30" x14ac:dyDescent="0.25">
      <c r="AD44143"/>
    </row>
    <row r="44144" spans="30:30" x14ac:dyDescent="0.25">
      <c r="AD44144"/>
    </row>
    <row r="44145" spans="30:30" x14ac:dyDescent="0.25">
      <c r="AD44145"/>
    </row>
    <row r="44146" spans="30:30" x14ac:dyDescent="0.25">
      <c r="AD44146"/>
    </row>
    <row r="44147" spans="30:30" x14ac:dyDescent="0.25">
      <c r="AD44147"/>
    </row>
    <row r="44148" spans="30:30" x14ac:dyDescent="0.25">
      <c r="AD44148"/>
    </row>
    <row r="44149" spans="30:30" x14ac:dyDescent="0.25">
      <c r="AD44149"/>
    </row>
    <row r="44150" spans="30:30" x14ac:dyDescent="0.25">
      <c r="AD44150"/>
    </row>
    <row r="44151" spans="30:30" x14ac:dyDescent="0.25">
      <c r="AD44151"/>
    </row>
    <row r="44152" spans="30:30" x14ac:dyDescent="0.25">
      <c r="AD44152"/>
    </row>
    <row r="44153" spans="30:30" x14ac:dyDescent="0.25">
      <c r="AD44153"/>
    </row>
    <row r="44154" spans="30:30" x14ac:dyDescent="0.25">
      <c r="AD44154"/>
    </row>
    <row r="44155" spans="30:30" x14ac:dyDescent="0.25">
      <c r="AD44155"/>
    </row>
    <row r="44156" spans="30:30" x14ac:dyDescent="0.25">
      <c r="AD44156"/>
    </row>
    <row r="44157" spans="30:30" x14ac:dyDescent="0.25">
      <c r="AD44157"/>
    </row>
    <row r="44158" spans="30:30" x14ac:dyDescent="0.25">
      <c r="AD44158"/>
    </row>
    <row r="44159" spans="30:30" x14ac:dyDescent="0.25">
      <c r="AD44159"/>
    </row>
    <row r="44160" spans="30:30" x14ac:dyDescent="0.25">
      <c r="AD44160"/>
    </row>
    <row r="44161" spans="30:30" x14ac:dyDescent="0.25">
      <c r="AD44161"/>
    </row>
    <row r="44162" spans="30:30" x14ac:dyDescent="0.25">
      <c r="AD44162"/>
    </row>
    <row r="44163" spans="30:30" x14ac:dyDescent="0.25">
      <c r="AD44163"/>
    </row>
    <row r="44164" spans="30:30" x14ac:dyDescent="0.25">
      <c r="AD44164"/>
    </row>
    <row r="44165" spans="30:30" x14ac:dyDescent="0.25">
      <c r="AD44165"/>
    </row>
    <row r="44166" spans="30:30" x14ac:dyDescent="0.25">
      <c r="AD44166"/>
    </row>
    <row r="44167" spans="30:30" x14ac:dyDescent="0.25">
      <c r="AD44167"/>
    </row>
    <row r="44168" spans="30:30" x14ac:dyDescent="0.25">
      <c r="AD44168"/>
    </row>
    <row r="44169" spans="30:30" x14ac:dyDescent="0.25">
      <c r="AD44169"/>
    </row>
    <row r="44170" spans="30:30" x14ac:dyDescent="0.25">
      <c r="AD44170"/>
    </row>
    <row r="44171" spans="30:30" x14ac:dyDescent="0.25">
      <c r="AD44171"/>
    </row>
    <row r="44172" spans="30:30" x14ac:dyDescent="0.25">
      <c r="AD44172"/>
    </row>
    <row r="44173" spans="30:30" x14ac:dyDescent="0.25">
      <c r="AD44173"/>
    </row>
    <row r="44174" spans="30:30" x14ac:dyDescent="0.25">
      <c r="AD44174"/>
    </row>
    <row r="44175" spans="30:30" x14ac:dyDescent="0.25">
      <c r="AD44175"/>
    </row>
    <row r="44176" spans="30:30" x14ac:dyDescent="0.25">
      <c r="AD44176"/>
    </row>
    <row r="44177" spans="30:30" x14ac:dyDescent="0.25">
      <c r="AD44177"/>
    </row>
    <row r="44178" spans="30:30" x14ac:dyDescent="0.25">
      <c r="AD44178"/>
    </row>
    <row r="44179" spans="30:30" x14ac:dyDescent="0.25">
      <c r="AD44179"/>
    </row>
    <row r="44180" spans="30:30" x14ac:dyDescent="0.25">
      <c r="AD44180"/>
    </row>
    <row r="44181" spans="30:30" x14ac:dyDescent="0.25">
      <c r="AD44181"/>
    </row>
    <row r="44182" spans="30:30" x14ac:dyDescent="0.25">
      <c r="AD44182"/>
    </row>
    <row r="44183" spans="30:30" x14ac:dyDescent="0.25">
      <c r="AD44183"/>
    </row>
    <row r="44184" spans="30:30" x14ac:dyDescent="0.25">
      <c r="AD44184"/>
    </row>
    <row r="44185" spans="30:30" x14ac:dyDescent="0.25">
      <c r="AD44185"/>
    </row>
    <row r="44186" spans="30:30" x14ac:dyDescent="0.25">
      <c r="AD44186"/>
    </row>
    <row r="44187" spans="30:30" x14ac:dyDescent="0.25">
      <c r="AD44187"/>
    </row>
    <row r="44188" spans="30:30" x14ac:dyDescent="0.25">
      <c r="AD44188"/>
    </row>
    <row r="44189" spans="30:30" x14ac:dyDescent="0.25">
      <c r="AD44189"/>
    </row>
    <row r="44190" spans="30:30" x14ac:dyDescent="0.25">
      <c r="AD44190"/>
    </row>
    <row r="44191" spans="30:30" x14ac:dyDescent="0.25">
      <c r="AD44191"/>
    </row>
    <row r="44192" spans="30:30" x14ac:dyDescent="0.25">
      <c r="AD44192"/>
    </row>
    <row r="44193" spans="30:30" x14ac:dyDescent="0.25">
      <c r="AD44193"/>
    </row>
    <row r="44194" spans="30:30" x14ac:dyDescent="0.25">
      <c r="AD44194"/>
    </row>
    <row r="44195" spans="30:30" x14ac:dyDescent="0.25">
      <c r="AD44195"/>
    </row>
    <row r="44196" spans="30:30" x14ac:dyDescent="0.25">
      <c r="AD44196"/>
    </row>
    <row r="44197" spans="30:30" x14ac:dyDescent="0.25">
      <c r="AD44197"/>
    </row>
    <row r="44198" spans="30:30" x14ac:dyDescent="0.25">
      <c r="AD44198"/>
    </row>
    <row r="44199" spans="30:30" x14ac:dyDescent="0.25">
      <c r="AD44199"/>
    </row>
    <row r="44200" spans="30:30" x14ac:dyDescent="0.25">
      <c r="AD44200"/>
    </row>
    <row r="44201" spans="30:30" x14ac:dyDescent="0.25">
      <c r="AD44201"/>
    </row>
    <row r="44202" spans="30:30" x14ac:dyDescent="0.25">
      <c r="AD44202"/>
    </row>
    <row r="44203" spans="30:30" x14ac:dyDescent="0.25">
      <c r="AD44203"/>
    </row>
    <row r="44204" spans="30:30" x14ac:dyDescent="0.25">
      <c r="AD44204"/>
    </row>
    <row r="44205" spans="30:30" x14ac:dyDescent="0.25">
      <c r="AD44205"/>
    </row>
    <row r="44206" spans="30:30" x14ac:dyDescent="0.25">
      <c r="AD44206"/>
    </row>
    <row r="44207" spans="30:30" x14ac:dyDescent="0.25">
      <c r="AD44207"/>
    </row>
    <row r="44208" spans="30:30" x14ac:dyDescent="0.25">
      <c r="AD44208"/>
    </row>
    <row r="44209" spans="30:30" x14ac:dyDescent="0.25">
      <c r="AD44209"/>
    </row>
    <row r="44210" spans="30:30" x14ac:dyDescent="0.25">
      <c r="AD44210"/>
    </row>
    <row r="44211" spans="30:30" x14ac:dyDescent="0.25">
      <c r="AD44211"/>
    </row>
    <row r="44212" spans="30:30" x14ac:dyDescent="0.25">
      <c r="AD44212"/>
    </row>
    <row r="44213" spans="30:30" x14ac:dyDescent="0.25">
      <c r="AD44213"/>
    </row>
    <row r="44214" spans="30:30" x14ac:dyDescent="0.25">
      <c r="AD44214"/>
    </row>
    <row r="44215" spans="30:30" x14ac:dyDescent="0.25">
      <c r="AD44215"/>
    </row>
    <row r="44216" spans="30:30" x14ac:dyDescent="0.25">
      <c r="AD44216"/>
    </row>
    <row r="44217" spans="30:30" x14ac:dyDescent="0.25">
      <c r="AD44217"/>
    </row>
    <row r="44218" spans="30:30" x14ac:dyDescent="0.25">
      <c r="AD44218"/>
    </row>
    <row r="44219" spans="30:30" x14ac:dyDescent="0.25">
      <c r="AD44219"/>
    </row>
    <row r="44220" spans="30:30" x14ac:dyDescent="0.25">
      <c r="AD44220"/>
    </row>
    <row r="44221" spans="30:30" x14ac:dyDescent="0.25">
      <c r="AD44221"/>
    </row>
    <row r="44222" spans="30:30" x14ac:dyDescent="0.25">
      <c r="AD44222"/>
    </row>
    <row r="44223" spans="30:30" x14ac:dyDescent="0.25">
      <c r="AD44223"/>
    </row>
    <row r="44224" spans="30:30" x14ac:dyDescent="0.25">
      <c r="AD44224"/>
    </row>
    <row r="44225" spans="30:30" x14ac:dyDescent="0.25">
      <c r="AD44225"/>
    </row>
    <row r="44226" spans="30:30" x14ac:dyDescent="0.25">
      <c r="AD44226"/>
    </row>
    <row r="44227" spans="30:30" x14ac:dyDescent="0.25">
      <c r="AD44227"/>
    </row>
    <row r="44228" spans="30:30" x14ac:dyDescent="0.25">
      <c r="AD44228"/>
    </row>
    <row r="44229" spans="30:30" x14ac:dyDescent="0.25">
      <c r="AD44229"/>
    </row>
    <row r="44230" spans="30:30" x14ac:dyDescent="0.25">
      <c r="AD44230"/>
    </row>
    <row r="44231" spans="30:30" x14ac:dyDescent="0.25">
      <c r="AD44231"/>
    </row>
    <row r="44232" spans="30:30" x14ac:dyDescent="0.25">
      <c r="AD44232"/>
    </row>
    <row r="44233" spans="30:30" x14ac:dyDescent="0.25">
      <c r="AD44233"/>
    </row>
    <row r="44234" spans="30:30" x14ac:dyDescent="0.25">
      <c r="AD44234"/>
    </row>
    <row r="44235" spans="30:30" x14ac:dyDescent="0.25">
      <c r="AD44235"/>
    </row>
    <row r="44236" spans="30:30" x14ac:dyDescent="0.25">
      <c r="AD44236"/>
    </row>
    <row r="44237" spans="30:30" x14ac:dyDescent="0.25">
      <c r="AD44237"/>
    </row>
    <row r="44238" spans="30:30" x14ac:dyDescent="0.25">
      <c r="AD44238"/>
    </row>
    <row r="44239" spans="30:30" x14ac:dyDescent="0.25">
      <c r="AD44239"/>
    </row>
    <row r="44240" spans="30:30" x14ac:dyDescent="0.25">
      <c r="AD44240"/>
    </row>
    <row r="44241" spans="30:30" x14ac:dyDescent="0.25">
      <c r="AD44241"/>
    </row>
    <row r="44242" spans="30:30" x14ac:dyDescent="0.25">
      <c r="AD44242"/>
    </row>
    <row r="44243" spans="30:30" x14ac:dyDescent="0.25">
      <c r="AD44243"/>
    </row>
    <row r="44244" spans="30:30" x14ac:dyDescent="0.25">
      <c r="AD44244"/>
    </row>
    <row r="44245" spans="30:30" x14ac:dyDescent="0.25">
      <c r="AD44245"/>
    </row>
    <row r="44246" spans="30:30" x14ac:dyDescent="0.25">
      <c r="AD44246"/>
    </row>
    <row r="44247" spans="30:30" x14ac:dyDescent="0.25">
      <c r="AD44247"/>
    </row>
    <row r="44248" spans="30:30" x14ac:dyDescent="0.25">
      <c r="AD44248"/>
    </row>
    <row r="44249" spans="30:30" x14ac:dyDescent="0.25">
      <c r="AD44249"/>
    </row>
    <row r="44250" spans="30:30" x14ac:dyDescent="0.25">
      <c r="AD44250"/>
    </row>
    <row r="44251" spans="30:30" x14ac:dyDescent="0.25">
      <c r="AD44251"/>
    </row>
    <row r="44252" spans="30:30" x14ac:dyDescent="0.25">
      <c r="AD44252"/>
    </row>
    <row r="44253" spans="30:30" x14ac:dyDescent="0.25">
      <c r="AD44253"/>
    </row>
    <row r="44254" spans="30:30" x14ac:dyDescent="0.25">
      <c r="AD44254"/>
    </row>
    <row r="44255" spans="30:30" x14ac:dyDescent="0.25">
      <c r="AD44255"/>
    </row>
    <row r="44256" spans="30:30" x14ac:dyDescent="0.25">
      <c r="AD44256"/>
    </row>
    <row r="44257" spans="30:30" x14ac:dyDescent="0.25">
      <c r="AD44257"/>
    </row>
    <row r="44258" spans="30:30" x14ac:dyDescent="0.25">
      <c r="AD44258"/>
    </row>
    <row r="44259" spans="30:30" x14ac:dyDescent="0.25">
      <c r="AD44259"/>
    </row>
    <row r="44260" spans="30:30" x14ac:dyDescent="0.25">
      <c r="AD44260"/>
    </row>
    <row r="44261" spans="30:30" x14ac:dyDescent="0.25">
      <c r="AD44261"/>
    </row>
    <row r="44262" spans="30:30" x14ac:dyDescent="0.25">
      <c r="AD44262"/>
    </row>
    <row r="44263" spans="30:30" x14ac:dyDescent="0.25">
      <c r="AD44263"/>
    </row>
    <row r="44264" spans="30:30" x14ac:dyDescent="0.25">
      <c r="AD44264"/>
    </row>
    <row r="44265" spans="30:30" x14ac:dyDescent="0.25">
      <c r="AD44265"/>
    </row>
    <row r="44266" spans="30:30" x14ac:dyDescent="0.25">
      <c r="AD44266"/>
    </row>
    <row r="44267" spans="30:30" x14ac:dyDescent="0.25">
      <c r="AD44267"/>
    </row>
    <row r="44268" spans="30:30" x14ac:dyDescent="0.25">
      <c r="AD44268"/>
    </row>
    <row r="44269" spans="30:30" x14ac:dyDescent="0.25">
      <c r="AD44269"/>
    </row>
    <row r="44270" spans="30:30" x14ac:dyDescent="0.25">
      <c r="AD44270"/>
    </row>
    <row r="44271" spans="30:30" x14ac:dyDescent="0.25">
      <c r="AD44271"/>
    </row>
    <row r="44272" spans="30:30" x14ac:dyDescent="0.25">
      <c r="AD44272"/>
    </row>
    <row r="44273" spans="30:30" x14ac:dyDescent="0.25">
      <c r="AD44273"/>
    </row>
    <row r="44274" spans="30:30" x14ac:dyDescent="0.25">
      <c r="AD44274"/>
    </row>
    <row r="44275" spans="30:30" x14ac:dyDescent="0.25">
      <c r="AD44275"/>
    </row>
    <row r="44276" spans="30:30" x14ac:dyDescent="0.25">
      <c r="AD44276"/>
    </row>
    <row r="44277" spans="30:30" x14ac:dyDescent="0.25">
      <c r="AD44277"/>
    </row>
    <row r="44278" spans="30:30" x14ac:dyDescent="0.25">
      <c r="AD44278"/>
    </row>
    <row r="44279" spans="30:30" x14ac:dyDescent="0.25">
      <c r="AD44279"/>
    </row>
    <row r="44280" spans="30:30" x14ac:dyDescent="0.25">
      <c r="AD44280"/>
    </row>
    <row r="44281" spans="30:30" x14ac:dyDescent="0.25">
      <c r="AD44281"/>
    </row>
    <row r="44282" spans="30:30" x14ac:dyDescent="0.25">
      <c r="AD44282"/>
    </row>
    <row r="44283" spans="30:30" x14ac:dyDescent="0.25">
      <c r="AD44283"/>
    </row>
    <row r="44284" spans="30:30" x14ac:dyDescent="0.25">
      <c r="AD44284"/>
    </row>
    <row r="44285" spans="30:30" x14ac:dyDescent="0.25">
      <c r="AD44285"/>
    </row>
    <row r="44286" spans="30:30" x14ac:dyDescent="0.25">
      <c r="AD44286"/>
    </row>
    <row r="44287" spans="30:30" x14ac:dyDescent="0.25">
      <c r="AD44287"/>
    </row>
    <row r="44288" spans="30:30" x14ac:dyDescent="0.25">
      <c r="AD44288"/>
    </row>
    <row r="44289" spans="30:30" x14ac:dyDescent="0.25">
      <c r="AD44289"/>
    </row>
    <row r="44290" spans="30:30" x14ac:dyDescent="0.25">
      <c r="AD44290"/>
    </row>
    <row r="44291" spans="30:30" x14ac:dyDescent="0.25">
      <c r="AD44291"/>
    </row>
    <row r="44292" spans="30:30" x14ac:dyDescent="0.25">
      <c r="AD44292"/>
    </row>
    <row r="44293" spans="30:30" x14ac:dyDescent="0.25">
      <c r="AD44293"/>
    </row>
    <row r="44294" spans="30:30" x14ac:dyDescent="0.25">
      <c r="AD44294"/>
    </row>
    <row r="44295" spans="30:30" x14ac:dyDescent="0.25">
      <c r="AD44295"/>
    </row>
    <row r="44296" spans="30:30" x14ac:dyDescent="0.25">
      <c r="AD44296"/>
    </row>
    <row r="44297" spans="30:30" x14ac:dyDescent="0.25">
      <c r="AD44297"/>
    </row>
    <row r="44298" spans="30:30" x14ac:dyDescent="0.25">
      <c r="AD44298"/>
    </row>
    <row r="44299" spans="30:30" x14ac:dyDescent="0.25">
      <c r="AD44299"/>
    </row>
    <row r="44300" spans="30:30" x14ac:dyDescent="0.25">
      <c r="AD44300"/>
    </row>
    <row r="44301" spans="30:30" x14ac:dyDescent="0.25">
      <c r="AD44301"/>
    </row>
    <row r="44302" spans="30:30" x14ac:dyDescent="0.25">
      <c r="AD44302"/>
    </row>
    <row r="44303" spans="30:30" x14ac:dyDescent="0.25">
      <c r="AD44303"/>
    </row>
    <row r="44304" spans="30:30" x14ac:dyDescent="0.25">
      <c r="AD44304"/>
    </row>
    <row r="44305" spans="30:30" x14ac:dyDescent="0.25">
      <c r="AD44305"/>
    </row>
    <row r="44306" spans="30:30" x14ac:dyDescent="0.25">
      <c r="AD44306"/>
    </row>
    <row r="44307" spans="30:30" x14ac:dyDescent="0.25">
      <c r="AD44307"/>
    </row>
    <row r="44308" spans="30:30" x14ac:dyDescent="0.25">
      <c r="AD44308"/>
    </row>
    <row r="44309" spans="30:30" x14ac:dyDescent="0.25">
      <c r="AD44309"/>
    </row>
    <row r="44310" spans="30:30" x14ac:dyDescent="0.25">
      <c r="AD44310"/>
    </row>
    <row r="44311" spans="30:30" x14ac:dyDescent="0.25">
      <c r="AD44311"/>
    </row>
    <row r="44312" spans="30:30" x14ac:dyDescent="0.25">
      <c r="AD44312"/>
    </row>
    <row r="44313" spans="30:30" x14ac:dyDescent="0.25">
      <c r="AD44313"/>
    </row>
    <row r="44314" spans="30:30" x14ac:dyDescent="0.25">
      <c r="AD44314"/>
    </row>
    <row r="44315" spans="30:30" x14ac:dyDescent="0.25">
      <c r="AD44315"/>
    </row>
    <row r="44316" spans="30:30" x14ac:dyDescent="0.25">
      <c r="AD44316"/>
    </row>
    <row r="44317" spans="30:30" x14ac:dyDescent="0.25">
      <c r="AD44317"/>
    </row>
    <row r="44318" spans="30:30" x14ac:dyDescent="0.25">
      <c r="AD44318"/>
    </row>
    <row r="44319" spans="30:30" x14ac:dyDescent="0.25">
      <c r="AD44319"/>
    </row>
    <row r="44320" spans="30:30" x14ac:dyDescent="0.25">
      <c r="AD44320"/>
    </row>
    <row r="44321" spans="30:30" x14ac:dyDescent="0.25">
      <c r="AD44321"/>
    </row>
    <row r="44322" spans="30:30" x14ac:dyDescent="0.25">
      <c r="AD44322"/>
    </row>
    <row r="44323" spans="30:30" x14ac:dyDescent="0.25">
      <c r="AD44323"/>
    </row>
    <row r="44324" spans="30:30" x14ac:dyDescent="0.25">
      <c r="AD44324"/>
    </row>
    <row r="44325" spans="30:30" x14ac:dyDescent="0.25">
      <c r="AD44325"/>
    </row>
    <row r="44326" spans="30:30" x14ac:dyDescent="0.25">
      <c r="AD44326"/>
    </row>
    <row r="44327" spans="30:30" x14ac:dyDescent="0.25">
      <c r="AD44327"/>
    </row>
    <row r="44328" spans="30:30" x14ac:dyDescent="0.25">
      <c r="AD44328"/>
    </row>
    <row r="44329" spans="30:30" x14ac:dyDescent="0.25">
      <c r="AD44329"/>
    </row>
    <row r="44330" spans="30:30" x14ac:dyDescent="0.25">
      <c r="AD44330"/>
    </row>
    <row r="44331" spans="30:30" x14ac:dyDescent="0.25">
      <c r="AD44331"/>
    </row>
    <row r="44332" spans="30:30" x14ac:dyDescent="0.25">
      <c r="AD44332"/>
    </row>
    <row r="44333" spans="30:30" x14ac:dyDescent="0.25">
      <c r="AD44333"/>
    </row>
    <row r="44334" spans="30:30" x14ac:dyDescent="0.25">
      <c r="AD44334"/>
    </row>
    <row r="44335" spans="30:30" x14ac:dyDescent="0.25">
      <c r="AD44335"/>
    </row>
    <row r="44336" spans="30:30" x14ac:dyDescent="0.25">
      <c r="AD44336"/>
    </row>
    <row r="44337" spans="30:30" x14ac:dyDescent="0.25">
      <c r="AD44337"/>
    </row>
    <row r="44338" spans="30:30" x14ac:dyDescent="0.25">
      <c r="AD44338"/>
    </row>
    <row r="44339" spans="30:30" x14ac:dyDescent="0.25">
      <c r="AD44339"/>
    </row>
    <row r="44340" spans="30:30" x14ac:dyDescent="0.25">
      <c r="AD44340"/>
    </row>
    <row r="44341" spans="30:30" x14ac:dyDescent="0.25">
      <c r="AD44341"/>
    </row>
    <row r="44342" spans="30:30" x14ac:dyDescent="0.25">
      <c r="AD44342"/>
    </row>
    <row r="44343" spans="30:30" x14ac:dyDescent="0.25">
      <c r="AD44343"/>
    </row>
    <row r="44344" spans="30:30" x14ac:dyDescent="0.25">
      <c r="AD44344"/>
    </row>
    <row r="44345" spans="30:30" x14ac:dyDescent="0.25">
      <c r="AD44345"/>
    </row>
    <row r="44346" spans="30:30" x14ac:dyDescent="0.25">
      <c r="AD44346"/>
    </row>
    <row r="44347" spans="30:30" x14ac:dyDescent="0.25">
      <c r="AD44347"/>
    </row>
    <row r="44348" spans="30:30" x14ac:dyDescent="0.25">
      <c r="AD44348"/>
    </row>
    <row r="44349" spans="30:30" x14ac:dyDescent="0.25">
      <c r="AD44349"/>
    </row>
    <row r="44350" spans="30:30" x14ac:dyDescent="0.25">
      <c r="AD44350"/>
    </row>
    <row r="44351" spans="30:30" x14ac:dyDescent="0.25">
      <c r="AD44351"/>
    </row>
    <row r="44352" spans="30:30" x14ac:dyDescent="0.25">
      <c r="AD44352"/>
    </row>
    <row r="44353" spans="30:30" x14ac:dyDescent="0.25">
      <c r="AD44353"/>
    </row>
    <row r="44354" spans="30:30" x14ac:dyDescent="0.25">
      <c r="AD44354"/>
    </row>
    <row r="44355" spans="30:30" x14ac:dyDescent="0.25">
      <c r="AD44355"/>
    </row>
    <row r="44356" spans="30:30" x14ac:dyDescent="0.25">
      <c r="AD44356"/>
    </row>
    <row r="44357" spans="30:30" x14ac:dyDescent="0.25">
      <c r="AD44357"/>
    </row>
    <row r="44358" spans="30:30" x14ac:dyDescent="0.25">
      <c r="AD44358"/>
    </row>
    <row r="44359" spans="30:30" x14ac:dyDescent="0.25">
      <c r="AD44359"/>
    </row>
    <row r="44360" spans="30:30" x14ac:dyDescent="0.25">
      <c r="AD44360"/>
    </row>
    <row r="44361" spans="30:30" x14ac:dyDescent="0.25">
      <c r="AD44361"/>
    </row>
    <row r="44362" spans="30:30" x14ac:dyDescent="0.25">
      <c r="AD44362"/>
    </row>
    <row r="44363" spans="30:30" x14ac:dyDescent="0.25">
      <c r="AD44363"/>
    </row>
    <row r="44364" spans="30:30" x14ac:dyDescent="0.25">
      <c r="AD44364"/>
    </row>
    <row r="44365" spans="30:30" x14ac:dyDescent="0.25">
      <c r="AD44365"/>
    </row>
    <row r="44366" spans="30:30" x14ac:dyDescent="0.25">
      <c r="AD44366"/>
    </row>
    <row r="44367" spans="30:30" x14ac:dyDescent="0.25">
      <c r="AD44367"/>
    </row>
    <row r="44368" spans="30:30" x14ac:dyDescent="0.25">
      <c r="AD44368"/>
    </row>
    <row r="44369" spans="30:30" x14ac:dyDescent="0.25">
      <c r="AD44369"/>
    </row>
    <row r="44370" spans="30:30" x14ac:dyDescent="0.25">
      <c r="AD44370"/>
    </row>
    <row r="44371" spans="30:30" x14ac:dyDescent="0.25">
      <c r="AD44371"/>
    </row>
    <row r="44372" spans="30:30" x14ac:dyDescent="0.25">
      <c r="AD44372"/>
    </row>
    <row r="44373" spans="30:30" x14ac:dyDescent="0.25">
      <c r="AD44373"/>
    </row>
    <row r="44374" spans="30:30" x14ac:dyDescent="0.25">
      <c r="AD44374"/>
    </row>
    <row r="44375" spans="30:30" x14ac:dyDescent="0.25">
      <c r="AD44375"/>
    </row>
    <row r="44376" spans="30:30" x14ac:dyDescent="0.25">
      <c r="AD44376"/>
    </row>
    <row r="44377" spans="30:30" x14ac:dyDescent="0.25">
      <c r="AD44377"/>
    </row>
    <row r="44378" spans="30:30" x14ac:dyDescent="0.25">
      <c r="AD44378"/>
    </row>
    <row r="44379" spans="30:30" x14ac:dyDescent="0.25">
      <c r="AD44379"/>
    </row>
    <row r="44380" spans="30:30" x14ac:dyDescent="0.25">
      <c r="AD44380"/>
    </row>
    <row r="44381" spans="30:30" x14ac:dyDescent="0.25">
      <c r="AD44381"/>
    </row>
    <row r="44382" spans="30:30" x14ac:dyDescent="0.25">
      <c r="AD44382"/>
    </row>
    <row r="44383" spans="30:30" x14ac:dyDescent="0.25">
      <c r="AD44383"/>
    </row>
    <row r="44384" spans="30:30" x14ac:dyDescent="0.25">
      <c r="AD44384"/>
    </row>
    <row r="44385" spans="30:30" x14ac:dyDescent="0.25">
      <c r="AD44385"/>
    </row>
    <row r="44386" spans="30:30" x14ac:dyDescent="0.25">
      <c r="AD44386"/>
    </row>
    <row r="44387" spans="30:30" x14ac:dyDescent="0.25">
      <c r="AD44387"/>
    </row>
    <row r="44388" spans="30:30" x14ac:dyDescent="0.25">
      <c r="AD44388"/>
    </row>
    <row r="44389" spans="30:30" x14ac:dyDescent="0.25">
      <c r="AD44389"/>
    </row>
    <row r="44390" spans="30:30" x14ac:dyDescent="0.25">
      <c r="AD44390"/>
    </row>
    <row r="44391" spans="30:30" x14ac:dyDescent="0.25">
      <c r="AD44391"/>
    </row>
    <row r="44392" spans="30:30" x14ac:dyDescent="0.25">
      <c r="AD44392"/>
    </row>
    <row r="44393" spans="30:30" x14ac:dyDescent="0.25">
      <c r="AD44393"/>
    </row>
    <row r="44394" spans="30:30" x14ac:dyDescent="0.25">
      <c r="AD44394"/>
    </row>
    <row r="44395" spans="30:30" x14ac:dyDescent="0.25">
      <c r="AD44395"/>
    </row>
    <row r="44396" spans="30:30" x14ac:dyDescent="0.25">
      <c r="AD44396"/>
    </row>
    <row r="44397" spans="30:30" x14ac:dyDescent="0.25">
      <c r="AD44397"/>
    </row>
    <row r="44398" spans="30:30" x14ac:dyDescent="0.25">
      <c r="AD44398"/>
    </row>
    <row r="44399" spans="30:30" x14ac:dyDescent="0.25">
      <c r="AD44399"/>
    </row>
    <row r="44400" spans="30:30" x14ac:dyDescent="0.25">
      <c r="AD44400"/>
    </row>
    <row r="44401" spans="30:30" x14ac:dyDescent="0.25">
      <c r="AD44401"/>
    </row>
    <row r="44402" spans="30:30" x14ac:dyDescent="0.25">
      <c r="AD44402"/>
    </row>
    <row r="44403" spans="30:30" x14ac:dyDescent="0.25">
      <c r="AD44403"/>
    </row>
    <row r="44404" spans="30:30" x14ac:dyDescent="0.25">
      <c r="AD44404"/>
    </row>
    <row r="44405" spans="30:30" x14ac:dyDescent="0.25">
      <c r="AD44405"/>
    </row>
    <row r="44406" spans="30:30" x14ac:dyDescent="0.25">
      <c r="AD44406"/>
    </row>
    <row r="44407" spans="30:30" x14ac:dyDescent="0.25">
      <c r="AD44407"/>
    </row>
    <row r="44408" spans="30:30" x14ac:dyDescent="0.25">
      <c r="AD44408"/>
    </row>
    <row r="44409" spans="30:30" x14ac:dyDescent="0.25">
      <c r="AD44409"/>
    </row>
    <row r="44410" spans="30:30" x14ac:dyDescent="0.25">
      <c r="AD44410"/>
    </row>
    <row r="44411" spans="30:30" x14ac:dyDescent="0.25">
      <c r="AD44411"/>
    </row>
    <row r="44412" spans="30:30" x14ac:dyDescent="0.25">
      <c r="AD44412"/>
    </row>
    <row r="44413" spans="30:30" x14ac:dyDescent="0.25">
      <c r="AD44413"/>
    </row>
    <row r="44414" spans="30:30" x14ac:dyDescent="0.25">
      <c r="AD44414"/>
    </row>
    <row r="44415" spans="30:30" x14ac:dyDescent="0.25">
      <c r="AD44415"/>
    </row>
    <row r="44416" spans="30:30" x14ac:dyDescent="0.25">
      <c r="AD44416"/>
    </row>
    <row r="44417" spans="30:30" x14ac:dyDescent="0.25">
      <c r="AD44417"/>
    </row>
    <row r="44418" spans="30:30" x14ac:dyDescent="0.25">
      <c r="AD44418"/>
    </row>
    <row r="44419" spans="30:30" x14ac:dyDescent="0.25">
      <c r="AD44419"/>
    </row>
    <row r="44420" spans="30:30" x14ac:dyDescent="0.25">
      <c r="AD44420"/>
    </row>
    <row r="44421" spans="30:30" x14ac:dyDescent="0.25">
      <c r="AD44421"/>
    </row>
    <row r="44422" spans="30:30" x14ac:dyDescent="0.25">
      <c r="AD44422"/>
    </row>
    <row r="44423" spans="30:30" x14ac:dyDescent="0.25">
      <c r="AD44423"/>
    </row>
    <row r="44424" spans="30:30" x14ac:dyDescent="0.25">
      <c r="AD44424"/>
    </row>
    <row r="44425" spans="30:30" x14ac:dyDescent="0.25">
      <c r="AD44425"/>
    </row>
    <row r="44426" spans="30:30" x14ac:dyDescent="0.25">
      <c r="AD44426"/>
    </row>
    <row r="44427" spans="30:30" x14ac:dyDescent="0.25">
      <c r="AD44427"/>
    </row>
    <row r="44428" spans="30:30" x14ac:dyDescent="0.25">
      <c r="AD44428"/>
    </row>
    <row r="44429" spans="30:30" x14ac:dyDescent="0.25">
      <c r="AD44429"/>
    </row>
    <row r="44430" spans="30:30" x14ac:dyDescent="0.25">
      <c r="AD44430"/>
    </row>
    <row r="44431" spans="30:30" x14ac:dyDescent="0.25">
      <c r="AD44431"/>
    </row>
    <row r="44432" spans="30:30" x14ac:dyDescent="0.25">
      <c r="AD44432"/>
    </row>
    <row r="44433" spans="30:30" x14ac:dyDescent="0.25">
      <c r="AD44433"/>
    </row>
    <row r="44434" spans="30:30" x14ac:dyDescent="0.25">
      <c r="AD44434"/>
    </row>
    <row r="44435" spans="30:30" x14ac:dyDescent="0.25">
      <c r="AD44435"/>
    </row>
    <row r="44436" spans="30:30" x14ac:dyDescent="0.25">
      <c r="AD44436"/>
    </row>
    <row r="44437" spans="30:30" x14ac:dyDescent="0.25">
      <c r="AD44437"/>
    </row>
    <row r="44438" spans="30:30" x14ac:dyDescent="0.25">
      <c r="AD44438"/>
    </row>
    <row r="44439" spans="30:30" x14ac:dyDescent="0.25">
      <c r="AD44439"/>
    </row>
    <row r="44440" spans="30:30" x14ac:dyDescent="0.25">
      <c r="AD44440"/>
    </row>
    <row r="44441" spans="30:30" x14ac:dyDescent="0.25">
      <c r="AD44441"/>
    </row>
    <row r="44442" spans="30:30" x14ac:dyDescent="0.25">
      <c r="AD44442"/>
    </row>
    <row r="44443" spans="30:30" x14ac:dyDescent="0.25">
      <c r="AD44443"/>
    </row>
    <row r="44444" spans="30:30" x14ac:dyDescent="0.25">
      <c r="AD44444"/>
    </row>
    <row r="44445" spans="30:30" x14ac:dyDescent="0.25">
      <c r="AD44445"/>
    </row>
    <row r="44446" spans="30:30" x14ac:dyDescent="0.25">
      <c r="AD44446"/>
    </row>
    <row r="44447" spans="30:30" x14ac:dyDescent="0.25">
      <c r="AD44447"/>
    </row>
    <row r="44448" spans="30:30" x14ac:dyDescent="0.25">
      <c r="AD44448"/>
    </row>
    <row r="44449" spans="30:30" x14ac:dyDescent="0.25">
      <c r="AD44449"/>
    </row>
    <row r="44450" spans="30:30" x14ac:dyDescent="0.25">
      <c r="AD44450"/>
    </row>
    <row r="44451" spans="30:30" x14ac:dyDescent="0.25">
      <c r="AD44451"/>
    </row>
    <row r="44452" spans="30:30" x14ac:dyDescent="0.25">
      <c r="AD44452"/>
    </row>
    <row r="44453" spans="30:30" x14ac:dyDescent="0.25">
      <c r="AD44453"/>
    </row>
    <row r="44454" spans="30:30" x14ac:dyDescent="0.25">
      <c r="AD44454"/>
    </row>
    <row r="44455" spans="30:30" x14ac:dyDescent="0.25">
      <c r="AD44455"/>
    </row>
    <row r="44456" spans="30:30" x14ac:dyDescent="0.25">
      <c r="AD44456"/>
    </row>
    <row r="44457" spans="30:30" x14ac:dyDescent="0.25">
      <c r="AD44457"/>
    </row>
    <row r="44458" spans="30:30" x14ac:dyDescent="0.25">
      <c r="AD44458"/>
    </row>
    <row r="44459" spans="30:30" x14ac:dyDescent="0.25">
      <c r="AD44459"/>
    </row>
    <row r="44460" spans="30:30" x14ac:dyDescent="0.25">
      <c r="AD44460"/>
    </row>
    <row r="44461" spans="30:30" x14ac:dyDescent="0.25">
      <c r="AD44461"/>
    </row>
    <row r="44462" spans="30:30" x14ac:dyDescent="0.25">
      <c r="AD44462"/>
    </row>
    <row r="44463" spans="30:30" x14ac:dyDescent="0.25">
      <c r="AD44463"/>
    </row>
    <row r="44464" spans="30:30" x14ac:dyDescent="0.25">
      <c r="AD44464"/>
    </row>
    <row r="44465" spans="30:30" x14ac:dyDescent="0.25">
      <c r="AD44465"/>
    </row>
    <row r="44466" spans="30:30" x14ac:dyDescent="0.25">
      <c r="AD44466"/>
    </row>
    <row r="44467" spans="30:30" x14ac:dyDescent="0.25">
      <c r="AD44467"/>
    </row>
    <row r="44468" spans="30:30" x14ac:dyDescent="0.25">
      <c r="AD44468"/>
    </row>
    <row r="44469" spans="30:30" x14ac:dyDescent="0.25">
      <c r="AD44469"/>
    </row>
    <row r="44470" spans="30:30" x14ac:dyDescent="0.25">
      <c r="AD44470"/>
    </row>
    <row r="44471" spans="30:30" x14ac:dyDescent="0.25">
      <c r="AD44471"/>
    </row>
    <row r="44472" spans="30:30" x14ac:dyDescent="0.25">
      <c r="AD44472"/>
    </row>
    <row r="44473" spans="30:30" x14ac:dyDescent="0.25">
      <c r="AD44473"/>
    </row>
    <row r="44474" spans="30:30" x14ac:dyDescent="0.25">
      <c r="AD44474"/>
    </row>
    <row r="44475" spans="30:30" x14ac:dyDescent="0.25">
      <c r="AD44475"/>
    </row>
    <row r="44476" spans="30:30" x14ac:dyDescent="0.25">
      <c r="AD44476"/>
    </row>
    <row r="44477" spans="30:30" x14ac:dyDescent="0.25">
      <c r="AD44477"/>
    </row>
    <row r="44478" spans="30:30" x14ac:dyDescent="0.25">
      <c r="AD44478"/>
    </row>
    <row r="44479" spans="30:30" x14ac:dyDescent="0.25">
      <c r="AD44479"/>
    </row>
    <row r="44480" spans="30:30" x14ac:dyDescent="0.25">
      <c r="AD44480"/>
    </row>
    <row r="44481" spans="30:30" x14ac:dyDescent="0.25">
      <c r="AD44481"/>
    </row>
    <row r="44482" spans="30:30" x14ac:dyDescent="0.25">
      <c r="AD44482"/>
    </row>
    <row r="44483" spans="30:30" x14ac:dyDescent="0.25">
      <c r="AD44483"/>
    </row>
    <row r="44484" spans="30:30" x14ac:dyDescent="0.25">
      <c r="AD44484"/>
    </row>
    <row r="44485" spans="30:30" x14ac:dyDescent="0.25">
      <c r="AD44485"/>
    </row>
    <row r="44486" spans="30:30" x14ac:dyDescent="0.25">
      <c r="AD44486"/>
    </row>
    <row r="44487" spans="30:30" x14ac:dyDescent="0.25">
      <c r="AD44487"/>
    </row>
    <row r="44488" spans="30:30" x14ac:dyDescent="0.25">
      <c r="AD44488"/>
    </row>
    <row r="44489" spans="30:30" x14ac:dyDescent="0.25">
      <c r="AD44489"/>
    </row>
    <row r="44490" spans="30:30" x14ac:dyDescent="0.25">
      <c r="AD44490"/>
    </row>
    <row r="44491" spans="30:30" x14ac:dyDescent="0.25">
      <c r="AD44491"/>
    </row>
    <row r="44492" spans="30:30" x14ac:dyDescent="0.25">
      <c r="AD44492"/>
    </row>
    <row r="44493" spans="30:30" x14ac:dyDescent="0.25">
      <c r="AD44493"/>
    </row>
    <row r="44494" spans="30:30" x14ac:dyDescent="0.25">
      <c r="AD44494"/>
    </row>
    <row r="44495" spans="30:30" x14ac:dyDescent="0.25">
      <c r="AD44495"/>
    </row>
    <row r="44496" spans="30:30" x14ac:dyDescent="0.25">
      <c r="AD44496"/>
    </row>
    <row r="44497" spans="30:30" x14ac:dyDescent="0.25">
      <c r="AD44497"/>
    </row>
    <row r="44498" spans="30:30" x14ac:dyDescent="0.25">
      <c r="AD44498"/>
    </row>
    <row r="44499" spans="30:30" x14ac:dyDescent="0.25">
      <c r="AD44499"/>
    </row>
    <row r="44500" spans="30:30" x14ac:dyDescent="0.25">
      <c r="AD44500"/>
    </row>
    <row r="44501" spans="30:30" x14ac:dyDescent="0.25">
      <c r="AD44501"/>
    </row>
    <row r="44502" spans="30:30" x14ac:dyDescent="0.25">
      <c r="AD44502"/>
    </row>
    <row r="44503" spans="30:30" x14ac:dyDescent="0.25">
      <c r="AD44503"/>
    </row>
    <row r="44504" spans="30:30" x14ac:dyDescent="0.25">
      <c r="AD44504"/>
    </row>
    <row r="44505" spans="30:30" x14ac:dyDescent="0.25">
      <c r="AD44505"/>
    </row>
    <row r="44506" spans="30:30" x14ac:dyDescent="0.25">
      <c r="AD44506"/>
    </row>
    <row r="44507" spans="30:30" x14ac:dyDescent="0.25">
      <c r="AD44507"/>
    </row>
    <row r="44508" spans="30:30" x14ac:dyDescent="0.25">
      <c r="AD44508"/>
    </row>
    <row r="44509" spans="30:30" x14ac:dyDescent="0.25">
      <c r="AD44509"/>
    </row>
    <row r="44510" spans="30:30" x14ac:dyDescent="0.25">
      <c r="AD44510"/>
    </row>
    <row r="44511" spans="30:30" x14ac:dyDescent="0.25">
      <c r="AD44511"/>
    </row>
    <row r="44512" spans="30:30" x14ac:dyDescent="0.25">
      <c r="AD44512"/>
    </row>
    <row r="44513" spans="30:30" x14ac:dyDescent="0.25">
      <c r="AD44513"/>
    </row>
    <row r="44514" spans="30:30" x14ac:dyDescent="0.25">
      <c r="AD44514"/>
    </row>
    <row r="44515" spans="30:30" x14ac:dyDescent="0.25">
      <c r="AD44515"/>
    </row>
    <row r="44516" spans="30:30" x14ac:dyDescent="0.25">
      <c r="AD44516"/>
    </row>
    <row r="44517" spans="30:30" x14ac:dyDescent="0.25">
      <c r="AD44517"/>
    </row>
    <row r="44518" spans="30:30" x14ac:dyDescent="0.25">
      <c r="AD44518"/>
    </row>
    <row r="44519" spans="30:30" x14ac:dyDescent="0.25">
      <c r="AD44519"/>
    </row>
    <row r="44520" spans="30:30" x14ac:dyDescent="0.25">
      <c r="AD44520"/>
    </row>
    <row r="44521" spans="30:30" x14ac:dyDescent="0.25">
      <c r="AD44521"/>
    </row>
    <row r="44522" spans="30:30" x14ac:dyDescent="0.25">
      <c r="AD44522"/>
    </row>
    <row r="44523" spans="30:30" x14ac:dyDescent="0.25">
      <c r="AD44523"/>
    </row>
    <row r="44524" spans="30:30" x14ac:dyDescent="0.25">
      <c r="AD44524"/>
    </row>
    <row r="44525" spans="30:30" x14ac:dyDescent="0.25">
      <c r="AD44525"/>
    </row>
    <row r="44526" spans="30:30" x14ac:dyDescent="0.25">
      <c r="AD44526"/>
    </row>
    <row r="44527" spans="30:30" x14ac:dyDescent="0.25">
      <c r="AD44527"/>
    </row>
    <row r="44528" spans="30:30" x14ac:dyDescent="0.25">
      <c r="AD44528"/>
    </row>
    <row r="44529" spans="30:30" x14ac:dyDescent="0.25">
      <c r="AD44529"/>
    </row>
    <row r="44530" spans="30:30" x14ac:dyDescent="0.25">
      <c r="AD44530"/>
    </row>
    <row r="44531" spans="30:30" x14ac:dyDescent="0.25">
      <c r="AD44531"/>
    </row>
    <row r="44532" spans="30:30" x14ac:dyDescent="0.25">
      <c r="AD44532"/>
    </row>
    <row r="44533" spans="30:30" x14ac:dyDescent="0.25">
      <c r="AD44533"/>
    </row>
    <row r="44534" spans="30:30" x14ac:dyDescent="0.25">
      <c r="AD44534"/>
    </row>
    <row r="44535" spans="30:30" x14ac:dyDescent="0.25">
      <c r="AD44535"/>
    </row>
    <row r="44536" spans="30:30" x14ac:dyDescent="0.25">
      <c r="AD44536"/>
    </row>
    <row r="44537" spans="30:30" x14ac:dyDescent="0.25">
      <c r="AD44537"/>
    </row>
    <row r="44538" spans="30:30" x14ac:dyDescent="0.25">
      <c r="AD44538"/>
    </row>
    <row r="44539" spans="30:30" x14ac:dyDescent="0.25">
      <c r="AD44539"/>
    </row>
    <row r="44540" spans="30:30" x14ac:dyDescent="0.25">
      <c r="AD44540"/>
    </row>
    <row r="44541" spans="30:30" x14ac:dyDescent="0.25">
      <c r="AD44541"/>
    </row>
    <row r="44542" spans="30:30" x14ac:dyDescent="0.25">
      <c r="AD44542"/>
    </row>
    <row r="44543" spans="30:30" x14ac:dyDescent="0.25">
      <c r="AD44543"/>
    </row>
    <row r="44544" spans="30:30" x14ac:dyDescent="0.25">
      <c r="AD44544"/>
    </row>
    <row r="44545" spans="30:30" x14ac:dyDescent="0.25">
      <c r="AD44545"/>
    </row>
    <row r="44546" spans="30:30" x14ac:dyDescent="0.25">
      <c r="AD44546"/>
    </row>
    <row r="44547" spans="30:30" x14ac:dyDescent="0.25">
      <c r="AD44547"/>
    </row>
    <row r="44548" spans="30:30" x14ac:dyDescent="0.25">
      <c r="AD44548"/>
    </row>
    <row r="44549" spans="30:30" x14ac:dyDescent="0.25">
      <c r="AD44549"/>
    </row>
    <row r="44550" spans="30:30" x14ac:dyDescent="0.25">
      <c r="AD44550"/>
    </row>
    <row r="44551" spans="30:30" x14ac:dyDescent="0.25">
      <c r="AD44551"/>
    </row>
    <row r="44552" spans="30:30" x14ac:dyDescent="0.25">
      <c r="AD44552"/>
    </row>
    <row r="44553" spans="30:30" x14ac:dyDescent="0.25">
      <c r="AD44553"/>
    </row>
    <row r="44554" spans="30:30" x14ac:dyDescent="0.25">
      <c r="AD44554"/>
    </row>
    <row r="44555" spans="30:30" x14ac:dyDescent="0.25">
      <c r="AD44555"/>
    </row>
    <row r="44556" spans="30:30" x14ac:dyDescent="0.25">
      <c r="AD44556"/>
    </row>
    <row r="44557" spans="30:30" x14ac:dyDescent="0.25">
      <c r="AD44557"/>
    </row>
    <row r="44558" spans="30:30" x14ac:dyDescent="0.25">
      <c r="AD44558"/>
    </row>
    <row r="44559" spans="30:30" x14ac:dyDescent="0.25">
      <c r="AD44559"/>
    </row>
    <row r="44560" spans="30:30" x14ac:dyDescent="0.25">
      <c r="AD44560"/>
    </row>
    <row r="44561" spans="30:30" x14ac:dyDescent="0.25">
      <c r="AD44561"/>
    </row>
    <row r="44562" spans="30:30" x14ac:dyDescent="0.25">
      <c r="AD44562"/>
    </row>
    <row r="44563" spans="30:30" x14ac:dyDescent="0.25">
      <c r="AD44563"/>
    </row>
    <row r="44564" spans="30:30" x14ac:dyDescent="0.25">
      <c r="AD44564"/>
    </row>
    <row r="44565" spans="30:30" x14ac:dyDescent="0.25">
      <c r="AD44565"/>
    </row>
    <row r="44566" spans="30:30" x14ac:dyDescent="0.25">
      <c r="AD44566"/>
    </row>
    <row r="44567" spans="30:30" x14ac:dyDescent="0.25">
      <c r="AD44567"/>
    </row>
    <row r="44568" spans="30:30" x14ac:dyDescent="0.25">
      <c r="AD44568"/>
    </row>
    <row r="44569" spans="30:30" x14ac:dyDescent="0.25">
      <c r="AD44569"/>
    </row>
    <row r="44570" spans="30:30" x14ac:dyDescent="0.25">
      <c r="AD44570"/>
    </row>
    <row r="44571" spans="30:30" x14ac:dyDescent="0.25">
      <c r="AD44571"/>
    </row>
    <row r="44572" spans="30:30" x14ac:dyDescent="0.25">
      <c r="AD44572"/>
    </row>
    <row r="44573" spans="30:30" x14ac:dyDescent="0.25">
      <c r="AD44573"/>
    </row>
    <row r="44574" spans="30:30" x14ac:dyDescent="0.25">
      <c r="AD44574"/>
    </row>
    <row r="44575" spans="30:30" x14ac:dyDescent="0.25">
      <c r="AD44575"/>
    </row>
    <row r="44576" spans="30:30" x14ac:dyDescent="0.25">
      <c r="AD44576"/>
    </row>
    <row r="44577" spans="30:30" x14ac:dyDescent="0.25">
      <c r="AD44577"/>
    </row>
    <row r="44578" spans="30:30" x14ac:dyDescent="0.25">
      <c r="AD44578"/>
    </row>
    <row r="44579" spans="30:30" x14ac:dyDescent="0.25">
      <c r="AD44579"/>
    </row>
    <row r="44580" spans="30:30" x14ac:dyDescent="0.25">
      <c r="AD44580"/>
    </row>
    <row r="44581" spans="30:30" x14ac:dyDescent="0.25">
      <c r="AD44581"/>
    </row>
    <row r="44582" spans="30:30" x14ac:dyDescent="0.25">
      <c r="AD44582"/>
    </row>
    <row r="44583" spans="30:30" x14ac:dyDescent="0.25">
      <c r="AD44583"/>
    </row>
    <row r="44584" spans="30:30" x14ac:dyDescent="0.25">
      <c r="AD44584"/>
    </row>
    <row r="44585" spans="30:30" x14ac:dyDescent="0.25">
      <c r="AD44585"/>
    </row>
    <row r="44586" spans="30:30" x14ac:dyDescent="0.25">
      <c r="AD44586"/>
    </row>
    <row r="44587" spans="30:30" x14ac:dyDescent="0.25">
      <c r="AD44587"/>
    </row>
    <row r="44588" spans="30:30" x14ac:dyDescent="0.25">
      <c r="AD44588"/>
    </row>
    <row r="44589" spans="30:30" x14ac:dyDescent="0.25">
      <c r="AD44589"/>
    </row>
    <row r="44590" spans="30:30" x14ac:dyDescent="0.25">
      <c r="AD44590"/>
    </row>
    <row r="44591" spans="30:30" x14ac:dyDescent="0.25">
      <c r="AD44591"/>
    </row>
    <row r="44592" spans="30:30" x14ac:dyDescent="0.25">
      <c r="AD44592"/>
    </row>
    <row r="44593" spans="30:30" x14ac:dyDescent="0.25">
      <c r="AD44593"/>
    </row>
    <row r="44594" spans="30:30" x14ac:dyDescent="0.25">
      <c r="AD44594"/>
    </row>
    <row r="44595" spans="30:30" x14ac:dyDescent="0.25">
      <c r="AD44595"/>
    </row>
    <row r="44596" spans="30:30" x14ac:dyDescent="0.25">
      <c r="AD44596"/>
    </row>
    <row r="44597" spans="30:30" x14ac:dyDescent="0.25">
      <c r="AD44597"/>
    </row>
    <row r="44598" spans="30:30" x14ac:dyDescent="0.25">
      <c r="AD44598"/>
    </row>
    <row r="44599" spans="30:30" x14ac:dyDescent="0.25">
      <c r="AD44599"/>
    </row>
    <row r="44600" spans="30:30" x14ac:dyDescent="0.25">
      <c r="AD44600"/>
    </row>
    <row r="44601" spans="30:30" x14ac:dyDescent="0.25">
      <c r="AD44601"/>
    </row>
    <row r="44602" spans="30:30" x14ac:dyDescent="0.25">
      <c r="AD44602"/>
    </row>
    <row r="44603" spans="30:30" x14ac:dyDescent="0.25">
      <c r="AD44603"/>
    </row>
    <row r="44604" spans="30:30" x14ac:dyDescent="0.25">
      <c r="AD44604"/>
    </row>
    <row r="44605" spans="30:30" x14ac:dyDescent="0.25">
      <c r="AD44605"/>
    </row>
    <row r="44606" spans="30:30" x14ac:dyDescent="0.25">
      <c r="AD44606"/>
    </row>
    <row r="44607" spans="30:30" x14ac:dyDescent="0.25">
      <c r="AD44607"/>
    </row>
    <row r="44608" spans="30:30" x14ac:dyDescent="0.25">
      <c r="AD44608"/>
    </row>
    <row r="44609" spans="30:30" x14ac:dyDescent="0.25">
      <c r="AD44609"/>
    </row>
    <row r="44610" spans="30:30" x14ac:dyDescent="0.25">
      <c r="AD44610"/>
    </row>
    <row r="44611" spans="30:30" x14ac:dyDescent="0.25">
      <c r="AD44611"/>
    </row>
    <row r="44612" spans="30:30" x14ac:dyDescent="0.25">
      <c r="AD44612"/>
    </row>
    <row r="44613" spans="30:30" x14ac:dyDescent="0.25">
      <c r="AD44613"/>
    </row>
    <row r="44614" spans="30:30" x14ac:dyDescent="0.25">
      <c r="AD44614"/>
    </row>
    <row r="44615" spans="30:30" x14ac:dyDescent="0.25">
      <c r="AD44615"/>
    </row>
    <row r="44616" spans="30:30" x14ac:dyDescent="0.25">
      <c r="AD44616"/>
    </row>
    <row r="44617" spans="30:30" x14ac:dyDescent="0.25">
      <c r="AD44617"/>
    </row>
    <row r="44618" spans="30:30" x14ac:dyDescent="0.25">
      <c r="AD44618"/>
    </row>
    <row r="44619" spans="30:30" x14ac:dyDescent="0.25">
      <c r="AD44619"/>
    </row>
    <row r="44620" spans="30:30" x14ac:dyDescent="0.25">
      <c r="AD44620"/>
    </row>
    <row r="44621" spans="30:30" x14ac:dyDescent="0.25">
      <c r="AD44621"/>
    </row>
    <row r="44622" spans="30:30" x14ac:dyDescent="0.25">
      <c r="AD44622"/>
    </row>
    <row r="44623" spans="30:30" x14ac:dyDescent="0.25">
      <c r="AD44623"/>
    </row>
    <row r="44624" spans="30:30" x14ac:dyDescent="0.25">
      <c r="AD44624"/>
    </row>
    <row r="44625" spans="30:30" x14ac:dyDescent="0.25">
      <c r="AD44625"/>
    </row>
    <row r="44626" spans="30:30" x14ac:dyDescent="0.25">
      <c r="AD44626"/>
    </row>
    <row r="44627" spans="30:30" x14ac:dyDescent="0.25">
      <c r="AD44627"/>
    </row>
    <row r="44628" spans="30:30" x14ac:dyDescent="0.25">
      <c r="AD44628"/>
    </row>
    <row r="44629" spans="30:30" x14ac:dyDescent="0.25">
      <c r="AD44629"/>
    </row>
    <row r="44630" spans="30:30" x14ac:dyDescent="0.25">
      <c r="AD44630"/>
    </row>
    <row r="44631" spans="30:30" x14ac:dyDescent="0.25">
      <c r="AD44631"/>
    </row>
    <row r="44632" spans="30:30" x14ac:dyDescent="0.25">
      <c r="AD44632"/>
    </row>
    <row r="44633" spans="30:30" x14ac:dyDescent="0.25">
      <c r="AD44633"/>
    </row>
    <row r="44634" spans="30:30" x14ac:dyDescent="0.25">
      <c r="AD44634"/>
    </row>
    <row r="44635" spans="30:30" x14ac:dyDescent="0.25">
      <c r="AD44635"/>
    </row>
    <row r="44636" spans="30:30" x14ac:dyDescent="0.25">
      <c r="AD44636"/>
    </row>
    <row r="44637" spans="30:30" x14ac:dyDescent="0.25">
      <c r="AD44637"/>
    </row>
    <row r="44638" spans="30:30" x14ac:dyDescent="0.25">
      <c r="AD44638"/>
    </row>
    <row r="44639" spans="30:30" x14ac:dyDescent="0.25">
      <c r="AD44639"/>
    </row>
    <row r="44640" spans="30:30" x14ac:dyDescent="0.25">
      <c r="AD44640"/>
    </row>
    <row r="44641" spans="30:30" x14ac:dyDescent="0.25">
      <c r="AD44641"/>
    </row>
    <row r="44642" spans="30:30" x14ac:dyDescent="0.25">
      <c r="AD44642"/>
    </row>
    <row r="44643" spans="30:30" x14ac:dyDescent="0.25">
      <c r="AD44643"/>
    </row>
    <row r="44644" spans="30:30" x14ac:dyDescent="0.25">
      <c r="AD44644"/>
    </row>
    <row r="44645" spans="30:30" x14ac:dyDescent="0.25">
      <c r="AD44645"/>
    </row>
    <row r="44646" spans="30:30" x14ac:dyDescent="0.25">
      <c r="AD44646"/>
    </row>
    <row r="44647" spans="30:30" x14ac:dyDescent="0.25">
      <c r="AD44647"/>
    </row>
    <row r="44648" spans="30:30" x14ac:dyDescent="0.25">
      <c r="AD44648"/>
    </row>
    <row r="44649" spans="30:30" x14ac:dyDescent="0.25">
      <c r="AD44649"/>
    </row>
    <row r="44650" spans="30:30" x14ac:dyDescent="0.25">
      <c r="AD44650"/>
    </row>
    <row r="44651" spans="30:30" x14ac:dyDescent="0.25">
      <c r="AD44651"/>
    </row>
    <row r="44652" spans="30:30" x14ac:dyDescent="0.25">
      <c r="AD44652"/>
    </row>
    <row r="44653" spans="30:30" x14ac:dyDescent="0.25">
      <c r="AD44653"/>
    </row>
    <row r="44654" spans="30:30" x14ac:dyDescent="0.25">
      <c r="AD44654"/>
    </row>
    <row r="44655" spans="30:30" x14ac:dyDescent="0.25">
      <c r="AD44655"/>
    </row>
    <row r="44656" spans="30:30" x14ac:dyDescent="0.25">
      <c r="AD44656"/>
    </row>
    <row r="44657" spans="30:30" x14ac:dyDescent="0.25">
      <c r="AD44657"/>
    </row>
    <row r="44658" spans="30:30" x14ac:dyDescent="0.25">
      <c r="AD44658"/>
    </row>
    <row r="44659" spans="30:30" x14ac:dyDescent="0.25">
      <c r="AD44659"/>
    </row>
    <row r="44660" spans="30:30" x14ac:dyDescent="0.25">
      <c r="AD44660"/>
    </row>
    <row r="44661" spans="30:30" x14ac:dyDescent="0.25">
      <c r="AD44661"/>
    </row>
    <row r="44662" spans="30:30" x14ac:dyDescent="0.25">
      <c r="AD44662"/>
    </row>
    <row r="44663" spans="30:30" x14ac:dyDescent="0.25">
      <c r="AD44663"/>
    </row>
    <row r="44664" spans="30:30" x14ac:dyDescent="0.25">
      <c r="AD44664"/>
    </row>
    <row r="44665" spans="30:30" x14ac:dyDescent="0.25">
      <c r="AD44665"/>
    </row>
    <row r="44666" spans="30:30" x14ac:dyDescent="0.25">
      <c r="AD44666"/>
    </row>
    <row r="44667" spans="30:30" x14ac:dyDescent="0.25">
      <c r="AD44667"/>
    </row>
    <row r="44668" spans="30:30" x14ac:dyDescent="0.25">
      <c r="AD44668"/>
    </row>
    <row r="44669" spans="30:30" x14ac:dyDescent="0.25">
      <c r="AD44669"/>
    </row>
    <row r="44670" spans="30:30" x14ac:dyDescent="0.25">
      <c r="AD44670"/>
    </row>
    <row r="44671" spans="30:30" x14ac:dyDescent="0.25">
      <c r="AD44671"/>
    </row>
    <row r="44672" spans="30:30" x14ac:dyDescent="0.25">
      <c r="AD44672"/>
    </row>
    <row r="44673" spans="30:30" x14ac:dyDescent="0.25">
      <c r="AD44673"/>
    </row>
    <row r="44674" spans="30:30" x14ac:dyDescent="0.25">
      <c r="AD44674"/>
    </row>
    <row r="44675" spans="30:30" x14ac:dyDescent="0.25">
      <c r="AD44675"/>
    </row>
    <row r="44676" spans="30:30" x14ac:dyDescent="0.25">
      <c r="AD44676"/>
    </row>
    <row r="44677" spans="30:30" x14ac:dyDescent="0.25">
      <c r="AD44677"/>
    </row>
    <row r="44678" spans="30:30" x14ac:dyDescent="0.25">
      <c r="AD44678"/>
    </row>
    <row r="44679" spans="30:30" x14ac:dyDescent="0.25">
      <c r="AD44679"/>
    </row>
    <row r="44680" spans="30:30" x14ac:dyDescent="0.25">
      <c r="AD44680"/>
    </row>
    <row r="44681" spans="30:30" x14ac:dyDescent="0.25">
      <c r="AD44681"/>
    </row>
    <row r="44682" spans="30:30" x14ac:dyDescent="0.25">
      <c r="AD44682"/>
    </row>
    <row r="44683" spans="30:30" x14ac:dyDescent="0.25">
      <c r="AD44683"/>
    </row>
    <row r="44684" spans="30:30" x14ac:dyDescent="0.25">
      <c r="AD44684"/>
    </row>
    <row r="44685" spans="30:30" x14ac:dyDescent="0.25">
      <c r="AD44685"/>
    </row>
    <row r="44686" spans="30:30" x14ac:dyDescent="0.25">
      <c r="AD44686"/>
    </row>
    <row r="44687" spans="30:30" x14ac:dyDescent="0.25">
      <c r="AD44687"/>
    </row>
    <row r="44688" spans="30:30" x14ac:dyDescent="0.25">
      <c r="AD44688"/>
    </row>
    <row r="44689" spans="30:30" x14ac:dyDescent="0.25">
      <c r="AD44689"/>
    </row>
    <row r="44690" spans="30:30" x14ac:dyDescent="0.25">
      <c r="AD44690"/>
    </row>
    <row r="44691" spans="30:30" x14ac:dyDescent="0.25">
      <c r="AD44691"/>
    </row>
    <row r="44692" spans="30:30" x14ac:dyDescent="0.25">
      <c r="AD44692"/>
    </row>
    <row r="44693" spans="30:30" x14ac:dyDescent="0.25">
      <c r="AD44693"/>
    </row>
    <row r="44694" spans="30:30" x14ac:dyDescent="0.25">
      <c r="AD44694"/>
    </row>
    <row r="44695" spans="30:30" x14ac:dyDescent="0.25">
      <c r="AD44695"/>
    </row>
    <row r="44696" spans="30:30" x14ac:dyDescent="0.25">
      <c r="AD44696"/>
    </row>
    <row r="44697" spans="30:30" x14ac:dyDescent="0.25">
      <c r="AD44697"/>
    </row>
    <row r="44698" spans="30:30" x14ac:dyDescent="0.25">
      <c r="AD44698"/>
    </row>
    <row r="44699" spans="30:30" x14ac:dyDescent="0.25">
      <c r="AD44699"/>
    </row>
    <row r="44700" spans="30:30" x14ac:dyDescent="0.25">
      <c r="AD44700"/>
    </row>
    <row r="44701" spans="30:30" x14ac:dyDescent="0.25">
      <c r="AD44701"/>
    </row>
    <row r="44702" spans="30:30" x14ac:dyDescent="0.25">
      <c r="AD44702"/>
    </row>
    <row r="44703" spans="30:30" x14ac:dyDescent="0.25">
      <c r="AD44703"/>
    </row>
    <row r="44704" spans="30:30" x14ac:dyDescent="0.25">
      <c r="AD44704"/>
    </row>
    <row r="44705" spans="30:30" x14ac:dyDescent="0.25">
      <c r="AD44705"/>
    </row>
    <row r="44706" spans="30:30" x14ac:dyDescent="0.25">
      <c r="AD44706"/>
    </row>
    <row r="44707" spans="30:30" x14ac:dyDescent="0.25">
      <c r="AD44707"/>
    </row>
    <row r="44708" spans="30:30" x14ac:dyDescent="0.25">
      <c r="AD44708"/>
    </row>
    <row r="44709" spans="30:30" x14ac:dyDescent="0.25">
      <c r="AD44709"/>
    </row>
    <row r="44710" spans="30:30" x14ac:dyDescent="0.25">
      <c r="AD44710"/>
    </row>
    <row r="44711" spans="30:30" x14ac:dyDescent="0.25">
      <c r="AD44711"/>
    </row>
    <row r="44712" spans="30:30" x14ac:dyDescent="0.25">
      <c r="AD44712"/>
    </row>
    <row r="44713" spans="30:30" x14ac:dyDescent="0.25">
      <c r="AD44713"/>
    </row>
    <row r="44714" spans="30:30" x14ac:dyDescent="0.25">
      <c r="AD44714"/>
    </row>
    <row r="44715" spans="30:30" x14ac:dyDescent="0.25">
      <c r="AD44715"/>
    </row>
    <row r="44716" spans="30:30" x14ac:dyDescent="0.25">
      <c r="AD44716"/>
    </row>
    <row r="44717" spans="30:30" x14ac:dyDescent="0.25">
      <c r="AD44717"/>
    </row>
    <row r="44718" spans="30:30" x14ac:dyDescent="0.25">
      <c r="AD44718"/>
    </row>
    <row r="44719" spans="30:30" x14ac:dyDescent="0.25">
      <c r="AD44719"/>
    </row>
    <row r="44720" spans="30:30" x14ac:dyDescent="0.25">
      <c r="AD44720"/>
    </row>
    <row r="44721" spans="30:30" x14ac:dyDescent="0.25">
      <c r="AD44721"/>
    </row>
    <row r="44722" spans="30:30" x14ac:dyDescent="0.25">
      <c r="AD44722"/>
    </row>
    <row r="44723" spans="30:30" x14ac:dyDescent="0.25">
      <c r="AD44723"/>
    </row>
    <row r="44724" spans="30:30" x14ac:dyDescent="0.25">
      <c r="AD44724"/>
    </row>
    <row r="44725" spans="30:30" x14ac:dyDescent="0.25">
      <c r="AD44725"/>
    </row>
    <row r="44726" spans="30:30" x14ac:dyDescent="0.25">
      <c r="AD44726"/>
    </row>
    <row r="44727" spans="30:30" x14ac:dyDescent="0.25">
      <c r="AD44727"/>
    </row>
    <row r="44728" spans="30:30" x14ac:dyDescent="0.25">
      <c r="AD44728"/>
    </row>
    <row r="44729" spans="30:30" x14ac:dyDescent="0.25">
      <c r="AD44729"/>
    </row>
    <row r="44730" spans="30:30" x14ac:dyDescent="0.25">
      <c r="AD44730"/>
    </row>
    <row r="44731" spans="30:30" x14ac:dyDescent="0.25">
      <c r="AD44731"/>
    </row>
    <row r="44732" spans="30:30" x14ac:dyDescent="0.25">
      <c r="AD44732"/>
    </row>
    <row r="44733" spans="30:30" x14ac:dyDescent="0.25">
      <c r="AD44733"/>
    </row>
    <row r="44734" spans="30:30" x14ac:dyDescent="0.25">
      <c r="AD44734"/>
    </row>
    <row r="44735" spans="30:30" x14ac:dyDescent="0.25">
      <c r="AD44735"/>
    </row>
    <row r="44736" spans="30:30" x14ac:dyDescent="0.25">
      <c r="AD44736"/>
    </row>
    <row r="44737" spans="30:30" x14ac:dyDescent="0.25">
      <c r="AD44737"/>
    </row>
    <row r="44738" spans="30:30" x14ac:dyDescent="0.25">
      <c r="AD44738"/>
    </row>
    <row r="44739" spans="30:30" x14ac:dyDescent="0.25">
      <c r="AD44739"/>
    </row>
    <row r="44740" spans="30:30" x14ac:dyDescent="0.25">
      <c r="AD44740"/>
    </row>
    <row r="44741" spans="30:30" x14ac:dyDescent="0.25">
      <c r="AD44741"/>
    </row>
    <row r="44742" spans="30:30" x14ac:dyDescent="0.25">
      <c r="AD44742"/>
    </row>
    <row r="44743" spans="30:30" x14ac:dyDescent="0.25">
      <c r="AD44743"/>
    </row>
    <row r="44744" spans="30:30" x14ac:dyDescent="0.25">
      <c r="AD44744"/>
    </row>
    <row r="44745" spans="30:30" x14ac:dyDescent="0.25">
      <c r="AD44745"/>
    </row>
    <row r="44746" spans="30:30" x14ac:dyDescent="0.25">
      <c r="AD44746"/>
    </row>
    <row r="44747" spans="30:30" x14ac:dyDescent="0.25">
      <c r="AD44747"/>
    </row>
    <row r="44748" spans="30:30" x14ac:dyDescent="0.25">
      <c r="AD44748"/>
    </row>
    <row r="44749" spans="30:30" x14ac:dyDescent="0.25">
      <c r="AD44749"/>
    </row>
    <row r="44750" spans="30:30" x14ac:dyDescent="0.25">
      <c r="AD44750"/>
    </row>
    <row r="44751" spans="30:30" x14ac:dyDescent="0.25">
      <c r="AD44751"/>
    </row>
    <row r="44752" spans="30:30" x14ac:dyDescent="0.25">
      <c r="AD44752"/>
    </row>
    <row r="44753" spans="30:30" x14ac:dyDescent="0.25">
      <c r="AD44753"/>
    </row>
    <row r="44754" spans="30:30" x14ac:dyDescent="0.25">
      <c r="AD44754"/>
    </row>
    <row r="44755" spans="30:30" x14ac:dyDescent="0.25">
      <c r="AD44755"/>
    </row>
    <row r="44756" spans="30:30" x14ac:dyDescent="0.25">
      <c r="AD44756"/>
    </row>
    <row r="44757" spans="30:30" x14ac:dyDescent="0.25">
      <c r="AD44757"/>
    </row>
    <row r="44758" spans="30:30" x14ac:dyDescent="0.25">
      <c r="AD44758"/>
    </row>
    <row r="44759" spans="30:30" x14ac:dyDescent="0.25">
      <c r="AD44759"/>
    </row>
    <row r="44760" spans="30:30" x14ac:dyDescent="0.25">
      <c r="AD44760"/>
    </row>
    <row r="44761" spans="30:30" x14ac:dyDescent="0.25">
      <c r="AD44761"/>
    </row>
    <row r="44762" spans="30:30" x14ac:dyDescent="0.25">
      <c r="AD44762"/>
    </row>
    <row r="44763" spans="30:30" x14ac:dyDescent="0.25">
      <c r="AD44763"/>
    </row>
    <row r="44764" spans="30:30" x14ac:dyDescent="0.25">
      <c r="AD44764"/>
    </row>
    <row r="44765" spans="30:30" x14ac:dyDescent="0.25">
      <c r="AD44765"/>
    </row>
    <row r="44766" spans="30:30" x14ac:dyDescent="0.25">
      <c r="AD44766"/>
    </row>
    <row r="44767" spans="30:30" x14ac:dyDescent="0.25">
      <c r="AD44767"/>
    </row>
    <row r="44768" spans="30:30" x14ac:dyDescent="0.25">
      <c r="AD44768"/>
    </row>
    <row r="44769" spans="30:30" x14ac:dyDescent="0.25">
      <c r="AD44769"/>
    </row>
    <row r="44770" spans="30:30" x14ac:dyDescent="0.25">
      <c r="AD44770"/>
    </row>
    <row r="44771" spans="30:30" x14ac:dyDescent="0.25">
      <c r="AD44771"/>
    </row>
    <row r="44772" spans="30:30" x14ac:dyDescent="0.25">
      <c r="AD44772"/>
    </row>
    <row r="44773" spans="30:30" x14ac:dyDescent="0.25">
      <c r="AD44773"/>
    </row>
    <row r="44774" spans="30:30" x14ac:dyDescent="0.25">
      <c r="AD44774"/>
    </row>
    <row r="44775" spans="30:30" x14ac:dyDescent="0.25">
      <c r="AD44775"/>
    </row>
    <row r="44776" spans="30:30" x14ac:dyDescent="0.25">
      <c r="AD44776"/>
    </row>
    <row r="44777" spans="30:30" x14ac:dyDescent="0.25">
      <c r="AD44777"/>
    </row>
    <row r="44778" spans="30:30" x14ac:dyDescent="0.25">
      <c r="AD44778"/>
    </row>
    <row r="44779" spans="30:30" x14ac:dyDescent="0.25">
      <c r="AD44779"/>
    </row>
    <row r="44780" spans="30:30" x14ac:dyDescent="0.25">
      <c r="AD44780"/>
    </row>
    <row r="44781" spans="30:30" x14ac:dyDescent="0.25">
      <c r="AD44781"/>
    </row>
    <row r="44782" spans="30:30" x14ac:dyDescent="0.25">
      <c r="AD44782"/>
    </row>
    <row r="44783" spans="30:30" x14ac:dyDescent="0.25">
      <c r="AD44783"/>
    </row>
    <row r="44784" spans="30:30" x14ac:dyDescent="0.25">
      <c r="AD44784"/>
    </row>
    <row r="44785" spans="30:30" x14ac:dyDescent="0.25">
      <c r="AD44785"/>
    </row>
    <row r="44786" spans="30:30" x14ac:dyDescent="0.25">
      <c r="AD44786"/>
    </row>
    <row r="44787" spans="30:30" x14ac:dyDescent="0.25">
      <c r="AD44787"/>
    </row>
    <row r="44788" spans="30:30" x14ac:dyDescent="0.25">
      <c r="AD44788"/>
    </row>
    <row r="44789" spans="30:30" x14ac:dyDescent="0.25">
      <c r="AD44789"/>
    </row>
    <row r="44790" spans="30:30" x14ac:dyDescent="0.25">
      <c r="AD44790"/>
    </row>
    <row r="44791" spans="30:30" x14ac:dyDescent="0.25">
      <c r="AD44791"/>
    </row>
    <row r="44792" spans="30:30" x14ac:dyDescent="0.25">
      <c r="AD44792"/>
    </row>
    <row r="44793" spans="30:30" x14ac:dyDescent="0.25">
      <c r="AD44793"/>
    </row>
    <row r="44794" spans="30:30" x14ac:dyDescent="0.25">
      <c r="AD44794"/>
    </row>
    <row r="44795" spans="30:30" x14ac:dyDescent="0.25">
      <c r="AD44795"/>
    </row>
    <row r="44796" spans="30:30" x14ac:dyDescent="0.25">
      <c r="AD44796"/>
    </row>
    <row r="44797" spans="30:30" x14ac:dyDescent="0.25">
      <c r="AD44797"/>
    </row>
    <row r="44798" spans="30:30" x14ac:dyDescent="0.25">
      <c r="AD44798"/>
    </row>
    <row r="44799" spans="30:30" x14ac:dyDescent="0.25">
      <c r="AD44799"/>
    </row>
    <row r="44800" spans="30:30" x14ac:dyDescent="0.25">
      <c r="AD44800"/>
    </row>
    <row r="44801" spans="30:30" x14ac:dyDescent="0.25">
      <c r="AD44801"/>
    </row>
    <row r="44802" spans="30:30" x14ac:dyDescent="0.25">
      <c r="AD44802"/>
    </row>
    <row r="44803" spans="30:30" x14ac:dyDescent="0.25">
      <c r="AD44803"/>
    </row>
    <row r="44804" spans="30:30" x14ac:dyDescent="0.25">
      <c r="AD44804"/>
    </row>
    <row r="44805" spans="30:30" x14ac:dyDescent="0.25">
      <c r="AD44805"/>
    </row>
    <row r="44806" spans="30:30" x14ac:dyDescent="0.25">
      <c r="AD44806"/>
    </row>
    <row r="44807" spans="30:30" x14ac:dyDescent="0.25">
      <c r="AD44807"/>
    </row>
    <row r="44808" spans="30:30" x14ac:dyDescent="0.25">
      <c r="AD44808"/>
    </row>
    <row r="44809" spans="30:30" x14ac:dyDescent="0.25">
      <c r="AD44809"/>
    </row>
    <row r="44810" spans="30:30" x14ac:dyDescent="0.25">
      <c r="AD44810"/>
    </row>
    <row r="44811" spans="30:30" x14ac:dyDescent="0.25">
      <c r="AD44811"/>
    </row>
    <row r="44812" spans="30:30" x14ac:dyDescent="0.25">
      <c r="AD44812"/>
    </row>
    <row r="44813" spans="30:30" x14ac:dyDescent="0.25">
      <c r="AD44813"/>
    </row>
    <row r="44814" spans="30:30" x14ac:dyDescent="0.25">
      <c r="AD44814"/>
    </row>
    <row r="44815" spans="30:30" x14ac:dyDescent="0.25">
      <c r="AD44815"/>
    </row>
    <row r="44816" spans="30:30" x14ac:dyDescent="0.25">
      <c r="AD44816"/>
    </row>
    <row r="44817" spans="30:30" x14ac:dyDescent="0.25">
      <c r="AD44817"/>
    </row>
    <row r="44818" spans="30:30" x14ac:dyDescent="0.25">
      <c r="AD44818"/>
    </row>
    <row r="44819" spans="30:30" x14ac:dyDescent="0.25">
      <c r="AD44819"/>
    </row>
    <row r="44820" spans="30:30" x14ac:dyDescent="0.25">
      <c r="AD44820"/>
    </row>
    <row r="44821" spans="30:30" x14ac:dyDescent="0.25">
      <c r="AD44821"/>
    </row>
    <row r="44822" spans="30:30" x14ac:dyDescent="0.25">
      <c r="AD44822"/>
    </row>
    <row r="44823" spans="30:30" x14ac:dyDescent="0.25">
      <c r="AD44823"/>
    </row>
    <row r="44824" spans="30:30" x14ac:dyDescent="0.25">
      <c r="AD44824"/>
    </row>
    <row r="44825" spans="30:30" x14ac:dyDescent="0.25">
      <c r="AD44825"/>
    </row>
    <row r="44826" spans="30:30" x14ac:dyDescent="0.25">
      <c r="AD44826"/>
    </row>
    <row r="44827" spans="30:30" x14ac:dyDescent="0.25">
      <c r="AD44827"/>
    </row>
    <row r="44828" spans="30:30" x14ac:dyDescent="0.25">
      <c r="AD44828"/>
    </row>
    <row r="44829" spans="30:30" x14ac:dyDescent="0.25">
      <c r="AD44829"/>
    </row>
    <row r="44830" spans="30:30" x14ac:dyDescent="0.25">
      <c r="AD44830"/>
    </row>
    <row r="44831" spans="30:30" x14ac:dyDescent="0.25">
      <c r="AD44831"/>
    </row>
    <row r="44832" spans="30:30" x14ac:dyDescent="0.25">
      <c r="AD44832"/>
    </row>
    <row r="44833" spans="30:30" x14ac:dyDescent="0.25">
      <c r="AD44833"/>
    </row>
    <row r="44834" spans="30:30" x14ac:dyDescent="0.25">
      <c r="AD44834"/>
    </row>
    <row r="44835" spans="30:30" x14ac:dyDescent="0.25">
      <c r="AD44835"/>
    </row>
    <row r="44836" spans="30:30" x14ac:dyDescent="0.25">
      <c r="AD44836"/>
    </row>
    <row r="44837" spans="30:30" x14ac:dyDescent="0.25">
      <c r="AD44837"/>
    </row>
    <row r="44838" spans="30:30" x14ac:dyDescent="0.25">
      <c r="AD44838"/>
    </row>
    <row r="44839" spans="30:30" x14ac:dyDescent="0.25">
      <c r="AD44839"/>
    </row>
    <row r="44840" spans="30:30" x14ac:dyDescent="0.25">
      <c r="AD44840"/>
    </row>
    <row r="44841" spans="30:30" x14ac:dyDescent="0.25">
      <c r="AD44841"/>
    </row>
    <row r="44842" spans="30:30" x14ac:dyDescent="0.25">
      <c r="AD44842"/>
    </row>
    <row r="44843" spans="30:30" x14ac:dyDescent="0.25">
      <c r="AD44843"/>
    </row>
    <row r="44844" spans="30:30" x14ac:dyDescent="0.25">
      <c r="AD44844"/>
    </row>
    <row r="44845" spans="30:30" x14ac:dyDescent="0.25">
      <c r="AD44845"/>
    </row>
    <row r="44846" spans="30:30" x14ac:dyDescent="0.25">
      <c r="AD44846"/>
    </row>
    <row r="44847" spans="30:30" x14ac:dyDescent="0.25">
      <c r="AD44847"/>
    </row>
    <row r="44848" spans="30:30" x14ac:dyDescent="0.25">
      <c r="AD44848"/>
    </row>
    <row r="44849" spans="30:30" x14ac:dyDescent="0.25">
      <c r="AD44849"/>
    </row>
    <row r="44850" spans="30:30" x14ac:dyDescent="0.25">
      <c r="AD44850"/>
    </row>
    <row r="44851" spans="30:30" x14ac:dyDescent="0.25">
      <c r="AD44851"/>
    </row>
    <row r="44852" spans="30:30" x14ac:dyDescent="0.25">
      <c r="AD44852"/>
    </row>
    <row r="44853" spans="30:30" x14ac:dyDescent="0.25">
      <c r="AD44853"/>
    </row>
    <row r="44854" spans="30:30" x14ac:dyDescent="0.25">
      <c r="AD44854"/>
    </row>
    <row r="44855" spans="30:30" x14ac:dyDescent="0.25">
      <c r="AD44855"/>
    </row>
    <row r="44856" spans="30:30" x14ac:dyDescent="0.25">
      <c r="AD44856"/>
    </row>
    <row r="44857" spans="30:30" x14ac:dyDescent="0.25">
      <c r="AD44857"/>
    </row>
    <row r="44858" spans="30:30" x14ac:dyDescent="0.25">
      <c r="AD44858"/>
    </row>
    <row r="44859" spans="30:30" x14ac:dyDescent="0.25">
      <c r="AD44859"/>
    </row>
    <row r="44860" spans="30:30" x14ac:dyDescent="0.25">
      <c r="AD44860"/>
    </row>
    <row r="44861" spans="30:30" x14ac:dyDescent="0.25">
      <c r="AD44861"/>
    </row>
    <row r="44862" spans="30:30" x14ac:dyDescent="0.25">
      <c r="AD44862"/>
    </row>
    <row r="44863" spans="30:30" x14ac:dyDescent="0.25">
      <c r="AD44863"/>
    </row>
    <row r="44864" spans="30:30" x14ac:dyDescent="0.25">
      <c r="AD44864"/>
    </row>
    <row r="44865" spans="30:30" x14ac:dyDescent="0.25">
      <c r="AD44865"/>
    </row>
    <row r="44866" spans="30:30" x14ac:dyDescent="0.25">
      <c r="AD44866"/>
    </row>
    <row r="44867" spans="30:30" x14ac:dyDescent="0.25">
      <c r="AD44867"/>
    </row>
    <row r="44868" spans="30:30" x14ac:dyDescent="0.25">
      <c r="AD44868"/>
    </row>
    <row r="44869" spans="30:30" x14ac:dyDescent="0.25">
      <c r="AD44869"/>
    </row>
    <row r="44870" spans="30:30" x14ac:dyDescent="0.25">
      <c r="AD44870"/>
    </row>
    <row r="44871" spans="30:30" x14ac:dyDescent="0.25">
      <c r="AD44871"/>
    </row>
    <row r="44872" spans="30:30" x14ac:dyDescent="0.25">
      <c r="AD44872"/>
    </row>
    <row r="44873" spans="30:30" x14ac:dyDescent="0.25">
      <c r="AD44873"/>
    </row>
    <row r="44874" spans="30:30" x14ac:dyDescent="0.25">
      <c r="AD44874"/>
    </row>
    <row r="44875" spans="30:30" x14ac:dyDescent="0.25">
      <c r="AD44875"/>
    </row>
    <row r="44876" spans="30:30" x14ac:dyDescent="0.25">
      <c r="AD44876"/>
    </row>
    <row r="44877" spans="30:30" x14ac:dyDescent="0.25">
      <c r="AD44877"/>
    </row>
    <row r="44878" spans="30:30" x14ac:dyDescent="0.25">
      <c r="AD44878"/>
    </row>
    <row r="44879" spans="30:30" x14ac:dyDescent="0.25">
      <c r="AD44879"/>
    </row>
    <row r="44880" spans="30:30" x14ac:dyDescent="0.25">
      <c r="AD44880"/>
    </row>
    <row r="44881" spans="30:30" x14ac:dyDescent="0.25">
      <c r="AD44881"/>
    </row>
    <row r="44882" spans="30:30" x14ac:dyDescent="0.25">
      <c r="AD44882"/>
    </row>
    <row r="44883" spans="30:30" x14ac:dyDescent="0.25">
      <c r="AD44883"/>
    </row>
    <row r="44884" spans="30:30" x14ac:dyDescent="0.25">
      <c r="AD44884"/>
    </row>
    <row r="44885" spans="30:30" x14ac:dyDescent="0.25">
      <c r="AD44885"/>
    </row>
    <row r="44886" spans="30:30" x14ac:dyDescent="0.25">
      <c r="AD44886"/>
    </row>
    <row r="44887" spans="30:30" x14ac:dyDescent="0.25">
      <c r="AD44887"/>
    </row>
    <row r="44888" spans="30:30" x14ac:dyDescent="0.25">
      <c r="AD44888"/>
    </row>
    <row r="44889" spans="30:30" x14ac:dyDescent="0.25">
      <c r="AD44889"/>
    </row>
    <row r="44890" spans="30:30" x14ac:dyDescent="0.25">
      <c r="AD44890"/>
    </row>
    <row r="44891" spans="30:30" x14ac:dyDescent="0.25">
      <c r="AD44891"/>
    </row>
    <row r="44892" spans="30:30" x14ac:dyDescent="0.25">
      <c r="AD44892"/>
    </row>
    <row r="44893" spans="30:30" x14ac:dyDescent="0.25">
      <c r="AD44893"/>
    </row>
    <row r="44894" spans="30:30" x14ac:dyDescent="0.25">
      <c r="AD44894"/>
    </row>
    <row r="44895" spans="30:30" x14ac:dyDescent="0.25">
      <c r="AD44895"/>
    </row>
    <row r="44896" spans="30:30" x14ac:dyDescent="0.25">
      <c r="AD44896"/>
    </row>
    <row r="44897" spans="30:30" x14ac:dyDescent="0.25">
      <c r="AD44897"/>
    </row>
    <row r="44898" spans="30:30" x14ac:dyDescent="0.25">
      <c r="AD44898"/>
    </row>
    <row r="44899" spans="30:30" x14ac:dyDescent="0.25">
      <c r="AD44899"/>
    </row>
    <row r="44900" spans="30:30" x14ac:dyDescent="0.25">
      <c r="AD44900"/>
    </row>
    <row r="44901" spans="30:30" x14ac:dyDescent="0.25">
      <c r="AD44901"/>
    </row>
    <row r="44902" spans="30:30" x14ac:dyDescent="0.25">
      <c r="AD44902"/>
    </row>
    <row r="44903" spans="30:30" x14ac:dyDescent="0.25">
      <c r="AD44903"/>
    </row>
    <row r="44904" spans="30:30" x14ac:dyDescent="0.25">
      <c r="AD44904"/>
    </row>
    <row r="44905" spans="30:30" x14ac:dyDescent="0.25">
      <c r="AD44905"/>
    </row>
    <row r="44906" spans="30:30" x14ac:dyDescent="0.25">
      <c r="AD44906"/>
    </row>
    <row r="44907" spans="30:30" x14ac:dyDescent="0.25">
      <c r="AD44907"/>
    </row>
    <row r="44908" spans="30:30" x14ac:dyDescent="0.25">
      <c r="AD44908"/>
    </row>
    <row r="44909" spans="30:30" x14ac:dyDescent="0.25">
      <c r="AD44909"/>
    </row>
    <row r="44910" spans="30:30" x14ac:dyDescent="0.25">
      <c r="AD44910"/>
    </row>
    <row r="44911" spans="30:30" x14ac:dyDescent="0.25">
      <c r="AD44911"/>
    </row>
    <row r="44912" spans="30:30" x14ac:dyDescent="0.25">
      <c r="AD44912"/>
    </row>
    <row r="44913" spans="30:30" x14ac:dyDescent="0.25">
      <c r="AD44913"/>
    </row>
    <row r="44914" spans="30:30" x14ac:dyDescent="0.25">
      <c r="AD44914"/>
    </row>
    <row r="44915" spans="30:30" x14ac:dyDescent="0.25">
      <c r="AD44915"/>
    </row>
    <row r="44916" spans="30:30" x14ac:dyDescent="0.25">
      <c r="AD44916"/>
    </row>
    <row r="44917" spans="30:30" x14ac:dyDescent="0.25">
      <c r="AD44917"/>
    </row>
    <row r="44918" spans="30:30" x14ac:dyDescent="0.25">
      <c r="AD44918"/>
    </row>
    <row r="44919" spans="30:30" x14ac:dyDescent="0.25">
      <c r="AD44919"/>
    </row>
    <row r="44920" spans="30:30" x14ac:dyDescent="0.25">
      <c r="AD44920"/>
    </row>
    <row r="44921" spans="30:30" x14ac:dyDescent="0.25">
      <c r="AD44921"/>
    </row>
    <row r="44922" spans="30:30" x14ac:dyDescent="0.25">
      <c r="AD44922"/>
    </row>
    <row r="44923" spans="30:30" x14ac:dyDescent="0.25">
      <c r="AD44923"/>
    </row>
    <row r="44924" spans="30:30" x14ac:dyDescent="0.25">
      <c r="AD44924"/>
    </row>
    <row r="44925" spans="30:30" x14ac:dyDescent="0.25">
      <c r="AD44925"/>
    </row>
    <row r="44926" spans="30:30" x14ac:dyDescent="0.25">
      <c r="AD44926"/>
    </row>
    <row r="44927" spans="30:30" x14ac:dyDescent="0.25">
      <c r="AD44927"/>
    </row>
    <row r="44928" spans="30:30" x14ac:dyDescent="0.25">
      <c r="AD44928"/>
    </row>
    <row r="44929" spans="30:30" x14ac:dyDescent="0.25">
      <c r="AD44929"/>
    </row>
    <row r="44930" spans="30:30" x14ac:dyDescent="0.25">
      <c r="AD44930"/>
    </row>
    <row r="44931" spans="30:30" x14ac:dyDescent="0.25">
      <c r="AD44931"/>
    </row>
    <row r="44932" spans="30:30" x14ac:dyDescent="0.25">
      <c r="AD44932"/>
    </row>
    <row r="44933" spans="30:30" x14ac:dyDescent="0.25">
      <c r="AD44933"/>
    </row>
    <row r="44934" spans="30:30" x14ac:dyDescent="0.25">
      <c r="AD44934"/>
    </row>
    <row r="44935" spans="30:30" x14ac:dyDescent="0.25">
      <c r="AD44935"/>
    </row>
    <row r="44936" spans="30:30" x14ac:dyDescent="0.25">
      <c r="AD44936"/>
    </row>
    <row r="44937" spans="30:30" x14ac:dyDescent="0.25">
      <c r="AD44937"/>
    </row>
    <row r="44938" spans="30:30" x14ac:dyDescent="0.25">
      <c r="AD44938"/>
    </row>
    <row r="44939" spans="30:30" x14ac:dyDescent="0.25">
      <c r="AD44939"/>
    </row>
    <row r="44940" spans="30:30" x14ac:dyDescent="0.25">
      <c r="AD44940"/>
    </row>
    <row r="44941" spans="30:30" x14ac:dyDescent="0.25">
      <c r="AD44941"/>
    </row>
    <row r="44942" spans="30:30" x14ac:dyDescent="0.25">
      <c r="AD44942"/>
    </row>
    <row r="44943" spans="30:30" x14ac:dyDescent="0.25">
      <c r="AD44943"/>
    </row>
    <row r="44944" spans="30:30" x14ac:dyDescent="0.25">
      <c r="AD44944"/>
    </row>
    <row r="44945" spans="30:30" x14ac:dyDescent="0.25">
      <c r="AD44945"/>
    </row>
    <row r="44946" spans="30:30" x14ac:dyDescent="0.25">
      <c r="AD44946"/>
    </row>
    <row r="44947" spans="30:30" x14ac:dyDescent="0.25">
      <c r="AD44947"/>
    </row>
    <row r="44948" spans="30:30" x14ac:dyDescent="0.25">
      <c r="AD44948"/>
    </row>
    <row r="44949" spans="30:30" x14ac:dyDescent="0.25">
      <c r="AD44949"/>
    </row>
    <row r="44950" spans="30:30" x14ac:dyDescent="0.25">
      <c r="AD44950"/>
    </row>
    <row r="44951" spans="30:30" x14ac:dyDescent="0.25">
      <c r="AD44951"/>
    </row>
    <row r="44952" spans="30:30" x14ac:dyDescent="0.25">
      <c r="AD44952"/>
    </row>
    <row r="44953" spans="30:30" x14ac:dyDescent="0.25">
      <c r="AD44953"/>
    </row>
    <row r="44954" spans="30:30" x14ac:dyDescent="0.25">
      <c r="AD44954"/>
    </row>
    <row r="44955" spans="30:30" x14ac:dyDescent="0.25">
      <c r="AD44955"/>
    </row>
    <row r="44956" spans="30:30" x14ac:dyDescent="0.25">
      <c r="AD44956"/>
    </row>
    <row r="44957" spans="30:30" x14ac:dyDescent="0.25">
      <c r="AD44957"/>
    </row>
    <row r="44958" spans="30:30" x14ac:dyDescent="0.25">
      <c r="AD44958"/>
    </row>
    <row r="44959" spans="30:30" x14ac:dyDescent="0.25">
      <c r="AD44959"/>
    </row>
    <row r="44960" spans="30:30" x14ac:dyDescent="0.25">
      <c r="AD44960"/>
    </row>
    <row r="44961" spans="30:30" x14ac:dyDescent="0.25">
      <c r="AD44961"/>
    </row>
    <row r="44962" spans="30:30" x14ac:dyDescent="0.25">
      <c r="AD44962"/>
    </row>
    <row r="44963" spans="30:30" x14ac:dyDescent="0.25">
      <c r="AD44963"/>
    </row>
    <row r="44964" spans="30:30" x14ac:dyDescent="0.25">
      <c r="AD44964"/>
    </row>
    <row r="44965" spans="30:30" x14ac:dyDescent="0.25">
      <c r="AD44965"/>
    </row>
    <row r="44966" spans="30:30" x14ac:dyDescent="0.25">
      <c r="AD44966"/>
    </row>
    <row r="44967" spans="30:30" x14ac:dyDescent="0.25">
      <c r="AD44967"/>
    </row>
    <row r="44968" spans="30:30" x14ac:dyDescent="0.25">
      <c r="AD44968"/>
    </row>
    <row r="44969" spans="30:30" x14ac:dyDescent="0.25">
      <c r="AD44969"/>
    </row>
    <row r="44970" spans="30:30" x14ac:dyDescent="0.25">
      <c r="AD44970"/>
    </row>
    <row r="44971" spans="30:30" x14ac:dyDescent="0.25">
      <c r="AD44971"/>
    </row>
    <row r="44972" spans="30:30" x14ac:dyDescent="0.25">
      <c r="AD44972"/>
    </row>
    <row r="44973" spans="30:30" x14ac:dyDescent="0.25">
      <c r="AD44973"/>
    </row>
    <row r="44974" spans="30:30" x14ac:dyDescent="0.25">
      <c r="AD44974"/>
    </row>
    <row r="44975" spans="30:30" x14ac:dyDescent="0.25">
      <c r="AD44975"/>
    </row>
    <row r="44976" spans="30:30" x14ac:dyDescent="0.25">
      <c r="AD44976"/>
    </row>
    <row r="44977" spans="30:30" x14ac:dyDescent="0.25">
      <c r="AD44977"/>
    </row>
    <row r="44978" spans="30:30" x14ac:dyDescent="0.25">
      <c r="AD44978"/>
    </row>
    <row r="44979" spans="30:30" x14ac:dyDescent="0.25">
      <c r="AD44979"/>
    </row>
    <row r="44980" spans="30:30" x14ac:dyDescent="0.25">
      <c r="AD44980"/>
    </row>
    <row r="44981" spans="30:30" x14ac:dyDescent="0.25">
      <c r="AD44981"/>
    </row>
    <row r="44982" spans="30:30" x14ac:dyDescent="0.25">
      <c r="AD44982"/>
    </row>
    <row r="44983" spans="30:30" x14ac:dyDescent="0.25">
      <c r="AD44983"/>
    </row>
    <row r="44984" spans="30:30" x14ac:dyDescent="0.25">
      <c r="AD44984"/>
    </row>
    <row r="44985" spans="30:30" x14ac:dyDescent="0.25">
      <c r="AD44985"/>
    </row>
    <row r="44986" spans="30:30" x14ac:dyDescent="0.25">
      <c r="AD44986"/>
    </row>
    <row r="44987" spans="30:30" x14ac:dyDescent="0.25">
      <c r="AD44987"/>
    </row>
    <row r="44988" spans="30:30" x14ac:dyDescent="0.25">
      <c r="AD44988"/>
    </row>
    <row r="44989" spans="30:30" x14ac:dyDescent="0.25">
      <c r="AD44989"/>
    </row>
    <row r="44990" spans="30:30" x14ac:dyDescent="0.25">
      <c r="AD44990"/>
    </row>
    <row r="44991" spans="30:30" x14ac:dyDescent="0.25">
      <c r="AD44991"/>
    </row>
    <row r="44992" spans="30:30" x14ac:dyDescent="0.25">
      <c r="AD44992"/>
    </row>
    <row r="44993" spans="30:30" x14ac:dyDescent="0.25">
      <c r="AD44993"/>
    </row>
    <row r="44994" spans="30:30" x14ac:dyDescent="0.25">
      <c r="AD44994"/>
    </row>
    <row r="44995" spans="30:30" x14ac:dyDescent="0.25">
      <c r="AD44995"/>
    </row>
    <row r="44996" spans="30:30" x14ac:dyDescent="0.25">
      <c r="AD44996"/>
    </row>
    <row r="44997" spans="30:30" x14ac:dyDescent="0.25">
      <c r="AD44997"/>
    </row>
    <row r="44998" spans="30:30" x14ac:dyDescent="0.25">
      <c r="AD44998"/>
    </row>
    <row r="44999" spans="30:30" x14ac:dyDescent="0.25">
      <c r="AD44999"/>
    </row>
    <row r="45000" spans="30:30" x14ac:dyDescent="0.25">
      <c r="AD45000"/>
    </row>
    <row r="45001" spans="30:30" x14ac:dyDescent="0.25">
      <c r="AD45001"/>
    </row>
    <row r="45002" spans="30:30" x14ac:dyDescent="0.25">
      <c r="AD45002"/>
    </row>
    <row r="45003" spans="30:30" x14ac:dyDescent="0.25">
      <c r="AD45003"/>
    </row>
    <row r="45004" spans="30:30" x14ac:dyDescent="0.25">
      <c r="AD45004"/>
    </row>
    <row r="45005" spans="30:30" x14ac:dyDescent="0.25">
      <c r="AD45005"/>
    </row>
    <row r="45006" spans="30:30" x14ac:dyDescent="0.25">
      <c r="AD45006"/>
    </row>
    <row r="45007" spans="30:30" x14ac:dyDescent="0.25">
      <c r="AD45007"/>
    </row>
    <row r="45008" spans="30:30" x14ac:dyDescent="0.25">
      <c r="AD45008"/>
    </row>
    <row r="45009" spans="30:30" x14ac:dyDescent="0.25">
      <c r="AD45009"/>
    </row>
    <row r="45010" spans="30:30" x14ac:dyDescent="0.25">
      <c r="AD45010"/>
    </row>
    <row r="45011" spans="30:30" x14ac:dyDescent="0.25">
      <c r="AD45011"/>
    </row>
    <row r="45012" spans="30:30" x14ac:dyDescent="0.25">
      <c r="AD45012"/>
    </row>
    <row r="45013" spans="30:30" x14ac:dyDescent="0.25">
      <c r="AD45013"/>
    </row>
    <row r="45014" spans="30:30" x14ac:dyDescent="0.25">
      <c r="AD45014"/>
    </row>
    <row r="45015" spans="30:30" x14ac:dyDescent="0.25">
      <c r="AD45015"/>
    </row>
    <row r="45016" spans="30:30" x14ac:dyDescent="0.25">
      <c r="AD45016"/>
    </row>
    <row r="45017" spans="30:30" x14ac:dyDescent="0.25">
      <c r="AD45017"/>
    </row>
    <row r="45018" spans="30:30" x14ac:dyDescent="0.25">
      <c r="AD45018"/>
    </row>
    <row r="45019" spans="30:30" x14ac:dyDescent="0.25">
      <c r="AD45019"/>
    </row>
    <row r="45020" spans="30:30" x14ac:dyDescent="0.25">
      <c r="AD45020"/>
    </row>
    <row r="45021" spans="30:30" x14ac:dyDescent="0.25">
      <c r="AD45021"/>
    </row>
    <row r="45022" spans="30:30" x14ac:dyDescent="0.25">
      <c r="AD45022"/>
    </row>
    <row r="45023" spans="30:30" x14ac:dyDescent="0.25">
      <c r="AD45023"/>
    </row>
    <row r="45024" spans="30:30" x14ac:dyDescent="0.25">
      <c r="AD45024"/>
    </row>
    <row r="45025" spans="30:30" x14ac:dyDescent="0.25">
      <c r="AD45025"/>
    </row>
    <row r="45026" spans="30:30" x14ac:dyDescent="0.25">
      <c r="AD45026"/>
    </row>
    <row r="45027" spans="30:30" x14ac:dyDescent="0.25">
      <c r="AD45027"/>
    </row>
    <row r="45028" spans="30:30" x14ac:dyDescent="0.25">
      <c r="AD45028"/>
    </row>
    <row r="45029" spans="30:30" x14ac:dyDescent="0.25">
      <c r="AD45029"/>
    </row>
    <row r="45030" spans="30:30" x14ac:dyDescent="0.25">
      <c r="AD45030"/>
    </row>
    <row r="45031" spans="30:30" x14ac:dyDescent="0.25">
      <c r="AD45031"/>
    </row>
    <row r="45032" spans="30:30" x14ac:dyDescent="0.25">
      <c r="AD45032"/>
    </row>
    <row r="45033" spans="30:30" x14ac:dyDescent="0.25">
      <c r="AD45033"/>
    </row>
    <row r="45034" spans="30:30" x14ac:dyDescent="0.25">
      <c r="AD45034"/>
    </row>
    <row r="45035" spans="30:30" x14ac:dyDescent="0.25">
      <c r="AD45035"/>
    </row>
    <row r="45036" spans="30:30" x14ac:dyDescent="0.25">
      <c r="AD45036"/>
    </row>
    <row r="45037" spans="30:30" x14ac:dyDescent="0.25">
      <c r="AD45037"/>
    </row>
    <row r="45038" spans="30:30" x14ac:dyDescent="0.25">
      <c r="AD45038"/>
    </row>
    <row r="45039" spans="30:30" x14ac:dyDescent="0.25">
      <c r="AD45039"/>
    </row>
    <row r="45040" spans="30:30" x14ac:dyDescent="0.25">
      <c r="AD45040"/>
    </row>
    <row r="45041" spans="30:30" x14ac:dyDescent="0.25">
      <c r="AD45041"/>
    </row>
    <row r="45042" spans="30:30" x14ac:dyDescent="0.25">
      <c r="AD45042"/>
    </row>
    <row r="45043" spans="30:30" x14ac:dyDescent="0.25">
      <c r="AD45043"/>
    </row>
    <row r="45044" spans="30:30" x14ac:dyDescent="0.25">
      <c r="AD45044"/>
    </row>
    <row r="45045" spans="30:30" x14ac:dyDescent="0.25">
      <c r="AD45045"/>
    </row>
    <row r="45046" spans="30:30" x14ac:dyDescent="0.25">
      <c r="AD45046"/>
    </row>
    <row r="45047" spans="30:30" x14ac:dyDescent="0.25">
      <c r="AD45047"/>
    </row>
    <row r="45048" spans="30:30" x14ac:dyDescent="0.25">
      <c r="AD45048"/>
    </row>
    <row r="45049" spans="30:30" x14ac:dyDescent="0.25">
      <c r="AD45049"/>
    </row>
    <row r="45050" spans="30:30" x14ac:dyDescent="0.25">
      <c r="AD45050"/>
    </row>
    <row r="45051" spans="30:30" x14ac:dyDescent="0.25">
      <c r="AD45051"/>
    </row>
    <row r="45052" spans="30:30" x14ac:dyDescent="0.25">
      <c r="AD45052"/>
    </row>
    <row r="45053" spans="30:30" x14ac:dyDescent="0.25">
      <c r="AD45053"/>
    </row>
    <row r="45054" spans="30:30" x14ac:dyDescent="0.25">
      <c r="AD45054"/>
    </row>
    <row r="45055" spans="30:30" x14ac:dyDescent="0.25">
      <c r="AD45055"/>
    </row>
    <row r="45056" spans="30:30" x14ac:dyDescent="0.25">
      <c r="AD45056"/>
    </row>
    <row r="45057" spans="30:30" x14ac:dyDescent="0.25">
      <c r="AD45057"/>
    </row>
    <row r="45058" spans="30:30" x14ac:dyDescent="0.25">
      <c r="AD45058"/>
    </row>
    <row r="45059" spans="30:30" x14ac:dyDescent="0.25">
      <c r="AD45059"/>
    </row>
    <row r="45060" spans="30:30" x14ac:dyDescent="0.25">
      <c r="AD45060"/>
    </row>
    <row r="45061" spans="30:30" x14ac:dyDescent="0.25">
      <c r="AD45061"/>
    </row>
    <row r="45062" spans="30:30" x14ac:dyDescent="0.25">
      <c r="AD45062"/>
    </row>
    <row r="45063" spans="30:30" x14ac:dyDescent="0.25">
      <c r="AD45063"/>
    </row>
    <row r="45064" spans="30:30" x14ac:dyDescent="0.25">
      <c r="AD45064"/>
    </row>
    <row r="45065" spans="30:30" x14ac:dyDescent="0.25">
      <c r="AD45065"/>
    </row>
    <row r="45066" spans="30:30" x14ac:dyDescent="0.25">
      <c r="AD45066"/>
    </row>
    <row r="45067" spans="30:30" x14ac:dyDescent="0.25">
      <c r="AD45067"/>
    </row>
    <row r="45068" spans="30:30" x14ac:dyDescent="0.25">
      <c r="AD45068"/>
    </row>
    <row r="45069" spans="30:30" x14ac:dyDescent="0.25">
      <c r="AD45069"/>
    </row>
    <row r="45070" spans="30:30" x14ac:dyDescent="0.25">
      <c r="AD45070"/>
    </row>
    <row r="45071" spans="30:30" x14ac:dyDescent="0.25">
      <c r="AD45071"/>
    </row>
    <row r="45072" spans="30:30" x14ac:dyDescent="0.25">
      <c r="AD45072"/>
    </row>
    <row r="45073" spans="30:30" x14ac:dyDescent="0.25">
      <c r="AD45073"/>
    </row>
    <row r="45074" spans="30:30" x14ac:dyDescent="0.25">
      <c r="AD45074"/>
    </row>
    <row r="45075" spans="30:30" x14ac:dyDescent="0.25">
      <c r="AD45075"/>
    </row>
    <row r="45076" spans="30:30" x14ac:dyDescent="0.25">
      <c r="AD45076"/>
    </row>
    <row r="45077" spans="30:30" x14ac:dyDescent="0.25">
      <c r="AD45077"/>
    </row>
    <row r="45078" spans="30:30" x14ac:dyDescent="0.25">
      <c r="AD45078"/>
    </row>
    <row r="45079" spans="30:30" x14ac:dyDescent="0.25">
      <c r="AD45079"/>
    </row>
    <row r="45080" spans="30:30" x14ac:dyDescent="0.25">
      <c r="AD45080"/>
    </row>
    <row r="45081" spans="30:30" x14ac:dyDescent="0.25">
      <c r="AD45081"/>
    </row>
    <row r="45082" spans="30:30" x14ac:dyDescent="0.25">
      <c r="AD45082"/>
    </row>
    <row r="45083" spans="30:30" x14ac:dyDescent="0.25">
      <c r="AD45083"/>
    </row>
    <row r="45084" spans="30:30" x14ac:dyDescent="0.25">
      <c r="AD45084"/>
    </row>
    <row r="45085" spans="30:30" x14ac:dyDescent="0.25">
      <c r="AD45085"/>
    </row>
    <row r="45086" spans="30:30" x14ac:dyDescent="0.25">
      <c r="AD45086"/>
    </row>
    <row r="45087" spans="30:30" x14ac:dyDescent="0.25">
      <c r="AD45087"/>
    </row>
    <row r="45088" spans="30:30" x14ac:dyDescent="0.25">
      <c r="AD45088"/>
    </row>
    <row r="45089" spans="30:30" x14ac:dyDescent="0.25">
      <c r="AD45089"/>
    </row>
    <row r="45090" spans="30:30" x14ac:dyDescent="0.25">
      <c r="AD45090"/>
    </row>
    <row r="45091" spans="30:30" x14ac:dyDescent="0.25">
      <c r="AD45091"/>
    </row>
    <row r="45092" spans="30:30" x14ac:dyDescent="0.25">
      <c r="AD45092"/>
    </row>
    <row r="45093" spans="30:30" x14ac:dyDescent="0.25">
      <c r="AD45093"/>
    </row>
    <row r="45094" spans="30:30" x14ac:dyDescent="0.25">
      <c r="AD45094"/>
    </row>
    <row r="45095" spans="30:30" x14ac:dyDescent="0.25">
      <c r="AD45095"/>
    </row>
    <row r="45096" spans="30:30" x14ac:dyDescent="0.25">
      <c r="AD45096"/>
    </row>
    <row r="45097" spans="30:30" x14ac:dyDescent="0.25">
      <c r="AD45097"/>
    </row>
    <row r="45098" spans="30:30" x14ac:dyDescent="0.25">
      <c r="AD45098"/>
    </row>
    <row r="45099" spans="30:30" x14ac:dyDescent="0.25">
      <c r="AD45099"/>
    </row>
    <row r="45100" spans="30:30" x14ac:dyDescent="0.25">
      <c r="AD45100"/>
    </row>
    <row r="45101" spans="30:30" x14ac:dyDescent="0.25">
      <c r="AD45101"/>
    </row>
    <row r="45102" spans="30:30" x14ac:dyDescent="0.25">
      <c r="AD45102"/>
    </row>
    <row r="45103" spans="30:30" x14ac:dyDescent="0.25">
      <c r="AD45103"/>
    </row>
    <row r="45104" spans="30:30" x14ac:dyDescent="0.25">
      <c r="AD45104"/>
    </row>
    <row r="45105" spans="30:30" x14ac:dyDescent="0.25">
      <c r="AD45105"/>
    </row>
    <row r="45106" spans="30:30" x14ac:dyDescent="0.25">
      <c r="AD45106"/>
    </row>
    <row r="45107" spans="30:30" x14ac:dyDescent="0.25">
      <c r="AD45107"/>
    </row>
    <row r="45108" spans="30:30" x14ac:dyDescent="0.25">
      <c r="AD45108"/>
    </row>
    <row r="45109" spans="30:30" x14ac:dyDescent="0.25">
      <c r="AD45109"/>
    </row>
    <row r="45110" spans="30:30" x14ac:dyDescent="0.25">
      <c r="AD45110"/>
    </row>
    <row r="45111" spans="30:30" x14ac:dyDescent="0.25">
      <c r="AD45111"/>
    </row>
    <row r="45112" spans="30:30" x14ac:dyDescent="0.25">
      <c r="AD45112"/>
    </row>
    <row r="45113" spans="30:30" x14ac:dyDescent="0.25">
      <c r="AD45113"/>
    </row>
    <row r="45114" spans="30:30" x14ac:dyDescent="0.25">
      <c r="AD45114"/>
    </row>
    <row r="45115" spans="30:30" x14ac:dyDescent="0.25">
      <c r="AD45115"/>
    </row>
    <row r="45116" spans="30:30" x14ac:dyDescent="0.25">
      <c r="AD45116"/>
    </row>
    <row r="45117" spans="30:30" x14ac:dyDescent="0.25">
      <c r="AD45117"/>
    </row>
    <row r="45118" spans="30:30" x14ac:dyDescent="0.25">
      <c r="AD45118"/>
    </row>
    <row r="45119" spans="30:30" x14ac:dyDescent="0.25">
      <c r="AD45119"/>
    </row>
    <row r="45120" spans="30:30" x14ac:dyDescent="0.25">
      <c r="AD45120"/>
    </row>
    <row r="45121" spans="30:30" x14ac:dyDescent="0.25">
      <c r="AD45121"/>
    </row>
    <row r="45122" spans="30:30" x14ac:dyDescent="0.25">
      <c r="AD45122"/>
    </row>
    <row r="45123" spans="30:30" x14ac:dyDescent="0.25">
      <c r="AD45123"/>
    </row>
    <row r="45124" spans="30:30" x14ac:dyDescent="0.25">
      <c r="AD45124"/>
    </row>
    <row r="45125" spans="30:30" x14ac:dyDescent="0.25">
      <c r="AD45125"/>
    </row>
    <row r="45126" spans="30:30" x14ac:dyDescent="0.25">
      <c r="AD45126"/>
    </row>
    <row r="45127" spans="30:30" x14ac:dyDescent="0.25">
      <c r="AD45127"/>
    </row>
    <row r="45128" spans="30:30" x14ac:dyDescent="0.25">
      <c r="AD45128"/>
    </row>
    <row r="45129" spans="30:30" x14ac:dyDescent="0.25">
      <c r="AD45129"/>
    </row>
    <row r="45130" spans="30:30" x14ac:dyDescent="0.25">
      <c r="AD45130"/>
    </row>
    <row r="45131" spans="30:30" x14ac:dyDescent="0.25">
      <c r="AD45131"/>
    </row>
    <row r="45132" spans="30:30" x14ac:dyDescent="0.25">
      <c r="AD45132"/>
    </row>
    <row r="45133" spans="30:30" x14ac:dyDescent="0.25">
      <c r="AD45133"/>
    </row>
    <row r="45134" spans="30:30" x14ac:dyDescent="0.25">
      <c r="AD45134"/>
    </row>
    <row r="45135" spans="30:30" x14ac:dyDescent="0.25">
      <c r="AD45135"/>
    </row>
    <row r="45136" spans="30:30" x14ac:dyDescent="0.25">
      <c r="AD45136"/>
    </row>
    <row r="45137" spans="30:30" x14ac:dyDescent="0.25">
      <c r="AD45137"/>
    </row>
    <row r="45138" spans="30:30" x14ac:dyDescent="0.25">
      <c r="AD45138"/>
    </row>
    <row r="45139" spans="30:30" x14ac:dyDescent="0.25">
      <c r="AD45139"/>
    </row>
    <row r="45140" spans="30:30" x14ac:dyDescent="0.25">
      <c r="AD45140"/>
    </row>
    <row r="45141" spans="30:30" x14ac:dyDescent="0.25">
      <c r="AD45141"/>
    </row>
    <row r="45142" spans="30:30" x14ac:dyDescent="0.25">
      <c r="AD45142"/>
    </row>
    <row r="45143" spans="30:30" x14ac:dyDescent="0.25">
      <c r="AD45143"/>
    </row>
    <row r="45144" spans="30:30" x14ac:dyDescent="0.25">
      <c r="AD45144"/>
    </row>
    <row r="45145" spans="30:30" x14ac:dyDescent="0.25">
      <c r="AD45145"/>
    </row>
    <row r="45146" spans="30:30" x14ac:dyDescent="0.25">
      <c r="AD45146"/>
    </row>
    <row r="45147" spans="30:30" x14ac:dyDescent="0.25">
      <c r="AD45147"/>
    </row>
    <row r="45148" spans="30:30" x14ac:dyDescent="0.25">
      <c r="AD45148"/>
    </row>
    <row r="45149" spans="30:30" x14ac:dyDescent="0.25">
      <c r="AD45149"/>
    </row>
    <row r="45150" spans="30:30" x14ac:dyDescent="0.25">
      <c r="AD45150"/>
    </row>
    <row r="45151" spans="30:30" x14ac:dyDescent="0.25">
      <c r="AD45151"/>
    </row>
    <row r="45152" spans="30:30" x14ac:dyDescent="0.25">
      <c r="AD45152"/>
    </row>
    <row r="45153" spans="30:30" x14ac:dyDescent="0.25">
      <c r="AD45153"/>
    </row>
    <row r="45154" spans="30:30" x14ac:dyDescent="0.25">
      <c r="AD45154"/>
    </row>
    <row r="45155" spans="30:30" x14ac:dyDescent="0.25">
      <c r="AD45155"/>
    </row>
    <row r="45156" spans="30:30" x14ac:dyDescent="0.25">
      <c r="AD45156"/>
    </row>
    <row r="45157" spans="30:30" x14ac:dyDescent="0.25">
      <c r="AD45157"/>
    </row>
    <row r="45158" spans="30:30" x14ac:dyDescent="0.25">
      <c r="AD45158"/>
    </row>
    <row r="45159" spans="30:30" x14ac:dyDescent="0.25">
      <c r="AD45159"/>
    </row>
    <row r="45160" spans="30:30" x14ac:dyDescent="0.25">
      <c r="AD45160"/>
    </row>
    <row r="45161" spans="30:30" x14ac:dyDescent="0.25">
      <c r="AD45161"/>
    </row>
    <row r="45162" spans="30:30" x14ac:dyDescent="0.25">
      <c r="AD45162"/>
    </row>
    <row r="45163" spans="30:30" x14ac:dyDescent="0.25">
      <c r="AD45163"/>
    </row>
    <row r="45164" spans="30:30" x14ac:dyDescent="0.25">
      <c r="AD45164"/>
    </row>
    <row r="45165" spans="30:30" x14ac:dyDescent="0.25">
      <c r="AD45165"/>
    </row>
    <row r="45166" spans="30:30" x14ac:dyDescent="0.25">
      <c r="AD45166"/>
    </row>
    <row r="45167" spans="30:30" x14ac:dyDescent="0.25">
      <c r="AD45167"/>
    </row>
    <row r="45168" spans="30:30" x14ac:dyDescent="0.25">
      <c r="AD45168"/>
    </row>
    <row r="45169" spans="30:30" x14ac:dyDescent="0.25">
      <c r="AD45169"/>
    </row>
    <row r="45170" spans="30:30" x14ac:dyDescent="0.25">
      <c r="AD45170"/>
    </row>
    <row r="45171" spans="30:30" x14ac:dyDescent="0.25">
      <c r="AD45171"/>
    </row>
    <row r="45172" spans="30:30" x14ac:dyDescent="0.25">
      <c r="AD45172"/>
    </row>
    <row r="45173" spans="30:30" x14ac:dyDescent="0.25">
      <c r="AD45173"/>
    </row>
    <row r="45174" spans="30:30" x14ac:dyDescent="0.25">
      <c r="AD45174"/>
    </row>
    <row r="45175" spans="30:30" x14ac:dyDescent="0.25">
      <c r="AD45175"/>
    </row>
    <row r="45176" spans="30:30" x14ac:dyDescent="0.25">
      <c r="AD45176"/>
    </row>
    <row r="45177" spans="30:30" x14ac:dyDescent="0.25">
      <c r="AD45177"/>
    </row>
    <row r="45178" spans="30:30" x14ac:dyDescent="0.25">
      <c r="AD45178"/>
    </row>
    <row r="45179" spans="30:30" x14ac:dyDescent="0.25">
      <c r="AD45179"/>
    </row>
    <row r="45180" spans="30:30" x14ac:dyDescent="0.25">
      <c r="AD45180"/>
    </row>
    <row r="45181" spans="30:30" x14ac:dyDescent="0.25">
      <c r="AD45181"/>
    </row>
    <row r="45182" spans="30:30" x14ac:dyDescent="0.25">
      <c r="AD45182"/>
    </row>
    <row r="45183" spans="30:30" x14ac:dyDescent="0.25">
      <c r="AD45183"/>
    </row>
    <row r="45184" spans="30:30" x14ac:dyDescent="0.25">
      <c r="AD45184"/>
    </row>
    <row r="45185" spans="30:30" x14ac:dyDescent="0.25">
      <c r="AD45185"/>
    </row>
    <row r="45186" spans="30:30" x14ac:dyDescent="0.25">
      <c r="AD45186"/>
    </row>
    <row r="45187" spans="30:30" x14ac:dyDescent="0.25">
      <c r="AD45187"/>
    </row>
    <row r="45188" spans="30:30" x14ac:dyDescent="0.25">
      <c r="AD45188"/>
    </row>
    <row r="45189" spans="30:30" x14ac:dyDescent="0.25">
      <c r="AD45189"/>
    </row>
    <row r="45190" spans="30:30" x14ac:dyDescent="0.25">
      <c r="AD45190"/>
    </row>
    <row r="45191" spans="30:30" x14ac:dyDescent="0.25">
      <c r="AD45191"/>
    </row>
    <row r="45192" spans="30:30" x14ac:dyDescent="0.25">
      <c r="AD45192"/>
    </row>
    <row r="45193" spans="30:30" x14ac:dyDescent="0.25">
      <c r="AD45193"/>
    </row>
    <row r="45194" spans="30:30" x14ac:dyDescent="0.25">
      <c r="AD45194"/>
    </row>
    <row r="45195" spans="30:30" x14ac:dyDescent="0.25">
      <c r="AD45195"/>
    </row>
    <row r="45196" spans="30:30" x14ac:dyDescent="0.25">
      <c r="AD45196"/>
    </row>
    <row r="45197" spans="30:30" x14ac:dyDescent="0.25">
      <c r="AD45197"/>
    </row>
    <row r="45198" spans="30:30" x14ac:dyDescent="0.25">
      <c r="AD45198"/>
    </row>
    <row r="45199" spans="30:30" x14ac:dyDescent="0.25">
      <c r="AD45199"/>
    </row>
    <row r="45200" spans="30:30" x14ac:dyDescent="0.25">
      <c r="AD45200"/>
    </row>
    <row r="45201" spans="30:30" x14ac:dyDescent="0.25">
      <c r="AD45201"/>
    </row>
    <row r="45202" spans="30:30" x14ac:dyDescent="0.25">
      <c r="AD45202"/>
    </row>
    <row r="45203" spans="30:30" x14ac:dyDescent="0.25">
      <c r="AD45203"/>
    </row>
    <row r="45204" spans="30:30" x14ac:dyDescent="0.25">
      <c r="AD45204"/>
    </row>
    <row r="45205" spans="30:30" x14ac:dyDescent="0.25">
      <c r="AD45205"/>
    </row>
    <row r="45206" spans="30:30" x14ac:dyDescent="0.25">
      <c r="AD45206"/>
    </row>
    <row r="45207" spans="30:30" x14ac:dyDescent="0.25">
      <c r="AD45207"/>
    </row>
    <row r="45208" spans="30:30" x14ac:dyDescent="0.25">
      <c r="AD45208"/>
    </row>
    <row r="45209" spans="30:30" x14ac:dyDescent="0.25">
      <c r="AD45209"/>
    </row>
    <row r="45210" spans="30:30" x14ac:dyDescent="0.25">
      <c r="AD45210"/>
    </row>
    <row r="45211" spans="30:30" x14ac:dyDescent="0.25">
      <c r="AD45211"/>
    </row>
    <row r="45212" spans="30:30" x14ac:dyDescent="0.25">
      <c r="AD45212"/>
    </row>
    <row r="45213" spans="30:30" x14ac:dyDescent="0.25">
      <c r="AD45213"/>
    </row>
    <row r="45214" spans="30:30" x14ac:dyDescent="0.25">
      <c r="AD45214"/>
    </row>
    <row r="45215" spans="30:30" x14ac:dyDescent="0.25">
      <c r="AD45215"/>
    </row>
    <row r="45216" spans="30:30" x14ac:dyDescent="0.25">
      <c r="AD45216"/>
    </row>
    <row r="45217" spans="30:30" x14ac:dyDescent="0.25">
      <c r="AD45217"/>
    </row>
    <row r="45218" spans="30:30" x14ac:dyDescent="0.25">
      <c r="AD45218"/>
    </row>
    <row r="45219" spans="30:30" x14ac:dyDescent="0.25">
      <c r="AD45219"/>
    </row>
    <row r="45220" spans="30:30" x14ac:dyDescent="0.25">
      <c r="AD45220"/>
    </row>
    <row r="45221" spans="30:30" x14ac:dyDescent="0.25">
      <c r="AD45221"/>
    </row>
    <row r="45222" spans="30:30" x14ac:dyDescent="0.25">
      <c r="AD45222"/>
    </row>
    <row r="45223" spans="30:30" x14ac:dyDescent="0.25">
      <c r="AD45223"/>
    </row>
    <row r="45224" spans="30:30" x14ac:dyDescent="0.25">
      <c r="AD45224"/>
    </row>
    <row r="45225" spans="30:30" x14ac:dyDescent="0.25">
      <c r="AD45225"/>
    </row>
    <row r="45226" spans="30:30" x14ac:dyDescent="0.25">
      <c r="AD45226"/>
    </row>
    <row r="45227" spans="30:30" x14ac:dyDescent="0.25">
      <c r="AD45227"/>
    </row>
    <row r="45228" spans="30:30" x14ac:dyDescent="0.25">
      <c r="AD45228"/>
    </row>
    <row r="45229" spans="30:30" x14ac:dyDescent="0.25">
      <c r="AD45229"/>
    </row>
    <row r="45230" spans="30:30" x14ac:dyDescent="0.25">
      <c r="AD45230"/>
    </row>
    <row r="45231" spans="30:30" x14ac:dyDescent="0.25">
      <c r="AD45231"/>
    </row>
    <row r="45232" spans="30:30" x14ac:dyDescent="0.25">
      <c r="AD45232"/>
    </row>
    <row r="45233" spans="30:30" x14ac:dyDescent="0.25">
      <c r="AD45233"/>
    </row>
    <row r="45234" spans="30:30" x14ac:dyDescent="0.25">
      <c r="AD45234"/>
    </row>
    <row r="45235" spans="30:30" x14ac:dyDescent="0.25">
      <c r="AD45235"/>
    </row>
    <row r="45236" spans="30:30" x14ac:dyDescent="0.25">
      <c r="AD45236"/>
    </row>
    <row r="45237" spans="30:30" x14ac:dyDescent="0.25">
      <c r="AD45237"/>
    </row>
    <row r="45238" spans="30:30" x14ac:dyDescent="0.25">
      <c r="AD45238"/>
    </row>
    <row r="45239" spans="30:30" x14ac:dyDescent="0.25">
      <c r="AD45239"/>
    </row>
    <row r="45240" spans="30:30" x14ac:dyDescent="0.25">
      <c r="AD45240"/>
    </row>
    <row r="45241" spans="30:30" x14ac:dyDescent="0.25">
      <c r="AD45241"/>
    </row>
    <row r="45242" spans="30:30" x14ac:dyDescent="0.25">
      <c r="AD45242"/>
    </row>
    <row r="45243" spans="30:30" x14ac:dyDescent="0.25">
      <c r="AD45243"/>
    </row>
    <row r="45244" spans="30:30" x14ac:dyDescent="0.25">
      <c r="AD45244"/>
    </row>
    <row r="45245" spans="30:30" x14ac:dyDescent="0.25">
      <c r="AD45245"/>
    </row>
    <row r="45246" spans="30:30" x14ac:dyDescent="0.25">
      <c r="AD45246"/>
    </row>
    <row r="45247" spans="30:30" x14ac:dyDescent="0.25">
      <c r="AD45247"/>
    </row>
    <row r="45248" spans="30:30" x14ac:dyDescent="0.25">
      <c r="AD45248"/>
    </row>
    <row r="45249" spans="30:30" x14ac:dyDescent="0.25">
      <c r="AD45249"/>
    </row>
    <row r="45250" spans="30:30" x14ac:dyDescent="0.25">
      <c r="AD45250"/>
    </row>
    <row r="45251" spans="30:30" x14ac:dyDescent="0.25">
      <c r="AD45251"/>
    </row>
    <row r="45252" spans="30:30" x14ac:dyDescent="0.25">
      <c r="AD45252"/>
    </row>
    <row r="45253" spans="30:30" x14ac:dyDescent="0.25">
      <c r="AD45253"/>
    </row>
    <row r="45254" spans="30:30" x14ac:dyDescent="0.25">
      <c r="AD45254"/>
    </row>
    <row r="45255" spans="30:30" x14ac:dyDescent="0.25">
      <c r="AD45255"/>
    </row>
    <row r="45256" spans="30:30" x14ac:dyDescent="0.25">
      <c r="AD45256"/>
    </row>
    <row r="45257" spans="30:30" x14ac:dyDescent="0.25">
      <c r="AD45257"/>
    </row>
    <row r="45258" spans="30:30" x14ac:dyDescent="0.25">
      <c r="AD45258"/>
    </row>
    <row r="45259" spans="30:30" x14ac:dyDescent="0.25">
      <c r="AD45259"/>
    </row>
    <row r="45260" spans="30:30" x14ac:dyDescent="0.25">
      <c r="AD45260"/>
    </row>
    <row r="45261" spans="30:30" x14ac:dyDescent="0.25">
      <c r="AD45261"/>
    </row>
    <row r="45262" spans="30:30" x14ac:dyDescent="0.25">
      <c r="AD45262"/>
    </row>
    <row r="45263" spans="30:30" x14ac:dyDescent="0.25">
      <c r="AD45263"/>
    </row>
    <row r="45264" spans="30:30" x14ac:dyDescent="0.25">
      <c r="AD45264"/>
    </row>
    <row r="45265" spans="30:30" x14ac:dyDescent="0.25">
      <c r="AD45265"/>
    </row>
    <row r="45266" spans="30:30" x14ac:dyDescent="0.25">
      <c r="AD45266"/>
    </row>
    <row r="45267" spans="30:30" x14ac:dyDescent="0.25">
      <c r="AD45267"/>
    </row>
    <row r="45268" spans="30:30" x14ac:dyDescent="0.25">
      <c r="AD45268"/>
    </row>
    <row r="45269" spans="30:30" x14ac:dyDescent="0.25">
      <c r="AD45269"/>
    </row>
    <row r="45270" spans="30:30" x14ac:dyDescent="0.25">
      <c r="AD45270"/>
    </row>
    <row r="45271" spans="30:30" x14ac:dyDescent="0.25">
      <c r="AD45271"/>
    </row>
    <row r="45272" spans="30:30" x14ac:dyDescent="0.25">
      <c r="AD45272"/>
    </row>
    <row r="45273" spans="30:30" x14ac:dyDescent="0.25">
      <c r="AD45273"/>
    </row>
    <row r="45274" spans="30:30" x14ac:dyDescent="0.25">
      <c r="AD45274"/>
    </row>
    <row r="45275" spans="30:30" x14ac:dyDescent="0.25">
      <c r="AD45275"/>
    </row>
    <row r="45276" spans="30:30" x14ac:dyDescent="0.25">
      <c r="AD45276"/>
    </row>
    <row r="45277" spans="30:30" x14ac:dyDescent="0.25">
      <c r="AD45277"/>
    </row>
    <row r="45278" spans="30:30" x14ac:dyDescent="0.25">
      <c r="AD45278"/>
    </row>
    <row r="45279" spans="30:30" x14ac:dyDescent="0.25">
      <c r="AD45279"/>
    </row>
    <row r="45280" spans="30:30" x14ac:dyDescent="0.25">
      <c r="AD45280"/>
    </row>
    <row r="45281" spans="30:30" x14ac:dyDescent="0.25">
      <c r="AD45281"/>
    </row>
    <row r="45282" spans="30:30" x14ac:dyDescent="0.25">
      <c r="AD45282"/>
    </row>
    <row r="45283" spans="30:30" x14ac:dyDescent="0.25">
      <c r="AD45283"/>
    </row>
    <row r="45284" spans="30:30" x14ac:dyDescent="0.25">
      <c r="AD45284"/>
    </row>
    <row r="45285" spans="30:30" x14ac:dyDescent="0.25">
      <c r="AD45285"/>
    </row>
    <row r="45286" spans="30:30" x14ac:dyDescent="0.25">
      <c r="AD45286"/>
    </row>
    <row r="45287" spans="30:30" x14ac:dyDescent="0.25">
      <c r="AD45287"/>
    </row>
    <row r="45288" spans="30:30" x14ac:dyDescent="0.25">
      <c r="AD45288"/>
    </row>
    <row r="45289" spans="30:30" x14ac:dyDescent="0.25">
      <c r="AD45289"/>
    </row>
    <row r="45290" spans="30:30" x14ac:dyDescent="0.25">
      <c r="AD45290"/>
    </row>
    <row r="45291" spans="30:30" x14ac:dyDescent="0.25">
      <c r="AD45291"/>
    </row>
    <row r="45292" spans="30:30" x14ac:dyDescent="0.25">
      <c r="AD45292"/>
    </row>
    <row r="45293" spans="30:30" x14ac:dyDescent="0.25">
      <c r="AD45293"/>
    </row>
    <row r="45294" spans="30:30" x14ac:dyDescent="0.25">
      <c r="AD45294"/>
    </row>
    <row r="45295" spans="30:30" x14ac:dyDescent="0.25">
      <c r="AD45295"/>
    </row>
    <row r="45296" spans="30:30" x14ac:dyDescent="0.25">
      <c r="AD45296"/>
    </row>
    <row r="45297" spans="30:30" x14ac:dyDescent="0.25">
      <c r="AD45297"/>
    </row>
    <row r="45298" spans="30:30" x14ac:dyDescent="0.25">
      <c r="AD45298"/>
    </row>
    <row r="45299" spans="30:30" x14ac:dyDescent="0.25">
      <c r="AD45299"/>
    </row>
    <row r="45300" spans="30:30" x14ac:dyDescent="0.25">
      <c r="AD45300"/>
    </row>
    <row r="45301" spans="30:30" x14ac:dyDescent="0.25">
      <c r="AD45301"/>
    </row>
    <row r="45302" spans="30:30" x14ac:dyDescent="0.25">
      <c r="AD45302"/>
    </row>
    <row r="45303" spans="30:30" x14ac:dyDescent="0.25">
      <c r="AD45303"/>
    </row>
    <row r="45304" spans="30:30" x14ac:dyDescent="0.25">
      <c r="AD45304"/>
    </row>
    <row r="45305" spans="30:30" x14ac:dyDescent="0.25">
      <c r="AD45305"/>
    </row>
    <row r="45306" spans="30:30" x14ac:dyDescent="0.25">
      <c r="AD45306"/>
    </row>
    <row r="45307" spans="30:30" x14ac:dyDescent="0.25">
      <c r="AD45307"/>
    </row>
    <row r="45308" spans="30:30" x14ac:dyDescent="0.25">
      <c r="AD45308"/>
    </row>
    <row r="45309" spans="30:30" x14ac:dyDescent="0.25">
      <c r="AD45309"/>
    </row>
    <row r="45310" spans="30:30" x14ac:dyDescent="0.25">
      <c r="AD45310"/>
    </row>
    <row r="45311" spans="30:30" x14ac:dyDescent="0.25">
      <c r="AD45311"/>
    </row>
    <row r="45312" spans="30:30" x14ac:dyDescent="0.25">
      <c r="AD45312"/>
    </row>
    <row r="45313" spans="30:30" x14ac:dyDescent="0.25">
      <c r="AD45313"/>
    </row>
    <row r="45314" spans="30:30" x14ac:dyDescent="0.25">
      <c r="AD45314"/>
    </row>
    <row r="45315" spans="30:30" x14ac:dyDescent="0.25">
      <c r="AD45315"/>
    </row>
    <row r="45316" spans="30:30" x14ac:dyDescent="0.25">
      <c r="AD45316"/>
    </row>
    <row r="45317" spans="30:30" x14ac:dyDescent="0.25">
      <c r="AD45317"/>
    </row>
    <row r="45318" spans="30:30" x14ac:dyDescent="0.25">
      <c r="AD45318"/>
    </row>
    <row r="45319" spans="30:30" x14ac:dyDescent="0.25">
      <c r="AD45319"/>
    </row>
    <row r="45320" spans="30:30" x14ac:dyDescent="0.25">
      <c r="AD45320"/>
    </row>
    <row r="45321" spans="30:30" x14ac:dyDescent="0.25">
      <c r="AD45321"/>
    </row>
    <row r="45322" spans="30:30" x14ac:dyDescent="0.25">
      <c r="AD45322"/>
    </row>
    <row r="45323" spans="30:30" x14ac:dyDescent="0.25">
      <c r="AD45323"/>
    </row>
    <row r="45324" spans="30:30" x14ac:dyDescent="0.25">
      <c r="AD45324"/>
    </row>
    <row r="45325" spans="30:30" x14ac:dyDescent="0.25">
      <c r="AD45325"/>
    </row>
    <row r="45326" spans="30:30" x14ac:dyDescent="0.25">
      <c r="AD45326"/>
    </row>
    <row r="45327" spans="30:30" x14ac:dyDescent="0.25">
      <c r="AD45327"/>
    </row>
    <row r="45328" spans="30:30" x14ac:dyDescent="0.25">
      <c r="AD45328"/>
    </row>
    <row r="45329" spans="30:30" x14ac:dyDescent="0.25">
      <c r="AD45329"/>
    </row>
    <row r="45330" spans="30:30" x14ac:dyDescent="0.25">
      <c r="AD45330"/>
    </row>
    <row r="45331" spans="30:30" x14ac:dyDescent="0.25">
      <c r="AD45331"/>
    </row>
    <row r="45332" spans="30:30" x14ac:dyDescent="0.25">
      <c r="AD45332"/>
    </row>
    <row r="45333" spans="30:30" x14ac:dyDescent="0.25">
      <c r="AD45333"/>
    </row>
    <row r="45334" spans="30:30" x14ac:dyDescent="0.25">
      <c r="AD45334"/>
    </row>
    <row r="45335" spans="30:30" x14ac:dyDescent="0.25">
      <c r="AD45335"/>
    </row>
    <row r="45336" spans="30:30" x14ac:dyDescent="0.25">
      <c r="AD45336"/>
    </row>
    <row r="45337" spans="30:30" x14ac:dyDescent="0.25">
      <c r="AD45337"/>
    </row>
    <row r="45338" spans="30:30" x14ac:dyDescent="0.25">
      <c r="AD45338"/>
    </row>
    <row r="45339" spans="30:30" x14ac:dyDescent="0.25">
      <c r="AD45339"/>
    </row>
    <row r="45340" spans="30:30" x14ac:dyDescent="0.25">
      <c r="AD45340"/>
    </row>
    <row r="45341" spans="30:30" x14ac:dyDescent="0.25">
      <c r="AD45341"/>
    </row>
    <row r="45342" spans="30:30" x14ac:dyDescent="0.25">
      <c r="AD45342"/>
    </row>
    <row r="45343" spans="30:30" x14ac:dyDescent="0.25">
      <c r="AD45343"/>
    </row>
    <row r="45344" spans="30:30" x14ac:dyDescent="0.25">
      <c r="AD45344"/>
    </row>
    <row r="45345" spans="30:30" x14ac:dyDescent="0.25">
      <c r="AD45345"/>
    </row>
    <row r="45346" spans="30:30" x14ac:dyDescent="0.25">
      <c r="AD45346"/>
    </row>
    <row r="45347" spans="30:30" x14ac:dyDescent="0.25">
      <c r="AD45347"/>
    </row>
    <row r="45348" spans="30:30" x14ac:dyDescent="0.25">
      <c r="AD45348"/>
    </row>
    <row r="45349" spans="30:30" x14ac:dyDescent="0.25">
      <c r="AD45349"/>
    </row>
    <row r="45350" spans="30:30" x14ac:dyDescent="0.25">
      <c r="AD45350"/>
    </row>
    <row r="45351" spans="30:30" x14ac:dyDescent="0.25">
      <c r="AD45351"/>
    </row>
    <row r="45352" spans="30:30" x14ac:dyDescent="0.25">
      <c r="AD45352"/>
    </row>
    <row r="45353" spans="30:30" x14ac:dyDescent="0.25">
      <c r="AD45353"/>
    </row>
    <row r="45354" spans="30:30" x14ac:dyDescent="0.25">
      <c r="AD45354"/>
    </row>
    <row r="45355" spans="30:30" x14ac:dyDescent="0.25">
      <c r="AD45355"/>
    </row>
    <row r="45356" spans="30:30" x14ac:dyDescent="0.25">
      <c r="AD45356"/>
    </row>
    <row r="45357" spans="30:30" x14ac:dyDescent="0.25">
      <c r="AD45357"/>
    </row>
    <row r="45358" spans="30:30" x14ac:dyDescent="0.25">
      <c r="AD45358"/>
    </row>
    <row r="45359" spans="30:30" x14ac:dyDescent="0.25">
      <c r="AD45359"/>
    </row>
    <row r="45360" spans="30:30" x14ac:dyDescent="0.25">
      <c r="AD45360"/>
    </row>
    <row r="45361" spans="30:30" x14ac:dyDescent="0.25">
      <c r="AD45361"/>
    </row>
    <row r="45362" spans="30:30" x14ac:dyDescent="0.25">
      <c r="AD45362"/>
    </row>
    <row r="45363" spans="30:30" x14ac:dyDescent="0.25">
      <c r="AD45363"/>
    </row>
    <row r="45364" spans="30:30" x14ac:dyDescent="0.25">
      <c r="AD45364"/>
    </row>
    <row r="45365" spans="30:30" x14ac:dyDescent="0.25">
      <c r="AD45365"/>
    </row>
    <row r="45366" spans="30:30" x14ac:dyDescent="0.25">
      <c r="AD45366"/>
    </row>
    <row r="45367" spans="30:30" x14ac:dyDescent="0.25">
      <c r="AD45367"/>
    </row>
    <row r="45368" spans="30:30" x14ac:dyDescent="0.25">
      <c r="AD45368"/>
    </row>
    <row r="45369" spans="30:30" x14ac:dyDescent="0.25">
      <c r="AD45369"/>
    </row>
    <row r="45370" spans="30:30" x14ac:dyDescent="0.25">
      <c r="AD45370"/>
    </row>
    <row r="45371" spans="30:30" x14ac:dyDescent="0.25">
      <c r="AD45371"/>
    </row>
    <row r="45372" spans="30:30" x14ac:dyDescent="0.25">
      <c r="AD45372"/>
    </row>
    <row r="45373" spans="30:30" x14ac:dyDescent="0.25">
      <c r="AD45373"/>
    </row>
    <row r="45374" spans="30:30" x14ac:dyDescent="0.25">
      <c r="AD45374"/>
    </row>
    <row r="45375" spans="30:30" x14ac:dyDescent="0.25">
      <c r="AD45375"/>
    </row>
    <row r="45376" spans="30:30" x14ac:dyDescent="0.25">
      <c r="AD45376"/>
    </row>
    <row r="45377" spans="30:30" x14ac:dyDescent="0.25">
      <c r="AD45377"/>
    </row>
    <row r="45378" spans="30:30" x14ac:dyDescent="0.25">
      <c r="AD45378"/>
    </row>
    <row r="45379" spans="30:30" x14ac:dyDescent="0.25">
      <c r="AD45379"/>
    </row>
    <row r="45380" spans="30:30" x14ac:dyDescent="0.25">
      <c r="AD45380"/>
    </row>
    <row r="45381" spans="30:30" x14ac:dyDescent="0.25">
      <c r="AD45381"/>
    </row>
    <row r="45382" spans="30:30" x14ac:dyDescent="0.25">
      <c r="AD45382"/>
    </row>
    <row r="45383" spans="30:30" x14ac:dyDescent="0.25">
      <c r="AD45383"/>
    </row>
    <row r="45384" spans="30:30" x14ac:dyDescent="0.25">
      <c r="AD45384"/>
    </row>
    <row r="45385" spans="30:30" x14ac:dyDescent="0.25">
      <c r="AD45385"/>
    </row>
    <row r="45386" spans="30:30" x14ac:dyDescent="0.25">
      <c r="AD45386"/>
    </row>
    <row r="45387" spans="30:30" x14ac:dyDescent="0.25">
      <c r="AD45387"/>
    </row>
    <row r="45388" spans="30:30" x14ac:dyDescent="0.25">
      <c r="AD45388"/>
    </row>
    <row r="45389" spans="30:30" x14ac:dyDescent="0.25">
      <c r="AD45389"/>
    </row>
    <row r="45390" spans="30:30" x14ac:dyDescent="0.25">
      <c r="AD45390"/>
    </row>
    <row r="45391" spans="30:30" x14ac:dyDescent="0.25">
      <c r="AD45391"/>
    </row>
    <row r="45392" spans="30:30" x14ac:dyDescent="0.25">
      <c r="AD45392"/>
    </row>
    <row r="45393" spans="30:30" x14ac:dyDescent="0.25">
      <c r="AD45393"/>
    </row>
    <row r="45394" spans="30:30" x14ac:dyDescent="0.25">
      <c r="AD45394"/>
    </row>
    <row r="45395" spans="30:30" x14ac:dyDescent="0.25">
      <c r="AD45395"/>
    </row>
    <row r="45396" spans="30:30" x14ac:dyDescent="0.25">
      <c r="AD45396"/>
    </row>
    <row r="45397" spans="30:30" x14ac:dyDescent="0.25">
      <c r="AD45397"/>
    </row>
    <row r="45398" spans="30:30" x14ac:dyDescent="0.25">
      <c r="AD45398"/>
    </row>
    <row r="45399" spans="30:30" x14ac:dyDescent="0.25">
      <c r="AD45399"/>
    </row>
    <row r="45400" spans="30:30" x14ac:dyDescent="0.25">
      <c r="AD45400"/>
    </row>
    <row r="45401" spans="30:30" x14ac:dyDescent="0.25">
      <c r="AD45401"/>
    </row>
    <row r="45402" spans="30:30" x14ac:dyDescent="0.25">
      <c r="AD45402"/>
    </row>
    <row r="45403" spans="30:30" x14ac:dyDescent="0.25">
      <c r="AD45403"/>
    </row>
    <row r="45404" spans="30:30" x14ac:dyDescent="0.25">
      <c r="AD45404"/>
    </row>
    <row r="45405" spans="30:30" x14ac:dyDescent="0.25">
      <c r="AD45405"/>
    </row>
    <row r="45406" spans="30:30" x14ac:dyDescent="0.25">
      <c r="AD45406"/>
    </row>
    <row r="45407" spans="30:30" x14ac:dyDescent="0.25">
      <c r="AD45407"/>
    </row>
    <row r="45408" spans="30:30" x14ac:dyDescent="0.25">
      <c r="AD45408"/>
    </row>
    <row r="45409" spans="30:30" x14ac:dyDescent="0.25">
      <c r="AD45409"/>
    </row>
    <row r="45410" spans="30:30" x14ac:dyDescent="0.25">
      <c r="AD45410"/>
    </row>
    <row r="45411" spans="30:30" x14ac:dyDescent="0.25">
      <c r="AD45411"/>
    </row>
    <row r="45412" spans="30:30" x14ac:dyDescent="0.25">
      <c r="AD45412"/>
    </row>
    <row r="45413" spans="30:30" x14ac:dyDescent="0.25">
      <c r="AD45413"/>
    </row>
    <row r="45414" spans="30:30" x14ac:dyDescent="0.25">
      <c r="AD45414"/>
    </row>
    <row r="45415" spans="30:30" x14ac:dyDescent="0.25">
      <c r="AD45415"/>
    </row>
    <row r="45416" spans="30:30" x14ac:dyDescent="0.25">
      <c r="AD45416"/>
    </row>
    <row r="45417" spans="30:30" x14ac:dyDescent="0.25">
      <c r="AD45417"/>
    </row>
    <row r="45418" spans="30:30" x14ac:dyDescent="0.25">
      <c r="AD45418"/>
    </row>
    <row r="45419" spans="30:30" x14ac:dyDescent="0.25">
      <c r="AD45419"/>
    </row>
    <row r="45420" spans="30:30" x14ac:dyDescent="0.25">
      <c r="AD45420"/>
    </row>
    <row r="45421" spans="30:30" x14ac:dyDescent="0.25">
      <c r="AD45421"/>
    </row>
    <row r="45422" spans="30:30" x14ac:dyDescent="0.25">
      <c r="AD45422"/>
    </row>
    <row r="45423" spans="30:30" x14ac:dyDescent="0.25">
      <c r="AD45423"/>
    </row>
    <row r="45424" spans="30:30" x14ac:dyDescent="0.25">
      <c r="AD45424"/>
    </row>
    <row r="45425" spans="30:30" x14ac:dyDescent="0.25">
      <c r="AD45425"/>
    </row>
    <row r="45426" spans="30:30" x14ac:dyDescent="0.25">
      <c r="AD45426"/>
    </row>
    <row r="45427" spans="30:30" x14ac:dyDescent="0.25">
      <c r="AD45427"/>
    </row>
    <row r="45428" spans="30:30" x14ac:dyDescent="0.25">
      <c r="AD45428"/>
    </row>
    <row r="45429" spans="30:30" x14ac:dyDescent="0.25">
      <c r="AD45429"/>
    </row>
    <row r="45430" spans="30:30" x14ac:dyDescent="0.25">
      <c r="AD45430"/>
    </row>
    <row r="45431" spans="30:30" x14ac:dyDescent="0.25">
      <c r="AD45431"/>
    </row>
    <row r="45432" spans="30:30" x14ac:dyDescent="0.25">
      <c r="AD45432"/>
    </row>
    <row r="45433" spans="30:30" x14ac:dyDescent="0.25">
      <c r="AD45433"/>
    </row>
    <row r="45434" spans="30:30" x14ac:dyDescent="0.25">
      <c r="AD45434"/>
    </row>
    <row r="45435" spans="30:30" x14ac:dyDescent="0.25">
      <c r="AD45435"/>
    </row>
    <row r="45436" spans="30:30" x14ac:dyDescent="0.25">
      <c r="AD45436"/>
    </row>
    <row r="45437" spans="30:30" x14ac:dyDescent="0.25">
      <c r="AD45437"/>
    </row>
    <row r="45438" spans="30:30" x14ac:dyDescent="0.25">
      <c r="AD45438"/>
    </row>
    <row r="45439" spans="30:30" x14ac:dyDescent="0.25">
      <c r="AD45439"/>
    </row>
    <row r="45440" spans="30:30" x14ac:dyDescent="0.25">
      <c r="AD45440"/>
    </row>
    <row r="45441" spans="30:30" x14ac:dyDescent="0.25">
      <c r="AD45441"/>
    </row>
    <row r="45442" spans="30:30" x14ac:dyDescent="0.25">
      <c r="AD45442"/>
    </row>
    <row r="45443" spans="30:30" x14ac:dyDescent="0.25">
      <c r="AD45443"/>
    </row>
    <row r="45444" spans="30:30" x14ac:dyDescent="0.25">
      <c r="AD45444"/>
    </row>
    <row r="45445" spans="30:30" x14ac:dyDescent="0.25">
      <c r="AD45445"/>
    </row>
    <row r="45446" spans="30:30" x14ac:dyDescent="0.25">
      <c r="AD45446"/>
    </row>
    <row r="45447" spans="30:30" x14ac:dyDescent="0.25">
      <c r="AD45447"/>
    </row>
    <row r="45448" spans="30:30" x14ac:dyDescent="0.25">
      <c r="AD45448"/>
    </row>
    <row r="45449" spans="30:30" x14ac:dyDescent="0.25">
      <c r="AD45449"/>
    </row>
    <row r="45450" spans="30:30" x14ac:dyDescent="0.25">
      <c r="AD45450"/>
    </row>
    <row r="45451" spans="30:30" x14ac:dyDescent="0.25">
      <c r="AD45451"/>
    </row>
    <row r="45452" spans="30:30" x14ac:dyDescent="0.25">
      <c r="AD45452"/>
    </row>
    <row r="45453" spans="30:30" x14ac:dyDescent="0.25">
      <c r="AD45453"/>
    </row>
    <row r="45454" spans="30:30" x14ac:dyDescent="0.25">
      <c r="AD45454"/>
    </row>
    <row r="45455" spans="30:30" x14ac:dyDescent="0.25">
      <c r="AD45455"/>
    </row>
    <row r="45456" spans="30:30" x14ac:dyDescent="0.25">
      <c r="AD45456"/>
    </row>
    <row r="45457" spans="30:30" x14ac:dyDescent="0.25">
      <c r="AD45457"/>
    </row>
    <row r="45458" spans="30:30" x14ac:dyDescent="0.25">
      <c r="AD45458"/>
    </row>
    <row r="45459" spans="30:30" x14ac:dyDescent="0.25">
      <c r="AD45459"/>
    </row>
    <row r="45460" spans="30:30" x14ac:dyDescent="0.25">
      <c r="AD45460"/>
    </row>
    <row r="45461" spans="30:30" x14ac:dyDescent="0.25">
      <c r="AD45461"/>
    </row>
    <row r="45462" spans="30:30" x14ac:dyDescent="0.25">
      <c r="AD45462"/>
    </row>
    <row r="45463" spans="30:30" x14ac:dyDescent="0.25">
      <c r="AD45463"/>
    </row>
    <row r="45464" spans="30:30" x14ac:dyDescent="0.25">
      <c r="AD45464"/>
    </row>
    <row r="45465" spans="30:30" x14ac:dyDescent="0.25">
      <c r="AD45465"/>
    </row>
    <row r="45466" spans="30:30" x14ac:dyDescent="0.25">
      <c r="AD45466"/>
    </row>
    <row r="45467" spans="30:30" x14ac:dyDescent="0.25">
      <c r="AD45467"/>
    </row>
    <row r="45468" spans="30:30" x14ac:dyDescent="0.25">
      <c r="AD45468"/>
    </row>
    <row r="45469" spans="30:30" x14ac:dyDescent="0.25">
      <c r="AD45469"/>
    </row>
    <row r="45470" spans="30:30" x14ac:dyDescent="0.25">
      <c r="AD45470"/>
    </row>
    <row r="45471" spans="30:30" x14ac:dyDescent="0.25">
      <c r="AD45471"/>
    </row>
    <row r="45472" spans="30:30" x14ac:dyDescent="0.25">
      <c r="AD45472"/>
    </row>
    <row r="45473" spans="30:30" x14ac:dyDescent="0.25">
      <c r="AD45473"/>
    </row>
    <row r="45474" spans="30:30" x14ac:dyDescent="0.25">
      <c r="AD45474"/>
    </row>
    <row r="45475" spans="30:30" x14ac:dyDescent="0.25">
      <c r="AD45475"/>
    </row>
    <row r="45476" spans="30:30" x14ac:dyDescent="0.25">
      <c r="AD45476"/>
    </row>
    <row r="45477" spans="30:30" x14ac:dyDescent="0.25">
      <c r="AD45477"/>
    </row>
    <row r="45478" spans="30:30" x14ac:dyDescent="0.25">
      <c r="AD45478"/>
    </row>
    <row r="45479" spans="30:30" x14ac:dyDescent="0.25">
      <c r="AD45479"/>
    </row>
    <row r="45480" spans="30:30" x14ac:dyDescent="0.25">
      <c r="AD45480"/>
    </row>
    <row r="45481" spans="30:30" x14ac:dyDescent="0.25">
      <c r="AD45481"/>
    </row>
    <row r="45482" spans="30:30" x14ac:dyDescent="0.25">
      <c r="AD45482"/>
    </row>
    <row r="45483" spans="30:30" x14ac:dyDescent="0.25">
      <c r="AD45483"/>
    </row>
    <row r="45484" spans="30:30" x14ac:dyDescent="0.25">
      <c r="AD45484"/>
    </row>
    <row r="45485" spans="30:30" x14ac:dyDescent="0.25">
      <c r="AD45485"/>
    </row>
    <row r="45486" spans="30:30" x14ac:dyDescent="0.25">
      <c r="AD45486"/>
    </row>
    <row r="45487" spans="30:30" x14ac:dyDescent="0.25">
      <c r="AD45487"/>
    </row>
    <row r="45488" spans="30:30" x14ac:dyDescent="0.25">
      <c r="AD45488"/>
    </row>
    <row r="45489" spans="30:30" x14ac:dyDescent="0.25">
      <c r="AD45489"/>
    </row>
    <row r="45490" spans="30:30" x14ac:dyDescent="0.25">
      <c r="AD45490"/>
    </row>
    <row r="45491" spans="30:30" x14ac:dyDescent="0.25">
      <c r="AD45491"/>
    </row>
    <row r="45492" spans="30:30" x14ac:dyDescent="0.25">
      <c r="AD45492"/>
    </row>
    <row r="45493" spans="30:30" x14ac:dyDescent="0.25">
      <c r="AD45493"/>
    </row>
    <row r="45494" spans="30:30" x14ac:dyDescent="0.25">
      <c r="AD45494"/>
    </row>
    <row r="45495" spans="30:30" x14ac:dyDescent="0.25">
      <c r="AD45495"/>
    </row>
    <row r="45496" spans="30:30" x14ac:dyDescent="0.25">
      <c r="AD45496"/>
    </row>
    <row r="45497" spans="30:30" x14ac:dyDescent="0.25">
      <c r="AD45497"/>
    </row>
    <row r="45498" spans="30:30" x14ac:dyDescent="0.25">
      <c r="AD45498"/>
    </row>
    <row r="45499" spans="30:30" x14ac:dyDescent="0.25">
      <c r="AD45499"/>
    </row>
    <row r="45500" spans="30:30" x14ac:dyDescent="0.25">
      <c r="AD45500"/>
    </row>
    <row r="45501" spans="30:30" x14ac:dyDescent="0.25">
      <c r="AD45501"/>
    </row>
    <row r="45502" spans="30:30" x14ac:dyDescent="0.25">
      <c r="AD45502"/>
    </row>
    <row r="45503" spans="30:30" x14ac:dyDescent="0.25">
      <c r="AD45503"/>
    </row>
    <row r="45504" spans="30:30" x14ac:dyDescent="0.25">
      <c r="AD45504"/>
    </row>
    <row r="45505" spans="30:30" x14ac:dyDescent="0.25">
      <c r="AD45505"/>
    </row>
    <row r="45506" spans="30:30" x14ac:dyDescent="0.25">
      <c r="AD45506"/>
    </row>
    <row r="45507" spans="30:30" x14ac:dyDescent="0.25">
      <c r="AD45507"/>
    </row>
    <row r="45508" spans="30:30" x14ac:dyDescent="0.25">
      <c r="AD45508"/>
    </row>
    <row r="45509" spans="30:30" x14ac:dyDescent="0.25">
      <c r="AD45509"/>
    </row>
    <row r="45510" spans="30:30" x14ac:dyDescent="0.25">
      <c r="AD45510"/>
    </row>
    <row r="45511" spans="30:30" x14ac:dyDescent="0.25">
      <c r="AD45511"/>
    </row>
    <row r="45512" spans="30:30" x14ac:dyDescent="0.25">
      <c r="AD45512"/>
    </row>
    <row r="45513" spans="30:30" x14ac:dyDescent="0.25">
      <c r="AD45513"/>
    </row>
    <row r="45514" spans="30:30" x14ac:dyDescent="0.25">
      <c r="AD45514"/>
    </row>
    <row r="45515" spans="30:30" x14ac:dyDescent="0.25">
      <c r="AD45515"/>
    </row>
    <row r="45516" spans="30:30" x14ac:dyDescent="0.25">
      <c r="AD45516"/>
    </row>
    <row r="45517" spans="30:30" x14ac:dyDescent="0.25">
      <c r="AD45517"/>
    </row>
    <row r="45518" spans="30:30" x14ac:dyDescent="0.25">
      <c r="AD45518"/>
    </row>
    <row r="45519" spans="30:30" x14ac:dyDescent="0.25">
      <c r="AD45519"/>
    </row>
    <row r="45520" spans="30:30" x14ac:dyDescent="0.25">
      <c r="AD45520"/>
    </row>
    <row r="45521" spans="30:30" x14ac:dyDescent="0.25">
      <c r="AD45521"/>
    </row>
    <row r="45522" spans="30:30" x14ac:dyDescent="0.25">
      <c r="AD45522"/>
    </row>
    <row r="45523" spans="30:30" x14ac:dyDescent="0.25">
      <c r="AD45523"/>
    </row>
    <row r="45524" spans="30:30" x14ac:dyDescent="0.25">
      <c r="AD45524"/>
    </row>
    <row r="45525" spans="30:30" x14ac:dyDescent="0.25">
      <c r="AD45525"/>
    </row>
    <row r="45526" spans="30:30" x14ac:dyDescent="0.25">
      <c r="AD45526"/>
    </row>
    <row r="45527" spans="30:30" x14ac:dyDescent="0.25">
      <c r="AD45527"/>
    </row>
    <row r="45528" spans="30:30" x14ac:dyDescent="0.25">
      <c r="AD45528"/>
    </row>
    <row r="45529" spans="30:30" x14ac:dyDescent="0.25">
      <c r="AD45529"/>
    </row>
    <row r="45530" spans="30:30" x14ac:dyDescent="0.25">
      <c r="AD45530"/>
    </row>
    <row r="45531" spans="30:30" x14ac:dyDescent="0.25">
      <c r="AD45531"/>
    </row>
    <row r="45532" spans="30:30" x14ac:dyDescent="0.25">
      <c r="AD45532"/>
    </row>
    <row r="45533" spans="30:30" x14ac:dyDescent="0.25">
      <c r="AD45533"/>
    </row>
    <row r="45534" spans="30:30" x14ac:dyDescent="0.25">
      <c r="AD45534"/>
    </row>
    <row r="45535" spans="30:30" x14ac:dyDescent="0.25">
      <c r="AD45535"/>
    </row>
    <row r="45536" spans="30:30" x14ac:dyDescent="0.25">
      <c r="AD45536"/>
    </row>
    <row r="45537" spans="30:30" x14ac:dyDescent="0.25">
      <c r="AD45537"/>
    </row>
    <row r="45538" spans="30:30" x14ac:dyDescent="0.25">
      <c r="AD45538"/>
    </row>
    <row r="45539" spans="30:30" x14ac:dyDescent="0.25">
      <c r="AD45539"/>
    </row>
    <row r="45540" spans="30:30" x14ac:dyDescent="0.25">
      <c r="AD45540"/>
    </row>
    <row r="45541" spans="30:30" x14ac:dyDescent="0.25">
      <c r="AD45541"/>
    </row>
    <row r="45542" spans="30:30" x14ac:dyDescent="0.25">
      <c r="AD45542"/>
    </row>
    <row r="45543" spans="30:30" x14ac:dyDescent="0.25">
      <c r="AD45543"/>
    </row>
    <row r="45544" spans="30:30" x14ac:dyDescent="0.25">
      <c r="AD45544"/>
    </row>
    <row r="45545" spans="30:30" x14ac:dyDescent="0.25">
      <c r="AD45545"/>
    </row>
    <row r="45546" spans="30:30" x14ac:dyDescent="0.25">
      <c r="AD45546"/>
    </row>
    <row r="45547" spans="30:30" x14ac:dyDescent="0.25">
      <c r="AD45547"/>
    </row>
    <row r="45548" spans="30:30" x14ac:dyDescent="0.25">
      <c r="AD45548"/>
    </row>
    <row r="45549" spans="30:30" x14ac:dyDescent="0.25">
      <c r="AD45549"/>
    </row>
    <row r="45550" spans="30:30" x14ac:dyDescent="0.25">
      <c r="AD45550"/>
    </row>
    <row r="45551" spans="30:30" x14ac:dyDescent="0.25">
      <c r="AD45551"/>
    </row>
    <row r="45552" spans="30:30" x14ac:dyDescent="0.25">
      <c r="AD45552"/>
    </row>
    <row r="45553" spans="30:30" x14ac:dyDescent="0.25">
      <c r="AD45553"/>
    </row>
    <row r="45554" spans="30:30" x14ac:dyDescent="0.25">
      <c r="AD45554"/>
    </row>
    <row r="45555" spans="30:30" x14ac:dyDescent="0.25">
      <c r="AD45555"/>
    </row>
    <row r="45556" spans="30:30" x14ac:dyDescent="0.25">
      <c r="AD45556"/>
    </row>
    <row r="45557" spans="30:30" x14ac:dyDescent="0.25">
      <c r="AD45557"/>
    </row>
    <row r="45558" spans="30:30" x14ac:dyDescent="0.25">
      <c r="AD45558"/>
    </row>
    <row r="45559" spans="30:30" x14ac:dyDescent="0.25">
      <c r="AD45559"/>
    </row>
    <row r="45560" spans="30:30" x14ac:dyDescent="0.25">
      <c r="AD45560"/>
    </row>
    <row r="45561" spans="30:30" x14ac:dyDescent="0.25">
      <c r="AD45561"/>
    </row>
    <row r="45562" spans="30:30" x14ac:dyDescent="0.25">
      <c r="AD45562"/>
    </row>
    <row r="45563" spans="30:30" x14ac:dyDescent="0.25">
      <c r="AD45563"/>
    </row>
    <row r="45564" spans="30:30" x14ac:dyDescent="0.25">
      <c r="AD45564"/>
    </row>
    <row r="45565" spans="30:30" x14ac:dyDescent="0.25">
      <c r="AD45565"/>
    </row>
    <row r="45566" spans="30:30" x14ac:dyDescent="0.25">
      <c r="AD45566"/>
    </row>
    <row r="45567" spans="30:30" x14ac:dyDescent="0.25">
      <c r="AD45567"/>
    </row>
    <row r="45568" spans="30:30" x14ac:dyDescent="0.25">
      <c r="AD45568"/>
    </row>
    <row r="45569" spans="30:30" x14ac:dyDescent="0.25">
      <c r="AD45569"/>
    </row>
    <row r="45570" spans="30:30" x14ac:dyDescent="0.25">
      <c r="AD45570"/>
    </row>
    <row r="45571" spans="30:30" x14ac:dyDescent="0.25">
      <c r="AD45571"/>
    </row>
    <row r="45572" spans="30:30" x14ac:dyDescent="0.25">
      <c r="AD45572"/>
    </row>
    <row r="45573" spans="30:30" x14ac:dyDescent="0.25">
      <c r="AD45573"/>
    </row>
    <row r="45574" spans="30:30" x14ac:dyDescent="0.25">
      <c r="AD45574"/>
    </row>
    <row r="45575" spans="30:30" x14ac:dyDescent="0.25">
      <c r="AD45575"/>
    </row>
    <row r="45576" spans="30:30" x14ac:dyDescent="0.25">
      <c r="AD45576"/>
    </row>
    <row r="45577" spans="30:30" x14ac:dyDescent="0.25">
      <c r="AD45577"/>
    </row>
    <row r="45578" spans="30:30" x14ac:dyDescent="0.25">
      <c r="AD45578"/>
    </row>
    <row r="45579" spans="30:30" x14ac:dyDescent="0.25">
      <c r="AD45579"/>
    </row>
    <row r="45580" spans="30:30" x14ac:dyDescent="0.25">
      <c r="AD45580"/>
    </row>
    <row r="45581" spans="30:30" x14ac:dyDescent="0.25">
      <c r="AD45581"/>
    </row>
    <row r="45582" spans="30:30" x14ac:dyDescent="0.25">
      <c r="AD45582"/>
    </row>
    <row r="45583" spans="30:30" x14ac:dyDescent="0.25">
      <c r="AD45583"/>
    </row>
    <row r="45584" spans="30:30" x14ac:dyDescent="0.25">
      <c r="AD45584"/>
    </row>
    <row r="45585" spans="30:30" x14ac:dyDescent="0.25">
      <c r="AD45585"/>
    </row>
    <row r="45586" spans="30:30" x14ac:dyDescent="0.25">
      <c r="AD45586"/>
    </row>
    <row r="45587" spans="30:30" x14ac:dyDescent="0.25">
      <c r="AD45587"/>
    </row>
    <row r="45588" spans="30:30" x14ac:dyDescent="0.25">
      <c r="AD45588"/>
    </row>
    <row r="45589" spans="30:30" x14ac:dyDescent="0.25">
      <c r="AD45589"/>
    </row>
    <row r="45590" spans="30:30" x14ac:dyDescent="0.25">
      <c r="AD45590"/>
    </row>
    <row r="45591" spans="30:30" x14ac:dyDescent="0.25">
      <c r="AD45591"/>
    </row>
    <row r="45592" spans="30:30" x14ac:dyDescent="0.25">
      <c r="AD45592"/>
    </row>
    <row r="45593" spans="30:30" x14ac:dyDescent="0.25">
      <c r="AD45593"/>
    </row>
    <row r="45594" spans="30:30" x14ac:dyDescent="0.25">
      <c r="AD45594"/>
    </row>
    <row r="45595" spans="30:30" x14ac:dyDescent="0.25">
      <c r="AD45595"/>
    </row>
    <row r="45596" spans="30:30" x14ac:dyDescent="0.25">
      <c r="AD45596"/>
    </row>
    <row r="45597" spans="30:30" x14ac:dyDescent="0.25">
      <c r="AD45597"/>
    </row>
    <row r="45598" spans="30:30" x14ac:dyDescent="0.25">
      <c r="AD45598"/>
    </row>
    <row r="45599" spans="30:30" x14ac:dyDescent="0.25">
      <c r="AD45599"/>
    </row>
    <row r="45600" spans="30:30" x14ac:dyDescent="0.25">
      <c r="AD45600"/>
    </row>
    <row r="45601" spans="30:30" x14ac:dyDescent="0.25">
      <c r="AD45601"/>
    </row>
    <row r="45602" spans="30:30" x14ac:dyDescent="0.25">
      <c r="AD45602"/>
    </row>
    <row r="45603" spans="30:30" x14ac:dyDescent="0.25">
      <c r="AD45603"/>
    </row>
    <row r="45604" spans="30:30" x14ac:dyDescent="0.25">
      <c r="AD45604"/>
    </row>
    <row r="45605" spans="30:30" x14ac:dyDescent="0.25">
      <c r="AD45605"/>
    </row>
    <row r="45606" spans="30:30" x14ac:dyDescent="0.25">
      <c r="AD45606"/>
    </row>
    <row r="45607" spans="30:30" x14ac:dyDescent="0.25">
      <c r="AD45607"/>
    </row>
    <row r="45608" spans="30:30" x14ac:dyDescent="0.25">
      <c r="AD45608"/>
    </row>
    <row r="45609" spans="30:30" x14ac:dyDescent="0.25">
      <c r="AD45609"/>
    </row>
    <row r="45610" spans="30:30" x14ac:dyDescent="0.25">
      <c r="AD45610"/>
    </row>
    <row r="45611" spans="30:30" x14ac:dyDescent="0.25">
      <c r="AD45611"/>
    </row>
    <row r="45612" spans="30:30" x14ac:dyDescent="0.25">
      <c r="AD45612"/>
    </row>
    <row r="45613" spans="30:30" x14ac:dyDescent="0.25">
      <c r="AD45613"/>
    </row>
    <row r="45614" spans="30:30" x14ac:dyDescent="0.25">
      <c r="AD45614"/>
    </row>
    <row r="45615" spans="30:30" x14ac:dyDescent="0.25">
      <c r="AD45615"/>
    </row>
    <row r="45616" spans="30:30" x14ac:dyDescent="0.25">
      <c r="AD45616"/>
    </row>
    <row r="45617" spans="30:30" x14ac:dyDescent="0.25">
      <c r="AD45617"/>
    </row>
    <row r="45618" spans="30:30" x14ac:dyDescent="0.25">
      <c r="AD45618"/>
    </row>
    <row r="45619" spans="30:30" x14ac:dyDescent="0.25">
      <c r="AD45619"/>
    </row>
    <row r="45620" spans="30:30" x14ac:dyDescent="0.25">
      <c r="AD45620"/>
    </row>
    <row r="45621" spans="30:30" x14ac:dyDescent="0.25">
      <c r="AD45621"/>
    </row>
    <row r="45622" spans="30:30" x14ac:dyDescent="0.25">
      <c r="AD45622"/>
    </row>
    <row r="45623" spans="30:30" x14ac:dyDescent="0.25">
      <c r="AD45623"/>
    </row>
    <row r="45624" spans="30:30" x14ac:dyDescent="0.25">
      <c r="AD45624"/>
    </row>
    <row r="45625" spans="30:30" x14ac:dyDescent="0.25">
      <c r="AD45625"/>
    </row>
    <row r="45626" spans="30:30" x14ac:dyDescent="0.25">
      <c r="AD45626"/>
    </row>
    <row r="45627" spans="30:30" x14ac:dyDescent="0.25">
      <c r="AD45627"/>
    </row>
    <row r="45628" spans="30:30" x14ac:dyDescent="0.25">
      <c r="AD45628"/>
    </row>
    <row r="45629" spans="30:30" x14ac:dyDescent="0.25">
      <c r="AD45629"/>
    </row>
    <row r="45630" spans="30:30" x14ac:dyDescent="0.25">
      <c r="AD45630"/>
    </row>
    <row r="45631" spans="30:30" x14ac:dyDescent="0.25">
      <c r="AD45631"/>
    </row>
    <row r="45632" spans="30:30" x14ac:dyDescent="0.25">
      <c r="AD45632"/>
    </row>
    <row r="45633" spans="30:30" x14ac:dyDescent="0.25">
      <c r="AD45633"/>
    </row>
    <row r="45634" spans="30:30" x14ac:dyDescent="0.25">
      <c r="AD45634"/>
    </row>
    <row r="45635" spans="30:30" x14ac:dyDescent="0.25">
      <c r="AD45635"/>
    </row>
    <row r="45636" spans="30:30" x14ac:dyDescent="0.25">
      <c r="AD45636"/>
    </row>
    <row r="45637" spans="30:30" x14ac:dyDescent="0.25">
      <c r="AD45637"/>
    </row>
    <row r="45638" spans="30:30" x14ac:dyDescent="0.25">
      <c r="AD45638"/>
    </row>
    <row r="45639" spans="30:30" x14ac:dyDescent="0.25">
      <c r="AD45639"/>
    </row>
    <row r="45640" spans="30:30" x14ac:dyDescent="0.25">
      <c r="AD45640"/>
    </row>
    <row r="45641" spans="30:30" x14ac:dyDescent="0.25">
      <c r="AD45641"/>
    </row>
    <row r="45642" spans="30:30" x14ac:dyDescent="0.25">
      <c r="AD45642"/>
    </row>
    <row r="45643" spans="30:30" x14ac:dyDescent="0.25">
      <c r="AD45643"/>
    </row>
    <row r="45644" spans="30:30" x14ac:dyDescent="0.25">
      <c r="AD45644"/>
    </row>
    <row r="45645" spans="30:30" x14ac:dyDescent="0.25">
      <c r="AD45645"/>
    </row>
    <row r="45646" spans="30:30" x14ac:dyDescent="0.25">
      <c r="AD45646"/>
    </row>
    <row r="45647" spans="30:30" x14ac:dyDescent="0.25">
      <c r="AD45647"/>
    </row>
    <row r="45648" spans="30:30" x14ac:dyDescent="0.25">
      <c r="AD45648"/>
    </row>
    <row r="45649" spans="30:30" x14ac:dyDescent="0.25">
      <c r="AD45649"/>
    </row>
    <row r="45650" spans="30:30" x14ac:dyDescent="0.25">
      <c r="AD45650"/>
    </row>
    <row r="45651" spans="30:30" x14ac:dyDescent="0.25">
      <c r="AD45651"/>
    </row>
    <row r="45652" spans="30:30" x14ac:dyDescent="0.25">
      <c r="AD45652"/>
    </row>
    <row r="45653" spans="30:30" x14ac:dyDescent="0.25">
      <c r="AD45653"/>
    </row>
    <row r="45654" spans="30:30" x14ac:dyDescent="0.25">
      <c r="AD45654"/>
    </row>
    <row r="45655" spans="30:30" x14ac:dyDescent="0.25">
      <c r="AD45655"/>
    </row>
    <row r="45656" spans="30:30" x14ac:dyDescent="0.25">
      <c r="AD45656"/>
    </row>
    <row r="45657" spans="30:30" x14ac:dyDescent="0.25">
      <c r="AD45657"/>
    </row>
    <row r="45658" spans="30:30" x14ac:dyDescent="0.25">
      <c r="AD45658"/>
    </row>
    <row r="45659" spans="30:30" x14ac:dyDescent="0.25">
      <c r="AD45659"/>
    </row>
    <row r="45660" spans="30:30" x14ac:dyDescent="0.25">
      <c r="AD45660"/>
    </row>
    <row r="45661" spans="30:30" x14ac:dyDescent="0.25">
      <c r="AD45661"/>
    </row>
    <row r="45662" spans="30:30" x14ac:dyDescent="0.25">
      <c r="AD45662"/>
    </row>
    <row r="45663" spans="30:30" x14ac:dyDescent="0.25">
      <c r="AD45663"/>
    </row>
    <row r="45664" spans="30:30" x14ac:dyDescent="0.25">
      <c r="AD45664"/>
    </row>
    <row r="45665" spans="30:30" x14ac:dyDescent="0.25">
      <c r="AD45665"/>
    </row>
    <row r="45666" spans="30:30" x14ac:dyDescent="0.25">
      <c r="AD45666"/>
    </row>
    <row r="45667" spans="30:30" x14ac:dyDescent="0.25">
      <c r="AD45667"/>
    </row>
    <row r="45668" spans="30:30" x14ac:dyDescent="0.25">
      <c r="AD45668"/>
    </row>
    <row r="45669" spans="30:30" x14ac:dyDescent="0.25">
      <c r="AD45669"/>
    </row>
    <row r="45670" spans="30:30" x14ac:dyDescent="0.25">
      <c r="AD45670"/>
    </row>
    <row r="45671" spans="30:30" x14ac:dyDescent="0.25">
      <c r="AD45671"/>
    </row>
    <row r="45672" spans="30:30" x14ac:dyDescent="0.25">
      <c r="AD45672"/>
    </row>
    <row r="45673" spans="30:30" x14ac:dyDescent="0.25">
      <c r="AD45673"/>
    </row>
    <row r="45674" spans="30:30" x14ac:dyDescent="0.25">
      <c r="AD45674"/>
    </row>
    <row r="45675" spans="30:30" x14ac:dyDescent="0.25">
      <c r="AD45675"/>
    </row>
    <row r="45676" spans="30:30" x14ac:dyDescent="0.25">
      <c r="AD45676"/>
    </row>
    <row r="45677" spans="30:30" x14ac:dyDescent="0.25">
      <c r="AD45677"/>
    </row>
    <row r="45678" spans="30:30" x14ac:dyDescent="0.25">
      <c r="AD45678"/>
    </row>
    <row r="45679" spans="30:30" x14ac:dyDescent="0.25">
      <c r="AD45679"/>
    </row>
    <row r="45680" spans="30:30" x14ac:dyDescent="0.25">
      <c r="AD45680"/>
    </row>
    <row r="45681" spans="30:30" x14ac:dyDescent="0.25">
      <c r="AD45681"/>
    </row>
    <row r="45682" spans="30:30" x14ac:dyDescent="0.25">
      <c r="AD45682"/>
    </row>
    <row r="45683" spans="30:30" x14ac:dyDescent="0.25">
      <c r="AD45683"/>
    </row>
    <row r="45684" spans="30:30" x14ac:dyDescent="0.25">
      <c r="AD45684"/>
    </row>
    <row r="45685" spans="30:30" x14ac:dyDescent="0.25">
      <c r="AD45685"/>
    </row>
    <row r="45686" spans="30:30" x14ac:dyDescent="0.25">
      <c r="AD45686"/>
    </row>
    <row r="45687" spans="30:30" x14ac:dyDescent="0.25">
      <c r="AD45687"/>
    </row>
    <row r="45688" spans="30:30" x14ac:dyDescent="0.25">
      <c r="AD45688"/>
    </row>
    <row r="45689" spans="30:30" x14ac:dyDescent="0.25">
      <c r="AD45689"/>
    </row>
    <row r="45690" spans="30:30" x14ac:dyDescent="0.25">
      <c r="AD45690"/>
    </row>
    <row r="45691" spans="30:30" x14ac:dyDescent="0.25">
      <c r="AD45691"/>
    </row>
    <row r="45692" spans="30:30" x14ac:dyDescent="0.25">
      <c r="AD45692"/>
    </row>
    <row r="45693" spans="30:30" x14ac:dyDescent="0.25">
      <c r="AD45693"/>
    </row>
    <row r="45694" spans="30:30" x14ac:dyDescent="0.25">
      <c r="AD45694"/>
    </row>
    <row r="45695" spans="30:30" x14ac:dyDescent="0.25">
      <c r="AD45695"/>
    </row>
    <row r="45696" spans="30:30" x14ac:dyDescent="0.25">
      <c r="AD45696"/>
    </row>
    <row r="45697" spans="30:30" x14ac:dyDescent="0.25">
      <c r="AD45697"/>
    </row>
    <row r="45698" spans="30:30" x14ac:dyDescent="0.25">
      <c r="AD45698"/>
    </row>
    <row r="45699" spans="30:30" x14ac:dyDescent="0.25">
      <c r="AD45699"/>
    </row>
    <row r="45700" spans="30:30" x14ac:dyDescent="0.25">
      <c r="AD45700"/>
    </row>
    <row r="45701" spans="30:30" x14ac:dyDescent="0.25">
      <c r="AD45701"/>
    </row>
    <row r="45702" spans="30:30" x14ac:dyDescent="0.25">
      <c r="AD45702"/>
    </row>
    <row r="45703" spans="30:30" x14ac:dyDescent="0.25">
      <c r="AD45703"/>
    </row>
    <row r="45704" spans="30:30" x14ac:dyDescent="0.25">
      <c r="AD45704"/>
    </row>
    <row r="45705" spans="30:30" x14ac:dyDescent="0.25">
      <c r="AD45705"/>
    </row>
    <row r="45706" spans="30:30" x14ac:dyDescent="0.25">
      <c r="AD45706"/>
    </row>
    <row r="45707" spans="30:30" x14ac:dyDescent="0.25">
      <c r="AD45707"/>
    </row>
    <row r="45708" spans="30:30" x14ac:dyDescent="0.25">
      <c r="AD45708"/>
    </row>
    <row r="45709" spans="30:30" x14ac:dyDescent="0.25">
      <c r="AD45709"/>
    </row>
    <row r="45710" spans="30:30" x14ac:dyDescent="0.25">
      <c r="AD45710"/>
    </row>
    <row r="45711" spans="30:30" x14ac:dyDescent="0.25">
      <c r="AD45711"/>
    </row>
    <row r="45712" spans="30:30" x14ac:dyDescent="0.25">
      <c r="AD45712"/>
    </row>
    <row r="45713" spans="30:30" x14ac:dyDescent="0.25">
      <c r="AD45713"/>
    </row>
    <row r="45714" spans="30:30" x14ac:dyDescent="0.25">
      <c r="AD45714"/>
    </row>
    <row r="45715" spans="30:30" x14ac:dyDescent="0.25">
      <c r="AD45715"/>
    </row>
    <row r="45716" spans="30:30" x14ac:dyDescent="0.25">
      <c r="AD45716"/>
    </row>
    <row r="45717" spans="30:30" x14ac:dyDescent="0.25">
      <c r="AD45717"/>
    </row>
    <row r="45718" spans="30:30" x14ac:dyDescent="0.25">
      <c r="AD45718"/>
    </row>
    <row r="45719" spans="30:30" x14ac:dyDescent="0.25">
      <c r="AD45719"/>
    </row>
    <row r="45720" spans="30:30" x14ac:dyDescent="0.25">
      <c r="AD45720"/>
    </row>
    <row r="45721" spans="30:30" x14ac:dyDescent="0.25">
      <c r="AD45721"/>
    </row>
    <row r="45722" spans="30:30" x14ac:dyDescent="0.25">
      <c r="AD45722"/>
    </row>
    <row r="45723" spans="30:30" x14ac:dyDescent="0.25">
      <c r="AD45723"/>
    </row>
    <row r="45724" spans="30:30" x14ac:dyDescent="0.25">
      <c r="AD45724"/>
    </row>
    <row r="45725" spans="30:30" x14ac:dyDescent="0.25">
      <c r="AD45725"/>
    </row>
    <row r="45726" spans="30:30" x14ac:dyDescent="0.25">
      <c r="AD45726"/>
    </row>
    <row r="45727" spans="30:30" x14ac:dyDescent="0.25">
      <c r="AD45727"/>
    </row>
    <row r="45728" spans="30:30" x14ac:dyDescent="0.25">
      <c r="AD45728"/>
    </row>
    <row r="45729" spans="30:30" x14ac:dyDescent="0.25">
      <c r="AD45729"/>
    </row>
    <row r="45730" spans="30:30" x14ac:dyDescent="0.25">
      <c r="AD45730"/>
    </row>
    <row r="45731" spans="30:30" x14ac:dyDescent="0.25">
      <c r="AD45731"/>
    </row>
    <row r="45732" spans="30:30" x14ac:dyDescent="0.25">
      <c r="AD45732"/>
    </row>
    <row r="45733" spans="30:30" x14ac:dyDescent="0.25">
      <c r="AD45733"/>
    </row>
    <row r="45734" spans="30:30" x14ac:dyDescent="0.25">
      <c r="AD45734"/>
    </row>
    <row r="45735" spans="30:30" x14ac:dyDescent="0.25">
      <c r="AD45735"/>
    </row>
    <row r="45736" spans="30:30" x14ac:dyDescent="0.25">
      <c r="AD45736"/>
    </row>
    <row r="45737" spans="30:30" x14ac:dyDescent="0.25">
      <c r="AD45737"/>
    </row>
    <row r="45738" spans="30:30" x14ac:dyDescent="0.25">
      <c r="AD45738"/>
    </row>
    <row r="45739" spans="30:30" x14ac:dyDescent="0.25">
      <c r="AD45739"/>
    </row>
    <row r="45740" spans="30:30" x14ac:dyDescent="0.25">
      <c r="AD45740"/>
    </row>
    <row r="45741" spans="30:30" x14ac:dyDescent="0.25">
      <c r="AD45741"/>
    </row>
    <row r="45742" spans="30:30" x14ac:dyDescent="0.25">
      <c r="AD45742"/>
    </row>
    <row r="45743" spans="30:30" x14ac:dyDescent="0.25">
      <c r="AD45743"/>
    </row>
    <row r="45744" spans="30:30" x14ac:dyDescent="0.25">
      <c r="AD45744"/>
    </row>
    <row r="45745" spans="30:30" x14ac:dyDescent="0.25">
      <c r="AD45745"/>
    </row>
    <row r="45746" spans="30:30" x14ac:dyDescent="0.25">
      <c r="AD45746"/>
    </row>
    <row r="45747" spans="30:30" x14ac:dyDescent="0.25">
      <c r="AD45747"/>
    </row>
    <row r="45748" spans="30:30" x14ac:dyDescent="0.25">
      <c r="AD45748"/>
    </row>
    <row r="45749" spans="30:30" x14ac:dyDescent="0.25">
      <c r="AD45749"/>
    </row>
    <row r="45750" spans="30:30" x14ac:dyDescent="0.25">
      <c r="AD45750"/>
    </row>
    <row r="45751" spans="30:30" x14ac:dyDescent="0.25">
      <c r="AD45751"/>
    </row>
    <row r="45752" spans="30:30" x14ac:dyDescent="0.25">
      <c r="AD45752"/>
    </row>
    <row r="45753" spans="30:30" x14ac:dyDescent="0.25">
      <c r="AD45753"/>
    </row>
    <row r="45754" spans="30:30" x14ac:dyDescent="0.25">
      <c r="AD45754"/>
    </row>
    <row r="45755" spans="30:30" x14ac:dyDescent="0.25">
      <c r="AD45755"/>
    </row>
    <row r="45756" spans="30:30" x14ac:dyDescent="0.25">
      <c r="AD45756"/>
    </row>
    <row r="45757" spans="30:30" x14ac:dyDescent="0.25">
      <c r="AD45757"/>
    </row>
    <row r="45758" spans="30:30" x14ac:dyDescent="0.25">
      <c r="AD45758"/>
    </row>
    <row r="45759" spans="30:30" x14ac:dyDescent="0.25">
      <c r="AD45759"/>
    </row>
    <row r="45760" spans="30:30" x14ac:dyDescent="0.25">
      <c r="AD45760"/>
    </row>
    <row r="45761" spans="30:30" x14ac:dyDescent="0.25">
      <c r="AD45761"/>
    </row>
    <row r="45762" spans="30:30" x14ac:dyDescent="0.25">
      <c r="AD45762"/>
    </row>
    <row r="45763" spans="30:30" x14ac:dyDescent="0.25">
      <c r="AD45763"/>
    </row>
    <row r="45764" spans="30:30" x14ac:dyDescent="0.25">
      <c r="AD45764"/>
    </row>
    <row r="45765" spans="30:30" x14ac:dyDescent="0.25">
      <c r="AD45765"/>
    </row>
    <row r="45766" spans="30:30" x14ac:dyDescent="0.25">
      <c r="AD45766"/>
    </row>
    <row r="45767" spans="30:30" x14ac:dyDescent="0.25">
      <c r="AD45767"/>
    </row>
    <row r="45768" spans="30:30" x14ac:dyDescent="0.25">
      <c r="AD45768"/>
    </row>
    <row r="45769" spans="30:30" x14ac:dyDescent="0.25">
      <c r="AD45769"/>
    </row>
    <row r="45770" spans="30:30" x14ac:dyDescent="0.25">
      <c r="AD45770"/>
    </row>
    <row r="45771" spans="30:30" x14ac:dyDescent="0.25">
      <c r="AD45771"/>
    </row>
    <row r="45772" spans="30:30" x14ac:dyDescent="0.25">
      <c r="AD45772"/>
    </row>
    <row r="45773" spans="30:30" x14ac:dyDescent="0.25">
      <c r="AD45773"/>
    </row>
    <row r="45774" spans="30:30" x14ac:dyDescent="0.25">
      <c r="AD45774"/>
    </row>
    <row r="45775" spans="30:30" x14ac:dyDescent="0.25">
      <c r="AD45775"/>
    </row>
    <row r="45776" spans="30:30" x14ac:dyDescent="0.25">
      <c r="AD45776"/>
    </row>
    <row r="45777" spans="30:30" x14ac:dyDescent="0.25">
      <c r="AD45777"/>
    </row>
    <row r="45778" spans="30:30" x14ac:dyDescent="0.25">
      <c r="AD45778"/>
    </row>
    <row r="45779" spans="30:30" x14ac:dyDescent="0.25">
      <c r="AD45779"/>
    </row>
    <row r="45780" spans="30:30" x14ac:dyDescent="0.25">
      <c r="AD45780"/>
    </row>
    <row r="45781" spans="30:30" x14ac:dyDescent="0.25">
      <c r="AD45781"/>
    </row>
    <row r="45782" spans="30:30" x14ac:dyDescent="0.25">
      <c r="AD45782"/>
    </row>
    <row r="45783" spans="30:30" x14ac:dyDescent="0.25">
      <c r="AD45783"/>
    </row>
    <row r="45784" spans="30:30" x14ac:dyDescent="0.25">
      <c r="AD45784"/>
    </row>
    <row r="45785" spans="30:30" x14ac:dyDescent="0.25">
      <c r="AD45785"/>
    </row>
    <row r="45786" spans="30:30" x14ac:dyDescent="0.25">
      <c r="AD45786"/>
    </row>
    <row r="45787" spans="30:30" x14ac:dyDescent="0.25">
      <c r="AD45787"/>
    </row>
    <row r="45788" spans="30:30" x14ac:dyDescent="0.25">
      <c r="AD45788"/>
    </row>
    <row r="45789" spans="30:30" x14ac:dyDescent="0.25">
      <c r="AD45789"/>
    </row>
    <row r="45790" spans="30:30" x14ac:dyDescent="0.25">
      <c r="AD45790"/>
    </row>
    <row r="45791" spans="30:30" x14ac:dyDescent="0.25">
      <c r="AD45791"/>
    </row>
    <row r="45792" spans="30:30" x14ac:dyDescent="0.25">
      <c r="AD45792"/>
    </row>
    <row r="45793" spans="30:30" x14ac:dyDescent="0.25">
      <c r="AD45793"/>
    </row>
    <row r="45794" spans="30:30" x14ac:dyDescent="0.25">
      <c r="AD45794"/>
    </row>
    <row r="45795" spans="30:30" x14ac:dyDescent="0.25">
      <c r="AD45795"/>
    </row>
    <row r="45796" spans="30:30" x14ac:dyDescent="0.25">
      <c r="AD45796"/>
    </row>
    <row r="45797" spans="30:30" x14ac:dyDescent="0.25">
      <c r="AD45797"/>
    </row>
    <row r="45798" spans="30:30" x14ac:dyDescent="0.25">
      <c r="AD45798"/>
    </row>
    <row r="45799" spans="30:30" x14ac:dyDescent="0.25">
      <c r="AD45799"/>
    </row>
    <row r="45800" spans="30:30" x14ac:dyDescent="0.25">
      <c r="AD45800"/>
    </row>
    <row r="45801" spans="30:30" x14ac:dyDescent="0.25">
      <c r="AD45801"/>
    </row>
    <row r="45802" spans="30:30" x14ac:dyDescent="0.25">
      <c r="AD45802"/>
    </row>
    <row r="45803" spans="30:30" x14ac:dyDescent="0.25">
      <c r="AD45803"/>
    </row>
    <row r="45804" spans="30:30" x14ac:dyDescent="0.25">
      <c r="AD45804"/>
    </row>
    <row r="45805" spans="30:30" x14ac:dyDescent="0.25">
      <c r="AD45805"/>
    </row>
    <row r="45806" spans="30:30" x14ac:dyDescent="0.25">
      <c r="AD45806"/>
    </row>
    <row r="45807" spans="30:30" x14ac:dyDescent="0.25">
      <c r="AD45807"/>
    </row>
    <row r="45808" spans="30:30" x14ac:dyDescent="0.25">
      <c r="AD45808"/>
    </row>
    <row r="45809" spans="30:30" x14ac:dyDescent="0.25">
      <c r="AD45809"/>
    </row>
    <row r="45810" spans="30:30" x14ac:dyDescent="0.25">
      <c r="AD45810"/>
    </row>
    <row r="45811" spans="30:30" x14ac:dyDescent="0.25">
      <c r="AD45811"/>
    </row>
    <row r="45812" spans="30:30" x14ac:dyDescent="0.25">
      <c r="AD45812"/>
    </row>
    <row r="45813" spans="30:30" x14ac:dyDescent="0.25">
      <c r="AD45813"/>
    </row>
    <row r="45814" spans="30:30" x14ac:dyDescent="0.25">
      <c r="AD45814"/>
    </row>
    <row r="45815" spans="30:30" x14ac:dyDescent="0.25">
      <c r="AD45815"/>
    </row>
    <row r="45816" spans="30:30" x14ac:dyDescent="0.25">
      <c r="AD45816"/>
    </row>
    <row r="45817" spans="30:30" x14ac:dyDescent="0.25">
      <c r="AD45817"/>
    </row>
    <row r="45818" spans="30:30" x14ac:dyDescent="0.25">
      <c r="AD45818"/>
    </row>
    <row r="45819" spans="30:30" x14ac:dyDescent="0.25">
      <c r="AD45819"/>
    </row>
    <row r="45820" spans="30:30" x14ac:dyDescent="0.25">
      <c r="AD45820"/>
    </row>
    <row r="45821" spans="30:30" x14ac:dyDescent="0.25">
      <c r="AD45821"/>
    </row>
    <row r="45822" spans="30:30" x14ac:dyDescent="0.25">
      <c r="AD45822"/>
    </row>
    <row r="45823" spans="30:30" x14ac:dyDescent="0.25">
      <c r="AD45823"/>
    </row>
    <row r="45824" spans="30:30" x14ac:dyDescent="0.25">
      <c r="AD45824"/>
    </row>
    <row r="45825" spans="30:30" x14ac:dyDescent="0.25">
      <c r="AD45825"/>
    </row>
    <row r="45826" spans="30:30" x14ac:dyDescent="0.25">
      <c r="AD45826"/>
    </row>
    <row r="45827" spans="30:30" x14ac:dyDescent="0.25">
      <c r="AD45827"/>
    </row>
    <row r="45828" spans="30:30" x14ac:dyDescent="0.25">
      <c r="AD45828"/>
    </row>
    <row r="45829" spans="30:30" x14ac:dyDescent="0.25">
      <c r="AD45829"/>
    </row>
    <row r="45830" spans="30:30" x14ac:dyDescent="0.25">
      <c r="AD45830"/>
    </row>
    <row r="45831" spans="30:30" x14ac:dyDescent="0.25">
      <c r="AD45831"/>
    </row>
    <row r="45832" spans="30:30" x14ac:dyDescent="0.25">
      <c r="AD45832"/>
    </row>
    <row r="45833" spans="30:30" x14ac:dyDescent="0.25">
      <c r="AD45833"/>
    </row>
    <row r="45834" spans="30:30" x14ac:dyDescent="0.25">
      <c r="AD45834"/>
    </row>
    <row r="45835" spans="30:30" x14ac:dyDescent="0.25">
      <c r="AD45835"/>
    </row>
    <row r="45836" spans="30:30" x14ac:dyDescent="0.25">
      <c r="AD45836"/>
    </row>
    <row r="45837" spans="30:30" x14ac:dyDescent="0.25">
      <c r="AD45837"/>
    </row>
    <row r="45838" spans="30:30" x14ac:dyDescent="0.25">
      <c r="AD45838"/>
    </row>
    <row r="45839" spans="30:30" x14ac:dyDescent="0.25">
      <c r="AD45839"/>
    </row>
    <row r="45840" spans="30:30" x14ac:dyDescent="0.25">
      <c r="AD45840"/>
    </row>
    <row r="45841" spans="30:30" x14ac:dyDescent="0.25">
      <c r="AD45841"/>
    </row>
    <row r="45842" spans="30:30" x14ac:dyDescent="0.25">
      <c r="AD45842"/>
    </row>
    <row r="45843" spans="30:30" x14ac:dyDescent="0.25">
      <c r="AD45843"/>
    </row>
    <row r="45844" spans="30:30" x14ac:dyDescent="0.25">
      <c r="AD45844"/>
    </row>
    <row r="45845" spans="30:30" x14ac:dyDescent="0.25">
      <c r="AD45845"/>
    </row>
    <row r="45846" spans="30:30" x14ac:dyDescent="0.25">
      <c r="AD45846"/>
    </row>
    <row r="45847" spans="30:30" x14ac:dyDescent="0.25">
      <c r="AD45847"/>
    </row>
    <row r="45848" spans="30:30" x14ac:dyDescent="0.25">
      <c r="AD45848"/>
    </row>
    <row r="45849" spans="30:30" x14ac:dyDescent="0.25">
      <c r="AD45849"/>
    </row>
    <row r="45850" spans="30:30" x14ac:dyDescent="0.25">
      <c r="AD45850"/>
    </row>
    <row r="45851" spans="30:30" x14ac:dyDescent="0.25">
      <c r="AD45851"/>
    </row>
    <row r="45852" spans="30:30" x14ac:dyDescent="0.25">
      <c r="AD45852"/>
    </row>
    <row r="45853" spans="30:30" x14ac:dyDescent="0.25">
      <c r="AD45853"/>
    </row>
    <row r="45854" spans="30:30" x14ac:dyDescent="0.25">
      <c r="AD45854"/>
    </row>
    <row r="45855" spans="30:30" x14ac:dyDescent="0.25">
      <c r="AD45855"/>
    </row>
    <row r="45856" spans="30:30" x14ac:dyDescent="0.25">
      <c r="AD45856"/>
    </row>
    <row r="45857" spans="30:30" x14ac:dyDescent="0.25">
      <c r="AD45857"/>
    </row>
    <row r="45858" spans="30:30" x14ac:dyDescent="0.25">
      <c r="AD45858"/>
    </row>
    <row r="45859" spans="30:30" x14ac:dyDescent="0.25">
      <c r="AD45859"/>
    </row>
    <row r="45860" spans="30:30" x14ac:dyDescent="0.25">
      <c r="AD45860"/>
    </row>
    <row r="45861" spans="30:30" x14ac:dyDescent="0.25">
      <c r="AD45861"/>
    </row>
    <row r="45862" spans="30:30" x14ac:dyDescent="0.25">
      <c r="AD45862"/>
    </row>
    <row r="45863" spans="30:30" x14ac:dyDescent="0.25">
      <c r="AD45863"/>
    </row>
    <row r="45864" spans="30:30" x14ac:dyDescent="0.25">
      <c r="AD45864"/>
    </row>
    <row r="45865" spans="30:30" x14ac:dyDescent="0.25">
      <c r="AD45865"/>
    </row>
    <row r="45866" spans="30:30" x14ac:dyDescent="0.25">
      <c r="AD45866"/>
    </row>
    <row r="45867" spans="30:30" x14ac:dyDescent="0.25">
      <c r="AD45867"/>
    </row>
    <row r="45868" spans="30:30" x14ac:dyDescent="0.25">
      <c r="AD45868"/>
    </row>
    <row r="45869" spans="30:30" x14ac:dyDescent="0.25">
      <c r="AD45869"/>
    </row>
    <row r="45870" spans="30:30" x14ac:dyDescent="0.25">
      <c r="AD45870"/>
    </row>
    <row r="45871" spans="30:30" x14ac:dyDescent="0.25">
      <c r="AD45871"/>
    </row>
    <row r="45872" spans="30:30" x14ac:dyDescent="0.25">
      <c r="AD45872"/>
    </row>
    <row r="45873" spans="30:30" x14ac:dyDescent="0.25">
      <c r="AD45873"/>
    </row>
    <row r="45874" spans="30:30" x14ac:dyDescent="0.25">
      <c r="AD45874"/>
    </row>
    <row r="45875" spans="30:30" x14ac:dyDescent="0.25">
      <c r="AD45875"/>
    </row>
    <row r="45876" spans="30:30" x14ac:dyDescent="0.25">
      <c r="AD45876"/>
    </row>
    <row r="45877" spans="30:30" x14ac:dyDescent="0.25">
      <c r="AD45877"/>
    </row>
    <row r="45878" spans="30:30" x14ac:dyDescent="0.25">
      <c r="AD45878"/>
    </row>
    <row r="45879" spans="30:30" x14ac:dyDescent="0.25">
      <c r="AD45879"/>
    </row>
    <row r="45880" spans="30:30" x14ac:dyDescent="0.25">
      <c r="AD45880"/>
    </row>
    <row r="45881" spans="30:30" x14ac:dyDescent="0.25">
      <c r="AD45881"/>
    </row>
    <row r="45882" spans="30:30" x14ac:dyDescent="0.25">
      <c r="AD45882"/>
    </row>
    <row r="45883" spans="30:30" x14ac:dyDescent="0.25">
      <c r="AD45883"/>
    </row>
    <row r="45884" spans="30:30" x14ac:dyDescent="0.25">
      <c r="AD45884"/>
    </row>
    <row r="45885" spans="30:30" x14ac:dyDescent="0.25">
      <c r="AD45885"/>
    </row>
    <row r="45886" spans="30:30" x14ac:dyDescent="0.25">
      <c r="AD45886"/>
    </row>
    <row r="45887" spans="30:30" x14ac:dyDescent="0.25">
      <c r="AD45887"/>
    </row>
    <row r="45888" spans="30:30" x14ac:dyDescent="0.25">
      <c r="AD45888"/>
    </row>
    <row r="45889" spans="30:30" x14ac:dyDescent="0.25">
      <c r="AD45889"/>
    </row>
    <row r="45890" spans="30:30" x14ac:dyDescent="0.25">
      <c r="AD45890"/>
    </row>
    <row r="45891" spans="30:30" x14ac:dyDescent="0.25">
      <c r="AD45891"/>
    </row>
    <row r="45892" spans="30:30" x14ac:dyDescent="0.25">
      <c r="AD45892"/>
    </row>
    <row r="45893" spans="30:30" x14ac:dyDescent="0.25">
      <c r="AD45893"/>
    </row>
    <row r="45894" spans="30:30" x14ac:dyDescent="0.25">
      <c r="AD45894"/>
    </row>
    <row r="45895" spans="30:30" x14ac:dyDescent="0.25">
      <c r="AD45895"/>
    </row>
    <row r="45896" spans="30:30" x14ac:dyDescent="0.25">
      <c r="AD45896"/>
    </row>
    <row r="45897" spans="30:30" x14ac:dyDescent="0.25">
      <c r="AD45897"/>
    </row>
    <row r="45898" spans="30:30" x14ac:dyDescent="0.25">
      <c r="AD45898"/>
    </row>
    <row r="45899" spans="30:30" x14ac:dyDescent="0.25">
      <c r="AD45899"/>
    </row>
    <row r="45900" spans="30:30" x14ac:dyDescent="0.25">
      <c r="AD45900"/>
    </row>
    <row r="45901" spans="30:30" x14ac:dyDescent="0.25">
      <c r="AD45901"/>
    </row>
    <row r="45902" spans="30:30" x14ac:dyDescent="0.25">
      <c r="AD45902"/>
    </row>
    <row r="45903" spans="30:30" x14ac:dyDescent="0.25">
      <c r="AD45903"/>
    </row>
    <row r="45904" spans="30:30" x14ac:dyDescent="0.25">
      <c r="AD45904"/>
    </row>
    <row r="45905" spans="30:30" x14ac:dyDescent="0.25">
      <c r="AD45905"/>
    </row>
    <row r="45906" spans="30:30" x14ac:dyDescent="0.25">
      <c r="AD45906"/>
    </row>
    <row r="45907" spans="30:30" x14ac:dyDescent="0.25">
      <c r="AD45907"/>
    </row>
    <row r="45908" spans="30:30" x14ac:dyDescent="0.25">
      <c r="AD45908"/>
    </row>
    <row r="45909" spans="30:30" x14ac:dyDescent="0.25">
      <c r="AD45909"/>
    </row>
    <row r="45910" spans="30:30" x14ac:dyDescent="0.25">
      <c r="AD45910"/>
    </row>
    <row r="45911" spans="30:30" x14ac:dyDescent="0.25">
      <c r="AD45911"/>
    </row>
    <row r="45912" spans="30:30" x14ac:dyDescent="0.25">
      <c r="AD45912"/>
    </row>
    <row r="45913" spans="30:30" x14ac:dyDescent="0.25">
      <c r="AD45913"/>
    </row>
    <row r="45914" spans="30:30" x14ac:dyDescent="0.25">
      <c r="AD45914"/>
    </row>
    <row r="45915" spans="30:30" x14ac:dyDescent="0.25">
      <c r="AD45915"/>
    </row>
    <row r="45916" spans="30:30" x14ac:dyDescent="0.25">
      <c r="AD45916"/>
    </row>
    <row r="45917" spans="30:30" x14ac:dyDescent="0.25">
      <c r="AD45917"/>
    </row>
    <row r="45918" spans="30:30" x14ac:dyDescent="0.25">
      <c r="AD45918"/>
    </row>
    <row r="45919" spans="30:30" x14ac:dyDescent="0.25">
      <c r="AD45919"/>
    </row>
    <row r="45920" spans="30:30" x14ac:dyDescent="0.25">
      <c r="AD45920"/>
    </row>
    <row r="45921" spans="30:30" x14ac:dyDescent="0.25">
      <c r="AD45921"/>
    </row>
    <row r="45922" spans="30:30" x14ac:dyDescent="0.25">
      <c r="AD45922"/>
    </row>
    <row r="45923" spans="30:30" x14ac:dyDescent="0.25">
      <c r="AD45923"/>
    </row>
    <row r="45924" spans="30:30" x14ac:dyDescent="0.25">
      <c r="AD45924"/>
    </row>
    <row r="45925" spans="30:30" x14ac:dyDescent="0.25">
      <c r="AD45925"/>
    </row>
    <row r="45926" spans="30:30" x14ac:dyDescent="0.25">
      <c r="AD45926"/>
    </row>
    <row r="45927" spans="30:30" x14ac:dyDescent="0.25">
      <c r="AD45927"/>
    </row>
    <row r="45928" spans="30:30" x14ac:dyDescent="0.25">
      <c r="AD45928"/>
    </row>
    <row r="45929" spans="30:30" x14ac:dyDescent="0.25">
      <c r="AD45929"/>
    </row>
    <row r="45930" spans="30:30" x14ac:dyDescent="0.25">
      <c r="AD45930"/>
    </row>
    <row r="45931" spans="30:30" x14ac:dyDescent="0.25">
      <c r="AD45931"/>
    </row>
    <row r="45932" spans="30:30" x14ac:dyDescent="0.25">
      <c r="AD45932"/>
    </row>
    <row r="45933" spans="30:30" x14ac:dyDescent="0.25">
      <c r="AD45933"/>
    </row>
    <row r="45934" spans="30:30" x14ac:dyDescent="0.25">
      <c r="AD45934"/>
    </row>
    <row r="45935" spans="30:30" x14ac:dyDescent="0.25">
      <c r="AD45935"/>
    </row>
    <row r="45936" spans="30:30" x14ac:dyDescent="0.25">
      <c r="AD45936"/>
    </row>
    <row r="45937" spans="30:30" x14ac:dyDescent="0.25">
      <c r="AD45937"/>
    </row>
    <row r="45938" spans="30:30" x14ac:dyDescent="0.25">
      <c r="AD45938"/>
    </row>
    <row r="45939" spans="30:30" x14ac:dyDescent="0.25">
      <c r="AD45939"/>
    </row>
    <row r="45940" spans="30:30" x14ac:dyDescent="0.25">
      <c r="AD45940"/>
    </row>
    <row r="45941" spans="30:30" x14ac:dyDescent="0.25">
      <c r="AD45941"/>
    </row>
    <row r="45942" spans="30:30" x14ac:dyDescent="0.25">
      <c r="AD45942"/>
    </row>
    <row r="45943" spans="30:30" x14ac:dyDescent="0.25">
      <c r="AD45943"/>
    </row>
    <row r="45944" spans="30:30" x14ac:dyDescent="0.25">
      <c r="AD45944"/>
    </row>
    <row r="45945" spans="30:30" x14ac:dyDescent="0.25">
      <c r="AD45945"/>
    </row>
    <row r="45946" spans="30:30" x14ac:dyDescent="0.25">
      <c r="AD45946"/>
    </row>
    <row r="45947" spans="30:30" x14ac:dyDescent="0.25">
      <c r="AD45947"/>
    </row>
    <row r="45948" spans="30:30" x14ac:dyDescent="0.25">
      <c r="AD45948"/>
    </row>
    <row r="45949" spans="30:30" x14ac:dyDescent="0.25">
      <c r="AD45949"/>
    </row>
    <row r="45950" spans="30:30" x14ac:dyDescent="0.25">
      <c r="AD45950"/>
    </row>
    <row r="45951" spans="30:30" x14ac:dyDescent="0.25">
      <c r="AD45951"/>
    </row>
    <row r="45952" spans="30:30" x14ac:dyDescent="0.25">
      <c r="AD45952"/>
    </row>
    <row r="45953" spans="30:30" x14ac:dyDescent="0.25">
      <c r="AD45953"/>
    </row>
    <row r="45954" spans="30:30" x14ac:dyDescent="0.25">
      <c r="AD45954"/>
    </row>
    <row r="45955" spans="30:30" x14ac:dyDescent="0.25">
      <c r="AD45955"/>
    </row>
    <row r="45956" spans="30:30" x14ac:dyDescent="0.25">
      <c r="AD45956"/>
    </row>
    <row r="45957" spans="30:30" x14ac:dyDescent="0.25">
      <c r="AD45957"/>
    </row>
    <row r="45958" spans="30:30" x14ac:dyDescent="0.25">
      <c r="AD45958"/>
    </row>
    <row r="45959" spans="30:30" x14ac:dyDescent="0.25">
      <c r="AD45959"/>
    </row>
    <row r="45960" spans="30:30" x14ac:dyDescent="0.25">
      <c r="AD45960"/>
    </row>
    <row r="45961" spans="30:30" x14ac:dyDescent="0.25">
      <c r="AD45961"/>
    </row>
    <row r="45962" spans="30:30" x14ac:dyDescent="0.25">
      <c r="AD45962"/>
    </row>
    <row r="45963" spans="30:30" x14ac:dyDescent="0.25">
      <c r="AD45963"/>
    </row>
    <row r="45964" spans="30:30" x14ac:dyDescent="0.25">
      <c r="AD45964"/>
    </row>
    <row r="45965" spans="30:30" x14ac:dyDescent="0.25">
      <c r="AD45965"/>
    </row>
    <row r="45966" spans="30:30" x14ac:dyDescent="0.25">
      <c r="AD45966"/>
    </row>
    <row r="45967" spans="30:30" x14ac:dyDescent="0.25">
      <c r="AD45967"/>
    </row>
    <row r="45968" spans="30:30" x14ac:dyDescent="0.25">
      <c r="AD45968"/>
    </row>
    <row r="45969" spans="30:30" x14ac:dyDescent="0.25">
      <c r="AD45969"/>
    </row>
    <row r="45970" spans="30:30" x14ac:dyDescent="0.25">
      <c r="AD45970"/>
    </row>
    <row r="45971" spans="30:30" x14ac:dyDescent="0.25">
      <c r="AD45971"/>
    </row>
    <row r="45972" spans="30:30" x14ac:dyDescent="0.25">
      <c r="AD45972"/>
    </row>
    <row r="45973" spans="30:30" x14ac:dyDescent="0.25">
      <c r="AD45973"/>
    </row>
    <row r="45974" spans="30:30" x14ac:dyDescent="0.25">
      <c r="AD45974"/>
    </row>
    <row r="45975" spans="30:30" x14ac:dyDescent="0.25">
      <c r="AD45975"/>
    </row>
    <row r="45976" spans="30:30" x14ac:dyDescent="0.25">
      <c r="AD45976"/>
    </row>
    <row r="45977" spans="30:30" x14ac:dyDescent="0.25">
      <c r="AD45977"/>
    </row>
    <row r="45978" spans="30:30" x14ac:dyDescent="0.25">
      <c r="AD45978"/>
    </row>
    <row r="45979" spans="30:30" x14ac:dyDescent="0.25">
      <c r="AD45979"/>
    </row>
    <row r="45980" spans="30:30" x14ac:dyDescent="0.25">
      <c r="AD45980"/>
    </row>
    <row r="45981" spans="30:30" x14ac:dyDescent="0.25">
      <c r="AD45981"/>
    </row>
    <row r="45982" spans="30:30" x14ac:dyDescent="0.25">
      <c r="AD45982"/>
    </row>
    <row r="45983" spans="30:30" x14ac:dyDescent="0.25">
      <c r="AD45983"/>
    </row>
    <row r="45984" spans="30:30" x14ac:dyDescent="0.25">
      <c r="AD45984"/>
    </row>
    <row r="45985" spans="30:30" x14ac:dyDescent="0.25">
      <c r="AD45985"/>
    </row>
    <row r="45986" spans="30:30" x14ac:dyDescent="0.25">
      <c r="AD45986"/>
    </row>
    <row r="45987" spans="30:30" x14ac:dyDescent="0.25">
      <c r="AD45987"/>
    </row>
    <row r="45988" spans="30:30" x14ac:dyDescent="0.25">
      <c r="AD45988"/>
    </row>
    <row r="45989" spans="30:30" x14ac:dyDescent="0.25">
      <c r="AD45989"/>
    </row>
    <row r="45990" spans="30:30" x14ac:dyDescent="0.25">
      <c r="AD45990"/>
    </row>
    <row r="45991" spans="30:30" x14ac:dyDescent="0.25">
      <c r="AD45991"/>
    </row>
    <row r="45992" spans="30:30" x14ac:dyDescent="0.25">
      <c r="AD45992"/>
    </row>
    <row r="45993" spans="30:30" x14ac:dyDescent="0.25">
      <c r="AD45993"/>
    </row>
    <row r="45994" spans="30:30" x14ac:dyDescent="0.25">
      <c r="AD45994"/>
    </row>
    <row r="45995" spans="30:30" x14ac:dyDescent="0.25">
      <c r="AD45995"/>
    </row>
    <row r="45996" spans="30:30" x14ac:dyDescent="0.25">
      <c r="AD45996"/>
    </row>
    <row r="45997" spans="30:30" x14ac:dyDescent="0.25">
      <c r="AD45997"/>
    </row>
    <row r="45998" spans="30:30" x14ac:dyDescent="0.25">
      <c r="AD45998"/>
    </row>
    <row r="45999" spans="30:30" x14ac:dyDescent="0.25">
      <c r="AD45999"/>
    </row>
    <row r="46000" spans="30:30" x14ac:dyDescent="0.25">
      <c r="AD46000"/>
    </row>
    <row r="46001" spans="30:30" x14ac:dyDescent="0.25">
      <c r="AD46001"/>
    </row>
    <row r="46002" spans="30:30" x14ac:dyDescent="0.25">
      <c r="AD46002"/>
    </row>
    <row r="46003" spans="30:30" x14ac:dyDescent="0.25">
      <c r="AD46003"/>
    </row>
    <row r="46004" spans="30:30" x14ac:dyDescent="0.25">
      <c r="AD46004"/>
    </row>
    <row r="46005" spans="30:30" x14ac:dyDescent="0.25">
      <c r="AD46005"/>
    </row>
    <row r="46006" spans="30:30" x14ac:dyDescent="0.25">
      <c r="AD46006"/>
    </row>
    <row r="46007" spans="30:30" x14ac:dyDescent="0.25">
      <c r="AD46007"/>
    </row>
    <row r="46008" spans="30:30" x14ac:dyDescent="0.25">
      <c r="AD46008"/>
    </row>
    <row r="46009" spans="30:30" x14ac:dyDescent="0.25">
      <c r="AD46009"/>
    </row>
    <row r="46010" spans="30:30" x14ac:dyDescent="0.25">
      <c r="AD46010"/>
    </row>
    <row r="46011" spans="30:30" x14ac:dyDescent="0.25">
      <c r="AD46011"/>
    </row>
    <row r="46012" spans="30:30" x14ac:dyDescent="0.25">
      <c r="AD46012"/>
    </row>
    <row r="46013" spans="30:30" x14ac:dyDescent="0.25">
      <c r="AD46013"/>
    </row>
    <row r="46014" spans="30:30" x14ac:dyDescent="0.25">
      <c r="AD46014"/>
    </row>
    <row r="46015" spans="30:30" x14ac:dyDescent="0.25">
      <c r="AD46015"/>
    </row>
    <row r="46016" spans="30:30" x14ac:dyDescent="0.25">
      <c r="AD46016"/>
    </row>
    <row r="46017" spans="30:30" x14ac:dyDescent="0.25">
      <c r="AD46017"/>
    </row>
    <row r="46018" spans="30:30" x14ac:dyDescent="0.25">
      <c r="AD46018"/>
    </row>
    <row r="46019" spans="30:30" x14ac:dyDescent="0.25">
      <c r="AD46019"/>
    </row>
    <row r="46020" spans="30:30" x14ac:dyDescent="0.25">
      <c r="AD46020"/>
    </row>
    <row r="46021" spans="30:30" x14ac:dyDescent="0.25">
      <c r="AD46021"/>
    </row>
    <row r="46022" spans="30:30" x14ac:dyDescent="0.25">
      <c r="AD46022"/>
    </row>
    <row r="46023" spans="30:30" x14ac:dyDescent="0.25">
      <c r="AD46023"/>
    </row>
    <row r="46024" spans="30:30" x14ac:dyDescent="0.25">
      <c r="AD46024"/>
    </row>
    <row r="46025" spans="30:30" x14ac:dyDescent="0.25">
      <c r="AD46025"/>
    </row>
    <row r="46026" spans="30:30" x14ac:dyDescent="0.25">
      <c r="AD46026"/>
    </row>
    <row r="46027" spans="30:30" x14ac:dyDescent="0.25">
      <c r="AD46027"/>
    </row>
    <row r="46028" spans="30:30" x14ac:dyDescent="0.25">
      <c r="AD46028"/>
    </row>
    <row r="46029" spans="30:30" x14ac:dyDescent="0.25">
      <c r="AD46029"/>
    </row>
    <row r="46030" spans="30:30" x14ac:dyDescent="0.25">
      <c r="AD46030"/>
    </row>
    <row r="46031" spans="30:30" x14ac:dyDescent="0.25">
      <c r="AD46031"/>
    </row>
    <row r="46032" spans="30:30" x14ac:dyDescent="0.25">
      <c r="AD46032"/>
    </row>
    <row r="46033" spans="30:30" x14ac:dyDescent="0.25">
      <c r="AD46033"/>
    </row>
    <row r="46034" spans="30:30" x14ac:dyDescent="0.25">
      <c r="AD46034"/>
    </row>
    <row r="46035" spans="30:30" x14ac:dyDescent="0.25">
      <c r="AD46035"/>
    </row>
    <row r="46036" spans="30:30" x14ac:dyDescent="0.25">
      <c r="AD46036"/>
    </row>
    <row r="46037" spans="30:30" x14ac:dyDescent="0.25">
      <c r="AD46037"/>
    </row>
    <row r="46038" spans="30:30" x14ac:dyDescent="0.25">
      <c r="AD46038"/>
    </row>
    <row r="46039" spans="30:30" x14ac:dyDescent="0.25">
      <c r="AD46039"/>
    </row>
    <row r="46040" spans="30:30" x14ac:dyDescent="0.25">
      <c r="AD46040"/>
    </row>
    <row r="46041" spans="30:30" x14ac:dyDescent="0.25">
      <c r="AD46041"/>
    </row>
    <row r="46042" spans="30:30" x14ac:dyDescent="0.25">
      <c r="AD46042"/>
    </row>
    <row r="46043" spans="30:30" x14ac:dyDescent="0.25">
      <c r="AD46043"/>
    </row>
    <row r="46044" spans="30:30" x14ac:dyDescent="0.25">
      <c r="AD46044"/>
    </row>
    <row r="46045" spans="30:30" x14ac:dyDescent="0.25">
      <c r="AD46045"/>
    </row>
    <row r="46046" spans="30:30" x14ac:dyDescent="0.25">
      <c r="AD46046"/>
    </row>
    <row r="46047" spans="30:30" x14ac:dyDescent="0.25">
      <c r="AD46047"/>
    </row>
    <row r="46048" spans="30:30" x14ac:dyDescent="0.25">
      <c r="AD46048"/>
    </row>
    <row r="46049" spans="30:30" x14ac:dyDescent="0.25">
      <c r="AD46049"/>
    </row>
    <row r="46050" spans="30:30" x14ac:dyDescent="0.25">
      <c r="AD46050"/>
    </row>
    <row r="46051" spans="30:30" x14ac:dyDescent="0.25">
      <c r="AD46051"/>
    </row>
    <row r="46052" spans="30:30" x14ac:dyDescent="0.25">
      <c r="AD46052"/>
    </row>
    <row r="46053" spans="30:30" x14ac:dyDescent="0.25">
      <c r="AD46053"/>
    </row>
    <row r="46054" spans="30:30" x14ac:dyDescent="0.25">
      <c r="AD46054"/>
    </row>
    <row r="46055" spans="30:30" x14ac:dyDescent="0.25">
      <c r="AD46055"/>
    </row>
    <row r="46056" spans="30:30" x14ac:dyDescent="0.25">
      <c r="AD46056"/>
    </row>
    <row r="46057" spans="30:30" x14ac:dyDescent="0.25">
      <c r="AD46057"/>
    </row>
    <row r="46058" spans="30:30" x14ac:dyDescent="0.25">
      <c r="AD46058"/>
    </row>
    <row r="46059" spans="30:30" x14ac:dyDescent="0.25">
      <c r="AD46059"/>
    </row>
    <row r="46060" spans="30:30" x14ac:dyDescent="0.25">
      <c r="AD46060"/>
    </row>
    <row r="46061" spans="30:30" x14ac:dyDescent="0.25">
      <c r="AD46061"/>
    </row>
    <row r="46062" spans="30:30" x14ac:dyDescent="0.25">
      <c r="AD46062"/>
    </row>
    <row r="46063" spans="30:30" x14ac:dyDescent="0.25">
      <c r="AD46063"/>
    </row>
    <row r="46064" spans="30:30" x14ac:dyDescent="0.25">
      <c r="AD46064"/>
    </row>
    <row r="46065" spans="30:30" x14ac:dyDescent="0.25">
      <c r="AD46065"/>
    </row>
    <row r="46066" spans="30:30" x14ac:dyDescent="0.25">
      <c r="AD46066"/>
    </row>
    <row r="46067" spans="30:30" x14ac:dyDescent="0.25">
      <c r="AD46067"/>
    </row>
    <row r="46068" spans="30:30" x14ac:dyDescent="0.25">
      <c r="AD46068"/>
    </row>
    <row r="46069" spans="30:30" x14ac:dyDescent="0.25">
      <c r="AD46069"/>
    </row>
    <row r="46070" spans="30:30" x14ac:dyDescent="0.25">
      <c r="AD46070"/>
    </row>
    <row r="46071" spans="30:30" x14ac:dyDescent="0.25">
      <c r="AD46071"/>
    </row>
    <row r="46072" spans="30:30" x14ac:dyDescent="0.25">
      <c r="AD46072"/>
    </row>
    <row r="46073" spans="30:30" x14ac:dyDescent="0.25">
      <c r="AD46073"/>
    </row>
    <row r="46074" spans="30:30" x14ac:dyDescent="0.25">
      <c r="AD46074"/>
    </row>
    <row r="46075" spans="30:30" x14ac:dyDescent="0.25">
      <c r="AD46075"/>
    </row>
    <row r="46076" spans="30:30" x14ac:dyDescent="0.25">
      <c r="AD46076"/>
    </row>
    <row r="46077" spans="30:30" x14ac:dyDescent="0.25">
      <c r="AD46077"/>
    </row>
    <row r="46078" spans="30:30" x14ac:dyDescent="0.25">
      <c r="AD46078"/>
    </row>
    <row r="46079" spans="30:30" x14ac:dyDescent="0.25">
      <c r="AD46079"/>
    </row>
    <row r="46080" spans="30:30" x14ac:dyDescent="0.25">
      <c r="AD46080"/>
    </row>
    <row r="46081" spans="30:30" x14ac:dyDescent="0.25">
      <c r="AD46081"/>
    </row>
    <row r="46082" spans="30:30" x14ac:dyDescent="0.25">
      <c r="AD46082"/>
    </row>
    <row r="46083" spans="30:30" x14ac:dyDescent="0.25">
      <c r="AD46083"/>
    </row>
    <row r="46084" spans="30:30" x14ac:dyDescent="0.25">
      <c r="AD46084"/>
    </row>
    <row r="46085" spans="30:30" x14ac:dyDescent="0.25">
      <c r="AD46085"/>
    </row>
    <row r="46086" spans="30:30" x14ac:dyDescent="0.25">
      <c r="AD46086"/>
    </row>
    <row r="46087" spans="30:30" x14ac:dyDescent="0.25">
      <c r="AD46087"/>
    </row>
    <row r="46088" spans="30:30" x14ac:dyDescent="0.25">
      <c r="AD46088"/>
    </row>
    <row r="46089" spans="30:30" x14ac:dyDescent="0.25">
      <c r="AD46089"/>
    </row>
    <row r="46090" spans="30:30" x14ac:dyDescent="0.25">
      <c r="AD46090"/>
    </row>
    <row r="46091" spans="30:30" x14ac:dyDescent="0.25">
      <c r="AD46091"/>
    </row>
    <row r="46092" spans="30:30" x14ac:dyDescent="0.25">
      <c r="AD46092"/>
    </row>
    <row r="46093" spans="30:30" x14ac:dyDescent="0.25">
      <c r="AD46093"/>
    </row>
    <row r="46094" spans="30:30" x14ac:dyDescent="0.25">
      <c r="AD46094"/>
    </row>
    <row r="46095" spans="30:30" x14ac:dyDescent="0.25">
      <c r="AD46095"/>
    </row>
    <row r="46096" spans="30:30" x14ac:dyDescent="0.25">
      <c r="AD46096"/>
    </row>
    <row r="46097" spans="30:30" x14ac:dyDescent="0.25">
      <c r="AD46097"/>
    </row>
    <row r="46098" spans="30:30" x14ac:dyDescent="0.25">
      <c r="AD46098"/>
    </row>
    <row r="46099" spans="30:30" x14ac:dyDescent="0.25">
      <c r="AD46099"/>
    </row>
    <row r="46100" spans="30:30" x14ac:dyDescent="0.25">
      <c r="AD46100"/>
    </row>
    <row r="46101" spans="30:30" x14ac:dyDescent="0.25">
      <c r="AD46101"/>
    </row>
    <row r="46102" spans="30:30" x14ac:dyDescent="0.25">
      <c r="AD46102"/>
    </row>
    <row r="46103" spans="30:30" x14ac:dyDescent="0.25">
      <c r="AD46103"/>
    </row>
    <row r="46104" spans="30:30" x14ac:dyDescent="0.25">
      <c r="AD46104"/>
    </row>
    <row r="46105" spans="30:30" x14ac:dyDescent="0.25">
      <c r="AD46105"/>
    </row>
    <row r="46106" spans="30:30" x14ac:dyDescent="0.25">
      <c r="AD46106"/>
    </row>
    <row r="46107" spans="30:30" x14ac:dyDescent="0.25">
      <c r="AD46107"/>
    </row>
    <row r="46108" spans="30:30" x14ac:dyDescent="0.25">
      <c r="AD46108"/>
    </row>
    <row r="46109" spans="30:30" x14ac:dyDescent="0.25">
      <c r="AD46109"/>
    </row>
    <row r="46110" spans="30:30" x14ac:dyDescent="0.25">
      <c r="AD46110"/>
    </row>
    <row r="46111" spans="30:30" x14ac:dyDescent="0.25">
      <c r="AD46111"/>
    </row>
    <row r="46112" spans="30:30" x14ac:dyDescent="0.25">
      <c r="AD46112"/>
    </row>
    <row r="46113" spans="30:30" x14ac:dyDescent="0.25">
      <c r="AD46113"/>
    </row>
    <row r="46114" spans="30:30" x14ac:dyDescent="0.25">
      <c r="AD46114"/>
    </row>
    <row r="46115" spans="30:30" x14ac:dyDescent="0.25">
      <c r="AD46115"/>
    </row>
    <row r="46116" spans="30:30" x14ac:dyDescent="0.25">
      <c r="AD46116"/>
    </row>
    <row r="46117" spans="30:30" x14ac:dyDescent="0.25">
      <c r="AD46117"/>
    </row>
    <row r="46118" spans="30:30" x14ac:dyDescent="0.25">
      <c r="AD46118"/>
    </row>
    <row r="46119" spans="30:30" x14ac:dyDescent="0.25">
      <c r="AD46119"/>
    </row>
    <row r="46120" spans="30:30" x14ac:dyDescent="0.25">
      <c r="AD46120"/>
    </row>
    <row r="46121" spans="30:30" x14ac:dyDescent="0.25">
      <c r="AD46121"/>
    </row>
    <row r="46122" spans="30:30" x14ac:dyDescent="0.25">
      <c r="AD46122"/>
    </row>
    <row r="46123" spans="30:30" x14ac:dyDescent="0.25">
      <c r="AD46123"/>
    </row>
    <row r="46124" spans="30:30" x14ac:dyDescent="0.25">
      <c r="AD46124"/>
    </row>
    <row r="46125" spans="30:30" x14ac:dyDescent="0.25">
      <c r="AD46125"/>
    </row>
    <row r="46126" spans="30:30" x14ac:dyDescent="0.25">
      <c r="AD46126"/>
    </row>
    <row r="46127" spans="30:30" x14ac:dyDescent="0.25">
      <c r="AD46127"/>
    </row>
    <row r="46128" spans="30:30" x14ac:dyDescent="0.25">
      <c r="AD46128"/>
    </row>
    <row r="46129" spans="30:30" x14ac:dyDescent="0.25">
      <c r="AD46129"/>
    </row>
    <row r="46130" spans="30:30" x14ac:dyDescent="0.25">
      <c r="AD46130"/>
    </row>
    <row r="46131" spans="30:30" x14ac:dyDescent="0.25">
      <c r="AD46131"/>
    </row>
    <row r="46132" spans="30:30" x14ac:dyDescent="0.25">
      <c r="AD46132"/>
    </row>
    <row r="46133" spans="30:30" x14ac:dyDescent="0.25">
      <c r="AD46133"/>
    </row>
    <row r="46134" spans="30:30" x14ac:dyDescent="0.25">
      <c r="AD46134"/>
    </row>
    <row r="46135" spans="30:30" x14ac:dyDescent="0.25">
      <c r="AD46135"/>
    </row>
    <row r="46136" spans="30:30" x14ac:dyDescent="0.25">
      <c r="AD46136"/>
    </row>
    <row r="46137" spans="30:30" x14ac:dyDescent="0.25">
      <c r="AD46137"/>
    </row>
    <row r="46138" spans="30:30" x14ac:dyDescent="0.25">
      <c r="AD46138"/>
    </row>
    <row r="46139" spans="30:30" x14ac:dyDescent="0.25">
      <c r="AD46139"/>
    </row>
    <row r="46140" spans="30:30" x14ac:dyDescent="0.25">
      <c r="AD46140"/>
    </row>
    <row r="46141" spans="30:30" x14ac:dyDescent="0.25">
      <c r="AD46141"/>
    </row>
    <row r="46142" spans="30:30" x14ac:dyDescent="0.25">
      <c r="AD46142"/>
    </row>
    <row r="46143" spans="30:30" x14ac:dyDescent="0.25">
      <c r="AD46143"/>
    </row>
    <row r="46144" spans="30:30" x14ac:dyDescent="0.25">
      <c r="AD46144"/>
    </row>
    <row r="46145" spans="30:30" x14ac:dyDescent="0.25">
      <c r="AD46145"/>
    </row>
    <row r="46146" spans="30:30" x14ac:dyDescent="0.25">
      <c r="AD46146"/>
    </row>
    <row r="46147" spans="30:30" x14ac:dyDescent="0.25">
      <c r="AD46147"/>
    </row>
    <row r="46148" spans="30:30" x14ac:dyDescent="0.25">
      <c r="AD46148"/>
    </row>
    <row r="46149" spans="30:30" x14ac:dyDescent="0.25">
      <c r="AD46149"/>
    </row>
    <row r="46150" spans="30:30" x14ac:dyDescent="0.25">
      <c r="AD46150"/>
    </row>
    <row r="46151" spans="30:30" x14ac:dyDescent="0.25">
      <c r="AD46151"/>
    </row>
    <row r="46152" spans="30:30" x14ac:dyDescent="0.25">
      <c r="AD46152"/>
    </row>
    <row r="46153" spans="30:30" x14ac:dyDescent="0.25">
      <c r="AD46153"/>
    </row>
    <row r="46154" spans="30:30" x14ac:dyDescent="0.25">
      <c r="AD46154"/>
    </row>
    <row r="46155" spans="30:30" x14ac:dyDescent="0.25">
      <c r="AD46155"/>
    </row>
    <row r="46156" spans="30:30" x14ac:dyDescent="0.25">
      <c r="AD46156"/>
    </row>
    <row r="46157" spans="30:30" x14ac:dyDescent="0.25">
      <c r="AD46157"/>
    </row>
    <row r="46158" spans="30:30" x14ac:dyDescent="0.25">
      <c r="AD46158"/>
    </row>
    <row r="46159" spans="30:30" x14ac:dyDescent="0.25">
      <c r="AD46159"/>
    </row>
    <row r="46160" spans="30:30" x14ac:dyDescent="0.25">
      <c r="AD46160"/>
    </row>
    <row r="46161" spans="30:30" x14ac:dyDescent="0.25">
      <c r="AD46161"/>
    </row>
    <row r="46162" spans="30:30" x14ac:dyDescent="0.25">
      <c r="AD46162"/>
    </row>
    <row r="46163" spans="30:30" x14ac:dyDescent="0.25">
      <c r="AD46163"/>
    </row>
    <row r="46164" spans="30:30" x14ac:dyDescent="0.25">
      <c r="AD46164"/>
    </row>
    <row r="46165" spans="30:30" x14ac:dyDescent="0.25">
      <c r="AD46165"/>
    </row>
    <row r="46166" spans="30:30" x14ac:dyDescent="0.25">
      <c r="AD46166"/>
    </row>
    <row r="46167" spans="30:30" x14ac:dyDescent="0.25">
      <c r="AD46167"/>
    </row>
    <row r="46168" spans="30:30" x14ac:dyDescent="0.25">
      <c r="AD46168"/>
    </row>
    <row r="46169" spans="30:30" x14ac:dyDescent="0.25">
      <c r="AD46169"/>
    </row>
    <row r="46170" spans="30:30" x14ac:dyDescent="0.25">
      <c r="AD46170"/>
    </row>
    <row r="46171" spans="30:30" x14ac:dyDescent="0.25">
      <c r="AD46171"/>
    </row>
    <row r="46172" spans="30:30" x14ac:dyDescent="0.25">
      <c r="AD46172"/>
    </row>
    <row r="46173" spans="30:30" x14ac:dyDescent="0.25">
      <c r="AD46173"/>
    </row>
    <row r="46174" spans="30:30" x14ac:dyDescent="0.25">
      <c r="AD46174"/>
    </row>
    <row r="46175" spans="30:30" x14ac:dyDescent="0.25">
      <c r="AD46175"/>
    </row>
    <row r="46176" spans="30:30" x14ac:dyDescent="0.25">
      <c r="AD46176"/>
    </row>
    <row r="46177" spans="30:30" x14ac:dyDescent="0.25">
      <c r="AD46177"/>
    </row>
    <row r="46178" spans="30:30" x14ac:dyDescent="0.25">
      <c r="AD46178"/>
    </row>
    <row r="46179" spans="30:30" x14ac:dyDescent="0.25">
      <c r="AD46179"/>
    </row>
    <row r="46180" spans="30:30" x14ac:dyDescent="0.25">
      <c r="AD46180"/>
    </row>
    <row r="46181" spans="30:30" x14ac:dyDescent="0.25">
      <c r="AD46181"/>
    </row>
    <row r="46182" spans="30:30" x14ac:dyDescent="0.25">
      <c r="AD46182"/>
    </row>
    <row r="46183" spans="30:30" x14ac:dyDescent="0.25">
      <c r="AD46183"/>
    </row>
    <row r="46184" spans="30:30" x14ac:dyDescent="0.25">
      <c r="AD46184"/>
    </row>
    <row r="46185" spans="30:30" x14ac:dyDescent="0.25">
      <c r="AD46185"/>
    </row>
    <row r="46186" spans="30:30" x14ac:dyDescent="0.25">
      <c r="AD46186"/>
    </row>
    <row r="46187" spans="30:30" x14ac:dyDescent="0.25">
      <c r="AD46187"/>
    </row>
    <row r="46188" spans="30:30" x14ac:dyDescent="0.25">
      <c r="AD46188"/>
    </row>
    <row r="46189" spans="30:30" x14ac:dyDescent="0.25">
      <c r="AD46189"/>
    </row>
    <row r="46190" spans="30:30" x14ac:dyDescent="0.25">
      <c r="AD46190"/>
    </row>
    <row r="46191" spans="30:30" x14ac:dyDescent="0.25">
      <c r="AD46191"/>
    </row>
    <row r="46192" spans="30:30" x14ac:dyDescent="0.25">
      <c r="AD46192"/>
    </row>
    <row r="46193" spans="30:30" x14ac:dyDescent="0.25">
      <c r="AD46193"/>
    </row>
    <row r="46194" spans="30:30" x14ac:dyDescent="0.25">
      <c r="AD46194"/>
    </row>
    <row r="46195" spans="30:30" x14ac:dyDescent="0.25">
      <c r="AD46195"/>
    </row>
    <row r="46196" spans="30:30" x14ac:dyDescent="0.25">
      <c r="AD46196"/>
    </row>
    <row r="46197" spans="30:30" x14ac:dyDescent="0.25">
      <c r="AD46197"/>
    </row>
    <row r="46198" spans="30:30" x14ac:dyDescent="0.25">
      <c r="AD46198"/>
    </row>
    <row r="46199" spans="30:30" x14ac:dyDescent="0.25">
      <c r="AD46199"/>
    </row>
    <row r="46200" spans="30:30" x14ac:dyDescent="0.25">
      <c r="AD46200"/>
    </row>
    <row r="46201" spans="30:30" x14ac:dyDescent="0.25">
      <c r="AD46201"/>
    </row>
    <row r="46202" spans="30:30" x14ac:dyDescent="0.25">
      <c r="AD46202"/>
    </row>
    <row r="46203" spans="30:30" x14ac:dyDescent="0.25">
      <c r="AD46203"/>
    </row>
    <row r="46204" spans="30:30" x14ac:dyDescent="0.25">
      <c r="AD46204"/>
    </row>
    <row r="46205" spans="30:30" x14ac:dyDescent="0.25">
      <c r="AD46205"/>
    </row>
    <row r="46206" spans="30:30" x14ac:dyDescent="0.25">
      <c r="AD46206"/>
    </row>
    <row r="46207" spans="30:30" x14ac:dyDescent="0.25">
      <c r="AD46207"/>
    </row>
    <row r="46208" spans="30:30" x14ac:dyDescent="0.25">
      <c r="AD46208"/>
    </row>
    <row r="46209" spans="30:30" x14ac:dyDescent="0.25">
      <c r="AD46209"/>
    </row>
    <row r="46210" spans="30:30" x14ac:dyDescent="0.25">
      <c r="AD46210"/>
    </row>
    <row r="46211" spans="30:30" x14ac:dyDescent="0.25">
      <c r="AD46211"/>
    </row>
    <row r="46212" spans="30:30" x14ac:dyDescent="0.25">
      <c r="AD46212"/>
    </row>
    <row r="46213" spans="30:30" x14ac:dyDescent="0.25">
      <c r="AD46213"/>
    </row>
    <row r="46214" spans="30:30" x14ac:dyDescent="0.25">
      <c r="AD46214"/>
    </row>
    <row r="46215" spans="30:30" x14ac:dyDescent="0.25">
      <c r="AD46215"/>
    </row>
    <row r="46216" spans="30:30" x14ac:dyDescent="0.25">
      <c r="AD46216"/>
    </row>
    <row r="46217" spans="30:30" x14ac:dyDescent="0.25">
      <c r="AD46217"/>
    </row>
    <row r="46218" spans="30:30" x14ac:dyDescent="0.25">
      <c r="AD46218"/>
    </row>
    <row r="46219" spans="30:30" x14ac:dyDescent="0.25">
      <c r="AD46219"/>
    </row>
    <row r="46220" spans="30:30" x14ac:dyDescent="0.25">
      <c r="AD46220"/>
    </row>
    <row r="46221" spans="30:30" x14ac:dyDescent="0.25">
      <c r="AD46221"/>
    </row>
    <row r="46222" spans="30:30" x14ac:dyDescent="0.25">
      <c r="AD46222"/>
    </row>
    <row r="46223" spans="30:30" x14ac:dyDescent="0.25">
      <c r="AD46223"/>
    </row>
    <row r="46224" spans="30:30" x14ac:dyDescent="0.25">
      <c r="AD46224"/>
    </row>
    <row r="46225" spans="30:30" x14ac:dyDescent="0.25">
      <c r="AD46225"/>
    </row>
    <row r="46226" spans="30:30" x14ac:dyDescent="0.25">
      <c r="AD46226"/>
    </row>
    <row r="46227" spans="30:30" x14ac:dyDescent="0.25">
      <c r="AD46227"/>
    </row>
    <row r="46228" spans="30:30" x14ac:dyDescent="0.25">
      <c r="AD46228"/>
    </row>
    <row r="46229" spans="30:30" x14ac:dyDescent="0.25">
      <c r="AD46229"/>
    </row>
    <row r="46230" spans="30:30" x14ac:dyDescent="0.25">
      <c r="AD46230"/>
    </row>
    <row r="46231" spans="30:30" x14ac:dyDescent="0.25">
      <c r="AD46231"/>
    </row>
    <row r="46232" spans="30:30" x14ac:dyDescent="0.25">
      <c r="AD46232"/>
    </row>
    <row r="46233" spans="30:30" x14ac:dyDescent="0.25">
      <c r="AD46233"/>
    </row>
    <row r="46234" spans="30:30" x14ac:dyDescent="0.25">
      <c r="AD46234"/>
    </row>
    <row r="46235" spans="30:30" x14ac:dyDescent="0.25">
      <c r="AD46235"/>
    </row>
    <row r="46236" spans="30:30" x14ac:dyDescent="0.25">
      <c r="AD46236"/>
    </row>
    <row r="46237" spans="30:30" x14ac:dyDescent="0.25">
      <c r="AD46237"/>
    </row>
    <row r="46238" spans="30:30" x14ac:dyDescent="0.25">
      <c r="AD46238"/>
    </row>
    <row r="46239" spans="30:30" x14ac:dyDescent="0.25">
      <c r="AD46239"/>
    </row>
    <row r="46240" spans="30:30" x14ac:dyDescent="0.25">
      <c r="AD46240"/>
    </row>
    <row r="46241" spans="30:30" x14ac:dyDescent="0.25">
      <c r="AD46241"/>
    </row>
    <row r="46242" spans="30:30" x14ac:dyDescent="0.25">
      <c r="AD46242"/>
    </row>
    <row r="46243" spans="30:30" x14ac:dyDescent="0.25">
      <c r="AD46243"/>
    </row>
    <row r="46244" spans="30:30" x14ac:dyDescent="0.25">
      <c r="AD46244"/>
    </row>
    <row r="46245" spans="30:30" x14ac:dyDescent="0.25">
      <c r="AD46245"/>
    </row>
    <row r="46246" spans="30:30" x14ac:dyDescent="0.25">
      <c r="AD46246"/>
    </row>
    <row r="46247" spans="30:30" x14ac:dyDescent="0.25">
      <c r="AD46247"/>
    </row>
    <row r="46248" spans="30:30" x14ac:dyDescent="0.25">
      <c r="AD46248"/>
    </row>
    <row r="46249" spans="30:30" x14ac:dyDescent="0.25">
      <c r="AD46249"/>
    </row>
    <row r="46250" spans="30:30" x14ac:dyDescent="0.25">
      <c r="AD46250"/>
    </row>
    <row r="46251" spans="30:30" x14ac:dyDescent="0.25">
      <c r="AD46251"/>
    </row>
    <row r="46252" spans="30:30" x14ac:dyDescent="0.25">
      <c r="AD46252"/>
    </row>
    <row r="46253" spans="30:30" x14ac:dyDescent="0.25">
      <c r="AD46253"/>
    </row>
    <row r="46254" spans="30:30" x14ac:dyDescent="0.25">
      <c r="AD46254"/>
    </row>
    <row r="46255" spans="30:30" x14ac:dyDescent="0.25">
      <c r="AD46255"/>
    </row>
    <row r="46256" spans="30:30" x14ac:dyDescent="0.25">
      <c r="AD46256"/>
    </row>
    <row r="46257" spans="30:30" x14ac:dyDescent="0.25">
      <c r="AD46257"/>
    </row>
    <row r="46258" spans="30:30" x14ac:dyDescent="0.25">
      <c r="AD46258"/>
    </row>
    <row r="46259" spans="30:30" x14ac:dyDescent="0.25">
      <c r="AD46259"/>
    </row>
    <row r="46260" spans="30:30" x14ac:dyDescent="0.25">
      <c r="AD46260"/>
    </row>
    <row r="46261" spans="30:30" x14ac:dyDescent="0.25">
      <c r="AD46261"/>
    </row>
    <row r="46262" spans="30:30" x14ac:dyDescent="0.25">
      <c r="AD46262"/>
    </row>
    <row r="46263" spans="30:30" x14ac:dyDescent="0.25">
      <c r="AD46263"/>
    </row>
    <row r="46264" spans="30:30" x14ac:dyDescent="0.25">
      <c r="AD46264"/>
    </row>
    <row r="46265" spans="30:30" x14ac:dyDescent="0.25">
      <c r="AD46265"/>
    </row>
    <row r="46266" spans="30:30" x14ac:dyDescent="0.25">
      <c r="AD46266"/>
    </row>
    <row r="46267" spans="30:30" x14ac:dyDescent="0.25">
      <c r="AD46267"/>
    </row>
    <row r="46268" spans="30:30" x14ac:dyDescent="0.25">
      <c r="AD46268"/>
    </row>
    <row r="46269" spans="30:30" x14ac:dyDescent="0.25">
      <c r="AD46269"/>
    </row>
    <row r="46270" spans="30:30" x14ac:dyDescent="0.25">
      <c r="AD46270"/>
    </row>
    <row r="46271" spans="30:30" x14ac:dyDescent="0.25">
      <c r="AD46271"/>
    </row>
    <row r="46272" spans="30:30" x14ac:dyDescent="0.25">
      <c r="AD46272"/>
    </row>
    <row r="46273" spans="30:30" x14ac:dyDescent="0.25">
      <c r="AD46273"/>
    </row>
    <row r="46274" spans="30:30" x14ac:dyDescent="0.25">
      <c r="AD46274"/>
    </row>
    <row r="46275" spans="30:30" x14ac:dyDescent="0.25">
      <c r="AD46275"/>
    </row>
    <row r="46276" spans="30:30" x14ac:dyDescent="0.25">
      <c r="AD46276"/>
    </row>
    <row r="46277" spans="30:30" x14ac:dyDescent="0.25">
      <c r="AD46277"/>
    </row>
    <row r="46278" spans="30:30" x14ac:dyDescent="0.25">
      <c r="AD46278"/>
    </row>
    <row r="46279" spans="30:30" x14ac:dyDescent="0.25">
      <c r="AD46279"/>
    </row>
    <row r="46280" spans="30:30" x14ac:dyDescent="0.25">
      <c r="AD46280"/>
    </row>
    <row r="46281" spans="30:30" x14ac:dyDescent="0.25">
      <c r="AD46281"/>
    </row>
    <row r="46282" spans="30:30" x14ac:dyDescent="0.25">
      <c r="AD46282"/>
    </row>
    <row r="46283" spans="30:30" x14ac:dyDescent="0.25">
      <c r="AD46283"/>
    </row>
    <row r="46284" spans="30:30" x14ac:dyDescent="0.25">
      <c r="AD46284"/>
    </row>
    <row r="46285" spans="30:30" x14ac:dyDescent="0.25">
      <c r="AD46285"/>
    </row>
    <row r="46286" spans="30:30" x14ac:dyDescent="0.25">
      <c r="AD46286"/>
    </row>
    <row r="46287" spans="30:30" x14ac:dyDescent="0.25">
      <c r="AD46287"/>
    </row>
    <row r="46288" spans="30:30" x14ac:dyDescent="0.25">
      <c r="AD46288"/>
    </row>
    <row r="46289" spans="30:30" x14ac:dyDescent="0.25">
      <c r="AD46289"/>
    </row>
    <row r="46290" spans="30:30" x14ac:dyDescent="0.25">
      <c r="AD46290"/>
    </row>
    <row r="46291" spans="30:30" x14ac:dyDescent="0.25">
      <c r="AD46291"/>
    </row>
    <row r="46292" spans="30:30" x14ac:dyDescent="0.25">
      <c r="AD46292"/>
    </row>
    <row r="46293" spans="30:30" x14ac:dyDescent="0.25">
      <c r="AD46293"/>
    </row>
    <row r="46294" spans="30:30" x14ac:dyDescent="0.25">
      <c r="AD46294"/>
    </row>
    <row r="46295" spans="30:30" x14ac:dyDescent="0.25">
      <c r="AD46295"/>
    </row>
    <row r="46296" spans="30:30" x14ac:dyDescent="0.25">
      <c r="AD46296"/>
    </row>
    <row r="46297" spans="30:30" x14ac:dyDescent="0.25">
      <c r="AD46297"/>
    </row>
    <row r="46298" spans="30:30" x14ac:dyDescent="0.25">
      <c r="AD46298"/>
    </row>
    <row r="46299" spans="30:30" x14ac:dyDescent="0.25">
      <c r="AD46299"/>
    </row>
    <row r="46300" spans="30:30" x14ac:dyDescent="0.25">
      <c r="AD46300"/>
    </row>
    <row r="46301" spans="30:30" x14ac:dyDescent="0.25">
      <c r="AD46301"/>
    </row>
    <row r="46302" spans="30:30" x14ac:dyDescent="0.25">
      <c r="AD46302"/>
    </row>
    <row r="46303" spans="30:30" x14ac:dyDescent="0.25">
      <c r="AD46303"/>
    </row>
    <row r="46304" spans="30:30" x14ac:dyDescent="0.25">
      <c r="AD46304"/>
    </row>
    <row r="46305" spans="30:30" x14ac:dyDescent="0.25">
      <c r="AD46305"/>
    </row>
    <row r="46306" spans="30:30" x14ac:dyDescent="0.25">
      <c r="AD46306"/>
    </row>
    <row r="46307" spans="30:30" x14ac:dyDescent="0.25">
      <c r="AD46307"/>
    </row>
    <row r="46308" spans="30:30" x14ac:dyDescent="0.25">
      <c r="AD46308"/>
    </row>
    <row r="46309" spans="30:30" x14ac:dyDescent="0.25">
      <c r="AD46309"/>
    </row>
    <row r="46310" spans="30:30" x14ac:dyDescent="0.25">
      <c r="AD46310"/>
    </row>
    <row r="46311" spans="30:30" x14ac:dyDescent="0.25">
      <c r="AD46311"/>
    </row>
    <row r="46312" spans="30:30" x14ac:dyDescent="0.25">
      <c r="AD46312"/>
    </row>
    <row r="46313" spans="30:30" x14ac:dyDescent="0.25">
      <c r="AD46313"/>
    </row>
    <row r="46314" spans="30:30" x14ac:dyDescent="0.25">
      <c r="AD46314"/>
    </row>
    <row r="46315" spans="30:30" x14ac:dyDescent="0.25">
      <c r="AD46315"/>
    </row>
    <row r="46316" spans="30:30" x14ac:dyDescent="0.25">
      <c r="AD46316"/>
    </row>
    <row r="46317" spans="30:30" x14ac:dyDescent="0.25">
      <c r="AD46317"/>
    </row>
    <row r="46318" spans="30:30" x14ac:dyDescent="0.25">
      <c r="AD46318"/>
    </row>
    <row r="46319" spans="30:30" x14ac:dyDescent="0.25">
      <c r="AD46319"/>
    </row>
    <row r="46320" spans="30:30" x14ac:dyDescent="0.25">
      <c r="AD46320"/>
    </row>
    <row r="46321" spans="30:30" x14ac:dyDescent="0.25">
      <c r="AD46321"/>
    </row>
    <row r="46322" spans="30:30" x14ac:dyDescent="0.25">
      <c r="AD46322"/>
    </row>
    <row r="46323" spans="30:30" x14ac:dyDescent="0.25">
      <c r="AD46323"/>
    </row>
    <row r="46324" spans="30:30" x14ac:dyDescent="0.25">
      <c r="AD46324"/>
    </row>
    <row r="46325" spans="30:30" x14ac:dyDescent="0.25">
      <c r="AD46325"/>
    </row>
    <row r="46326" spans="30:30" x14ac:dyDescent="0.25">
      <c r="AD46326"/>
    </row>
    <row r="46327" spans="30:30" x14ac:dyDescent="0.25">
      <c r="AD46327"/>
    </row>
    <row r="46328" spans="30:30" x14ac:dyDescent="0.25">
      <c r="AD46328"/>
    </row>
    <row r="46329" spans="30:30" x14ac:dyDescent="0.25">
      <c r="AD46329"/>
    </row>
    <row r="46330" spans="30:30" x14ac:dyDescent="0.25">
      <c r="AD46330"/>
    </row>
    <row r="46331" spans="30:30" x14ac:dyDescent="0.25">
      <c r="AD46331"/>
    </row>
    <row r="46332" spans="30:30" x14ac:dyDescent="0.25">
      <c r="AD46332"/>
    </row>
    <row r="46333" spans="30:30" x14ac:dyDescent="0.25">
      <c r="AD46333"/>
    </row>
    <row r="46334" spans="30:30" x14ac:dyDescent="0.25">
      <c r="AD46334"/>
    </row>
    <row r="46335" spans="30:30" x14ac:dyDescent="0.25">
      <c r="AD46335"/>
    </row>
    <row r="46336" spans="30:30" x14ac:dyDescent="0.25">
      <c r="AD46336"/>
    </row>
    <row r="46337" spans="30:30" x14ac:dyDescent="0.25">
      <c r="AD46337"/>
    </row>
    <row r="46338" spans="30:30" x14ac:dyDescent="0.25">
      <c r="AD46338"/>
    </row>
    <row r="46339" spans="30:30" x14ac:dyDescent="0.25">
      <c r="AD46339"/>
    </row>
    <row r="46340" spans="30:30" x14ac:dyDescent="0.25">
      <c r="AD46340"/>
    </row>
    <row r="46341" spans="30:30" x14ac:dyDescent="0.25">
      <c r="AD46341"/>
    </row>
    <row r="46342" spans="30:30" x14ac:dyDescent="0.25">
      <c r="AD46342"/>
    </row>
    <row r="46343" spans="30:30" x14ac:dyDescent="0.25">
      <c r="AD46343"/>
    </row>
    <row r="46344" spans="30:30" x14ac:dyDescent="0.25">
      <c r="AD46344"/>
    </row>
    <row r="46345" spans="30:30" x14ac:dyDescent="0.25">
      <c r="AD46345"/>
    </row>
    <row r="46346" spans="30:30" x14ac:dyDescent="0.25">
      <c r="AD46346"/>
    </row>
    <row r="46347" spans="30:30" x14ac:dyDescent="0.25">
      <c r="AD46347"/>
    </row>
    <row r="46348" spans="30:30" x14ac:dyDescent="0.25">
      <c r="AD46348"/>
    </row>
    <row r="46349" spans="30:30" x14ac:dyDescent="0.25">
      <c r="AD46349"/>
    </row>
    <row r="46350" spans="30:30" x14ac:dyDescent="0.25">
      <c r="AD46350"/>
    </row>
    <row r="46351" spans="30:30" x14ac:dyDescent="0.25">
      <c r="AD46351"/>
    </row>
    <row r="46352" spans="30:30" x14ac:dyDescent="0.25">
      <c r="AD46352"/>
    </row>
    <row r="46353" spans="30:30" x14ac:dyDescent="0.25">
      <c r="AD46353"/>
    </row>
    <row r="46354" spans="30:30" x14ac:dyDescent="0.25">
      <c r="AD46354"/>
    </row>
    <row r="46355" spans="30:30" x14ac:dyDescent="0.25">
      <c r="AD46355"/>
    </row>
    <row r="46356" spans="30:30" x14ac:dyDescent="0.25">
      <c r="AD46356"/>
    </row>
    <row r="46357" spans="30:30" x14ac:dyDescent="0.25">
      <c r="AD46357"/>
    </row>
    <row r="46358" spans="30:30" x14ac:dyDescent="0.25">
      <c r="AD46358"/>
    </row>
    <row r="46359" spans="30:30" x14ac:dyDescent="0.25">
      <c r="AD46359"/>
    </row>
    <row r="46360" spans="30:30" x14ac:dyDescent="0.25">
      <c r="AD46360"/>
    </row>
    <row r="46361" spans="30:30" x14ac:dyDescent="0.25">
      <c r="AD46361"/>
    </row>
    <row r="46362" spans="30:30" x14ac:dyDescent="0.25">
      <c r="AD46362"/>
    </row>
    <row r="46363" spans="30:30" x14ac:dyDescent="0.25">
      <c r="AD46363"/>
    </row>
    <row r="46364" spans="30:30" x14ac:dyDescent="0.25">
      <c r="AD46364"/>
    </row>
    <row r="46365" spans="30:30" x14ac:dyDescent="0.25">
      <c r="AD46365"/>
    </row>
    <row r="46366" spans="30:30" x14ac:dyDescent="0.25">
      <c r="AD46366"/>
    </row>
    <row r="46367" spans="30:30" x14ac:dyDescent="0.25">
      <c r="AD46367"/>
    </row>
    <row r="46368" spans="30:30" x14ac:dyDescent="0.25">
      <c r="AD46368"/>
    </row>
    <row r="46369" spans="30:30" x14ac:dyDescent="0.25">
      <c r="AD46369"/>
    </row>
    <row r="46370" spans="30:30" x14ac:dyDescent="0.25">
      <c r="AD46370"/>
    </row>
    <row r="46371" spans="30:30" x14ac:dyDescent="0.25">
      <c r="AD46371"/>
    </row>
    <row r="46372" spans="30:30" x14ac:dyDescent="0.25">
      <c r="AD46372"/>
    </row>
    <row r="46373" spans="30:30" x14ac:dyDescent="0.25">
      <c r="AD46373"/>
    </row>
    <row r="46374" spans="30:30" x14ac:dyDescent="0.25">
      <c r="AD46374"/>
    </row>
    <row r="46375" spans="30:30" x14ac:dyDescent="0.25">
      <c r="AD46375"/>
    </row>
    <row r="46376" spans="30:30" x14ac:dyDescent="0.25">
      <c r="AD46376"/>
    </row>
    <row r="46377" spans="30:30" x14ac:dyDescent="0.25">
      <c r="AD46377"/>
    </row>
    <row r="46378" spans="30:30" x14ac:dyDescent="0.25">
      <c r="AD46378"/>
    </row>
    <row r="46379" spans="30:30" x14ac:dyDescent="0.25">
      <c r="AD46379"/>
    </row>
    <row r="46380" spans="30:30" x14ac:dyDescent="0.25">
      <c r="AD46380"/>
    </row>
    <row r="46381" spans="30:30" x14ac:dyDescent="0.25">
      <c r="AD46381"/>
    </row>
    <row r="46382" spans="30:30" x14ac:dyDescent="0.25">
      <c r="AD46382"/>
    </row>
    <row r="46383" spans="30:30" x14ac:dyDescent="0.25">
      <c r="AD46383"/>
    </row>
    <row r="46384" spans="30:30" x14ac:dyDescent="0.25">
      <c r="AD46384"/>
    </row>
    <row r="46385" spans="30:30" x14ac:dyDescent="0.25">
      <c r="AD46385"/>
    </row>
    <row r="46386" spans="30:30" x14ac:dyDescent="0.25">
      <c r="AD46386"/>
    </row>
    <row r="46387" spans="30:30" x14ac:dyDescent="0.25">
      <c r="AD46387"/>
    </row>
    <row r="46388" spans="30:30" x14ac:dyDescent="0.25">
      <c r="AD46388"/>
    </row>
    <row r="46389" spans="30:30" x14ac:dyDescent="0.25">
      <c r="AD46389"/>
    </row>
    <row r="46390" spans="30:30" x14ac:dyDescent="0.25">
      <c r="AD46390"/>
    </row>
    <row r="46391" spans="30:30" x14ac:dyDescent="0.25">
      <c r="AD46391"/>
    </row>
    <row r="46392" spans="30:30" x14ac:dyDescent="0.25">
      <c r="AD46392"/>
    </row>
    <row r="46393" spans="30:30" x14ac:dyDescent="0.25">
      <c r="AD46393"/>
    </row>
    <row r="46394" spans="30:30" x14ac:dyDescent="0.25">
      <c r="AD46394"/>
    </row>
    <row r="46395" spans="30:30" x14ac:dyDescent="0.25">
      <c r="AD46395"/>
    </row>
    <row r="46396" spans="30:30" x14ac:dyDescent="0.25">
      <c r="AD46396"/>
    </row>
    <row r="46397" spans="30:30" x14ac:dyDescent="0.25">
      <c r="AD46397"/>
    </row>
    <row r="46398" spans="30:30" x14ac:dyDescent="0.25">
      <c r="AD46398"/>
    </row>
    <row r="46399" spans="30:30" x14ac:dyDescent="0.25">
      <c r="AD46399"/>
    </row>
    <row r="46400" spans="30:30" x14ac:dyDescent="0.25">
      <c r="AD46400"/>
    </row>
    <row r="46401" spans="30:30" x14ac:dyDescent="0.25">
      <c r="AD46401"/>
    </row>
    <row r="46402" spans="30:30" x14ac:dyDescent="0.25">
      <c r="AD46402"/>
    </row>
    <row r="46403" spans="30:30" x14ac:dyDescent="0.25">
      <c r="AD46403"/>
    </row>
    <row r="46404" spans="30:30" x14ac:dyDescent="0.25">
      <c r="AD46404"/>
    </row>
    <row r="46405" spans="30:30" x14ac:dyDescent="0.25">
      <c r="AD46405"/>
    </row>
    <row r="46406" spans="30:30" x14ac:dyDescent="0.25">
      <c r="AD46406"/>
    </row>
    <row r="46407" spans="30:30" x14ac:dyDescent="0.25">
      <c r="AD46407"/>
    </row>
    <row r="46408" spans="30:30" x14ac:dyDescent="0.25">
      <c r="AD46408"/>
    </row>
    <row r="46409" spans="30:30" x14ac:dyDescent="0.25">
      <c r="AD46409"/>
    </row>
    <row r="46410" spans="30:30" x14ac:dyDescent="0.25">
      <c r="AD46410"/>
    </row>
    <row r="46411" spans="30:30" x14ac:dyDescent="0.25">
      <c r="AD46411"/>
    </row>
    <row r="46412" spans="30:30" x14ac:dyDescent="0.25">
      <c r="AD46412"/>
    </row>
    <row r="46413" spans="30:30" x14ac:dyDescent="0.25">
      <c r="AD46413"/>
    </row>
    <row r="46414" spans="30:30" x14ac:dyDescent="0.25">
      <c r="AD46414"/>
    </row>
    <row r="46415" spans="30:30" x14ac:dyDescent="0.25">
      <c r="AD46415"/>
    </row>
    <row r="46416" spans="30:30" x14ac:dyDescent="0.25">
      <c r="AD46416"/>
    </row>
    <row r="46417" spans="30:30" x14ac:dyDescent="0.25">
      <c r="AD46417"/>
    </row>
    <row r="46418" spans="30:30" x14ac:dyDescent="0.25">
      <c r="AD46418"/>
    </row>
    <row r="46419" spans="30:30" x14ac:dyDescent="0.25">
      <c r="AD46419"/>
    </row>
    <row r="46420" spans="30:30" x14ac:dyDescent="0.25">
      <c r="AD46420"/>
    </row>
    <row r="46421" spans="30:30" x14ac:dyDescent="0.25">
      <c r="AD46421"/>
    </row>
    <row r="46422" spans="30:30" x14ac:dyDescent="0.25">
      <c r="AD46422"/>
    </row>
    <row r="46423" spans="30:30" x14ac:dyDescent="0.25">
      <c r="AD46423"/>
    </row>
    <row r="46424" spans="30:30" x14ac:dyDescent="0.25">
      <c r="AD46424"/>
    </row>
    <row r="46425" spans="30:30" x14ac:dyDescent="0.25">
      <c r="AD46425"/>
    </row>
    <row r="46426" spans="30:30" x14ac:dyDescent="0.25">
      <c r="AD46426"/>
    </row>
    <row r="46427" spans="30:30" x14ac:dyDescent="0.25">
      <c r="AD46427"/>
    </row>
    <row r="46428" spans="30:30" x14ac:dyDescent="0.25">
      <c r="AD46428"/>
    </row>
    <row r="46429" spans="30:30" x14ac:dyDescent="0.25">
      <c r="AD46429"/>
    </row>
    <row r="46430" spans="30:30" x14ac:dyDescent="0.25">
      <c r="AD46430"/>
    </row>
    <row r="46431" spans="30:30" x14ac:dyDescent="0.25">
      <c r="AD46431"/>
    </row>
    <row r="46432" spans="30:30" x14ac:dyDescent="0.25">
      <c r="AD46432"/>
    </row>
    <row r="46433" spans="30:30" x14ac:dyDescent="0.25">
      <c r="AD46433"/>
    </row>
    <row r="46434" spans="30:30" x14ac:dyDescent="0.25">
      <c r="AD46434"/>
    </row>
    <row r="46435" spans="30:30" x14ac:dyDescent="0.25">
      <c r="AD46435"/>
    </row>
    <row r="46436" spans="30:30" x14ac:dyDescent="0.25">
      <c r="AD46436"/>
    </row>
    <row r="46437" spans="30:30" x14ac:dyDescent="0.25">
      <c r="AD46437"/>
    </row>
    <row r="46438" spans="30:30" x14ac:dyDescent="0.25">
      <c r="AD46438"/>
    </row>
    <row r="46439" spans="30:30" x14ac:dyDescent="0.25">
      <c r="AD46439"/>
    </row>
    <row r="46440" spans="30:30" x14ac:dyDescent="0.25">
      <c r="AD46440"/>
    </row>
    <row r="46441" spans="30:30" x14ac:dyDescent="0.25">
      <c r="AD46441"/>
    </row>
    <row r="46442" spans="30:30" x14ac:dyDescent="0.25">
      <c r="AD46442"/>
    </row>
    <row r="46443" spans="30:30" x14ac:dyDescent="0.25">
      <c r="AD46443"/>
    </row>
    <row r="46444" spans="30:30" x14ac:dyDescent="0.25">
      <c r="AD46444"/>
    </row>
    <row r="46445" spans="30:30" x14ac:dyDescent="0.25">
      <c r="AD46445"/>
    </row>
    <row r="46446" spans="30:30" x14ac:dyDescent="0.25">
      <c r="AD46446"/>
    </row>
    <row r="46447" spans="30:30" x14ac:dyDescent="0.25">
      <c r="AD46447"/>
    </row>
    <row r="46448" spans="30:30" x14ac:dyDescent="0.25">
      <c r="AD46448"/>
    </row>
    <row r="46449" spans="30:30" x14ac:dyDescent="0.25">
      <c r="AD46449"/>
    </row>
    <row r="46450" spans="30:30" x14ac:dyDescent="0.25">
      <c r="AD46450"/>
    </row>
    <row r="46451" spans="30:30" x14ac:dyDescent="0.25">
      <c r="AD46451"/>
    </row>
    <row r="46452" spans="30:30" x14ac:dyDescent="0.25">
      <c r="AD46452"/>
    </row>
    <row r="46453" spans="30:30" x14ac:dyDescent="0.25">
      <c r="AD46453"/>
    </row>
    <row r="46454" spans="30:30" x14ac:dyDescent="0.25">
      <c r="AD46454"/>
    </row>
    <row r="46455" spans="30:30" x14ac:dyDescent="0.25">
      <c r="AD46455"/>
    </row>
    <row r="46456" spans="30:30" x14ac:dyDescent="0.25">
      <c r="AD46456"/>
    </row>
    <row r="46457" spans="30:30" x14ac:dyDescent="0.25">
      <c r="AD46457"/>
    </row>
    <row r="46458" spans="30:30" x14ac:dyDescent="0.25">
      <c r="AD46458"/>
    </row>
    <row r="46459" spans="30:30" x14ac:dyDescent="0.25">
      <c r="AD46459"/>
    </row>
    <row r="46460" spans="30:30" x14ac:dyDescent="0.25">
      <c r="AD46460"/>
    </row>
    <row r="46461" spans="30:30" x14ac:dyDescent="0.25">
      <c r="AD46461"/>
    </row>
    <row r="46462" spans="30:30" x14ac:dyDescent="0.25">
      <c r="AD46462"/>
    </row>
    <row r="46463" spans="30:30" x14ac:dyDescent="0.25">
      <c r="AD46463"/>
    </row>
    <row r="46464" spans="30:30" x14ac:dyDescent="0.25">
      <c r="AD46464"/>
    </row>
    <row r="46465" spans="30:30" x14ac:dyDescent="0.25">
      <c r="AD46465"/>
    </row>
    <row r="46466" spans="30:30" x14ac:dyDescent="0.25">
      <c r="AD46466"/>
    </row>
    <row r="46467" spans="30:30" x14ac:dyDescent="0.25">
      <c r="AD46467"/>
    </row>
    <row r="46468" spans="30:30" x14ac:dyDescent="0.25">
      <c r="AD46468"/>
    </row>
    <row r="46469" spans="30:30" x14ac:dyDescent="0.25">
      <c r="AD46469"/>
    </row>
    <row r="46470" spans="30:30" x14ac:dyDescent="0.25">
      <c r="AD46470"/>
    </row>
    <row r="46471" spans="30:30" x14ac:dyDescent="0.25">
      <c r="AD46471"/>
    </row>
    <row r="46472" spans="30:30" x14ac:dyDescent="0.25">
      <c r="AD46472"/>
    </row>
    <row r="46473" spans="30:30" x14ac:dyDescent="0.25">
      <c r="AD46473"/>
    </row>
    <row r="46474" spans="30:30" x14ac:dyDescent="0.25">
      <c r="AD46474"/>
    </row>
    <row r="46475" spans="30:30" x14ac:dyDescent="0.25">
      <c r="AD46475"/>
    </row>
    <row r="46476" spans="30:30" x14ac:dyDescent="0.25">
      <c r="AD46476"/>
    </row>
    <row r="46477" spans="30:30" x14ac:dyDescent="0.25">
      <c r="AD46477"/>
    </row>
    <row r="46478" spans="30:30" x14ac:dyDescent="0.25">
      <c r="AD46478"/>
    </row>
    <row r="46479" spans="30:30" x14ac:dyDescent="0.25">
      <c r="AD46479"/>
    </row>
    <row r="46480" spans="30:30" x14ac:dyDescent="0.25">
      <c r="AD46480"/>
    </row>
    <row r="46481" spans="30:30" x14ac:dyDescent="0.25">
      <c r="AD46481"/>
    </row>
    <row r="46482" spans="30:30" x14ac:dyDescent="0.25">
      <c r="AD46482"/>
    </row>
    <row r="46483" spans="30:30" x14ac:dyDescent="0.25">
      <c r="AD46483"/>
    </row>
    <row r="46484" spans="30:30" x14ac:dyDescent="0.25">
      <c r="AD46484"/>
    </row>
    <row r="46485" spans="30:30" x14ac:dyDescent="0.25">
      <c r="AD46485"/>
    </row>
    <row r="46486" spans="30:30" x14ac:dyDescent="0.25">
      <c r="AD46486"/>
    </row>
    <row r="46487" spans="30:30" x14ac:dyDescent="0.25">
      <c r="AD46487"/>
    </row>
    <row r="46488" spans="30:30" x14ac:dyDescent="0.25">
      <c r="AD46488"/>
    </row>
    <row r="46489" spans="30:30" x14ac:dyDescent="0.25">
      <c r="AD46489"/>
    </row>
    <row r="46490" spans="30:30" x14ac:dyDescent="0.25">
      <c r="AD46490"/>
    </row>
    <row r="46491" spans="30:30" x14ac:dyDescent="0.25">
      <c r="AD46491"/>
    </row>
    <row r="46492" spans="30:30" x14ac:dyDescent="0.25">
      <c r="AD46492"/>
    </row>
    <row r="46493" spans="30:30" x14ac:dyDescent="0.25">
      <c r="AD46493"/>
    </row>
    <row r="46494" spans="30:30" x14ac:dyDescent="0.25">
      <c r="AD46494"/>
    </row>
    <row r="46495" spans="30:30" x14ac:dyDescent="0.25">
      <c r="AD46495"/>
    </row>
    <row r="46496" spans="30:30" x14ac:dyDescent="0.25">
      <c r="AD46496"/>
    </row>
    <row r="46497" spans="30:30" x14ac:dyDescent="0.25">
      <c r="AD46497"/>
    </row>
    <row r="46498" spans="30:30" x14ac:dyDescent="0.25">
      <c r="AD46498"/>
    </row>
    <row r="46499" spans="30:30" x14ac:dyDescent="0.25">
      <c r="AD46499"/>
    </row>
    <row r="46500" spans="30:30" x14ac:dyDescent="0.25">
      <c r="AD46500"/>
    </row>
    <row r="46501" spans="30:30" x14ac:dyDescent="0.25">
      <c r="AD46501"/>
    </row>
    <row r="46502" spans="30:30" x14ac:dyDescent="0.25">
      <c r="AD46502"/>
    </row>
    <row r="46503" spans="30:30" x14ac:dyDescent="0.25">
      <c r="AD46503"/>
    </row>
    <row r="46504" spans="30:30" x14ac:dyDescent="0.25">
      <c r="AD46504"/>
    </row>
    <row r="46505" spans="30:30" x14ac:dyDescent="0.25">
      <c r="AD46505"/>
    </row>
    <row r="46506" spans="30:30" x14ac:dyDescent="0.25">
      <c r="AD46506"/>
    </row>
    <row r="46507" spans="30:30" x14ac:dyDescent="0.25">
      <c r="AD46507"/>
    </row>
    <row r="46508" spans="30:30" x14ac:dyDescent="0.25">
      <c r="AD46508"/>
    </row>
    <row r="46509" spans="30:30" x14ac:dyDescent="0.25">
      <c r="AD46509"/>
    </row>
    <row r="46510" spans="30:30" x14ac:dyDescent="0.25">
      <c r="AD46510"/>
    </row>
    <row r="46511" spans="30:30" x14ac:dyDescent="0.25">
      <c r="AD46511"/>
    </row>
    <row r="46512" spans="30:30" x14ac:dyDescent="0.25">
      <c r="AD46512"/>
    </row>
    <row r="46513" spans="30:30" x14ac:dyDescent="0.25">
      <c r="AD46513"/>
    </row>
    <row r="46514" spans="30:30" x14ac:dyDescent="0.25">
      <c r="AD46514"/>
    </row>
    <row r="46515" spans="30:30" x14ac:dyDescent="0.25">
      <c r="AD46515"/>
    </row>
    <row r="46516" spans="30:30" x14ac:dyDescent="0.25">
      <c r="AD46516"/>
    </row>
    <row r="46517" spans="30:30" x14ac:dyDescent="0.25">
      <c r="AD46517"/>
    </row>
    <row r="46518" spans="30:30" x14ac:dyDescent="0.25">
      <c r="AD46518"/>
    </row>
    <row r="46519" spans="30:30" x14ac:dyDescent="0.25">
      <c r="AD46519"/>
    </row>
    <row r="46520" spans="30:30" x14ac:dyDescent="0.25">
      <c r="AD46520"/>
    </row>
    <row r="46521" spans="30:30" x14ac:dyDescent="0.25">
      <c r="AD46521"/>
    </row>
    <row r="46522" spans="30:30" x14ac:dyDescent="0.25">
      <c r="AD46522"/>
    </row>
    <row r="46523" spans="30:30" x14ac:dyDescent="0.25">
      <c r="AD46523"/>
    </row>
    <row r="46524" spans="30:30" x14ac:dyDescent="0.25">
      <c r="AD46524"/>
    </row>
    <row r="46525" spans="30:30" x14ac:dyDescent="0.25">
      <c r="AD46525"/>
    </row>
    <row r="46526" spans="30:30" x14ac:dyDescent="0.25">
      <c r="AD46526"/>
    </row>
    <row r="46527" spans="30:30" x14ac:dyDescent="0.25">
      <c r="AD46527"/>
    </row>
    <row r="46528" spans="30:30" x14ac:dyDescent="0.25">
      <c r="AD46528"/>
    </row>
    <row r="46529" spans="30:30" x14ac:dyDescent="0.25">
      <c r="AD46529"/>
    </row>
    <row r="46530" spans="30:30" x14ac:dyDescent="0.25">
      <c r="AD46530"/>
    </row>
    <row r="46531" spans="30:30" x14ac:dyDescent="0.25">
      <c r="AD46531"/>
    </row>
    <row r="46532" spans="30:30" x14ac:dyDescent="0.25">
      <c r="AD46532"/>
    </row>
    <row r="46533" spans="30:30" x14ac:dyDescent="0.25">
      <c r="AD46533"/>
    </row>
    <row r="46534" spans="30:30" x14ac:dyDescent="0.25">
      <c r="AD46534"/>
    </row>
    <row r="46535" spans="30:30" x14ac:dyDescent="0.25">
      <c r="AD46535"/>
    </row>
    <row r="46536" spans="30:30" x14ac:dyDescent="0.25">
      <c r="AD46536"/>
    </row>
    <row r="46537" spans="30:30" x14ac:dyDescent="0.25">
      <c r="AD46537"/>
    </row>
    <row r="46538" spans="30:30" x14ac:dyDescent="0.25">
      <c r="AD46538"/>
    </row>
    <row r="46539" spans="30:30" x14ac:dyDescent="0.25">
      <c r="AD46539"/>
    </row>
    <row r="46540" spans="30:30" x14ac:dyDescent="0.25">
      <c r="AD46540"/>
    </row>
    <row r="46541" spans="30:30" x14ac:dyDescent="0.25">
      <c r="AD46541"/>
    </row>
    <row r="46542" spans="30:30" x14ac:dyDescent="0.25">
      <c r="AD46542"/>
    </row>
    <row r="46543" spans="30:30" x14ac:dyDescent="0.25">
      <c r="AD46543"/>
    </row>
    <row r="46544" spans="30:30" x14ac:dyDescent="0.25">
      <c r="AD46544"/>
    </row>
    <row r="46545" spans="30:30" x14ac:dyDescent="0.25">
      <c r="AD46545"/>
    </row>
    <row r="46546" spans="30:30" x14ac:dyDescent="0.25">
      <c r="AD46546"/>
    </row>
    <row r="46547" spans="30:30" x14ac:dyDescent="0.25">
      <c r="AD46547"/>
    </row>
    <row r="46548" spans="30:30" x14ac:dyDescent="0.25">
      <c r="AD46548"/>
    </row>
    <row r="46549" spans="30:30" x14ac:dyDescent="0.25">
      <c r="AD46549"/>
    </row>
    <row r="46550" spans="30:30" x14ac:dyDescent="0.25">
      <c r="AD46550"/>
    </row>
    <row r="46551" spans="30:30" x14ac:dyDescent="0.25">
      <c r="AD46551"/>
    </row>
    <row r="46552" spans="30:30" x14ac:dyDescent="0.25">
      <c r="AD46552"/>
    </row>
    <row r="46553" spans="30:30" x14ac:dyDescent="0.25">
      <c r="AD46553"/>
    </row>
    <row r="46554" spans="30:30" x14ac:dyDescent="0.25">
      <c r="AD46554"/>
    </row>
    <row r="46555" spans="30:30" x14ac:dyDescent="0.25">
      <c r="AD46555"/>
    </row>
    <row r="46556" spans="30:30" x14ac:dyDescent="0.25">
      <c r="AD46556"/>
    </row>
    <row r="46557" spans="30:30" x14ac:dyDescent="0.25">
      <c r="AD46557"/>
    </row>
    <row r="46558" spans="30:30" x14ac:dyDescent="0.25">
      <c r="AD46558"/>
    </row>
    <row r="46559" spans="30:30" x14ac:dyDescent="0.25">
      <c r="AD46559"/>
    </row>
    <row r="46560" spans="30:30" x14ac:dyDescent="0.25">
      <c r="AD46560"/>
    </row>
    <row r="46561" spans="30:30" x14ac:dyDescent="0.25">
      <c r="AD46561"/>
    </row>
    <row r="46562" spans="30:30" x14ac:dyDescent="0.25">
      <c r="AD46562"/>
    </row>
    <row r="46563" spans="30:30" x14ac:dyDescent="0.25">
      <c r="AD46563"/>
    </row>
    <row r="46564" spans="30:30" x14ac:dyDescent="0.25">
      <c r="AD46564"/>
    </row>
    <row r="46565" spans="30:30" x14ac:dyDescent="0.25">
      <c r="AD46565"/>
    </row>
    <row r="46566" spans="30:30" x14ac:dyDescent="0.25">
      <c r="AD46566"/>
    </row>
    <row r="46567" spans="30:30" x14ac:dyDescent="0.25">
      <c r="AD46567"/>
    </row>
    <row r="46568" spans="30:30" x14ac:dyDescent="0.25">
      <c r="AD46568"/>
    </row>
    <row r="46569" spans="30:30" x14ac:dyDescent="0.25">
      <c r="AD46569"/>
    </row>
    <row r="46570" spans="30:30" x14ac:dyDescent="0.25">
      <c r="AD46570"/>
    </row>
    <row r="46571" spans="30:30" x14ac:dyDescent="0.25">
      <c r="AD46571"/>
    </row>
    <row r="46572" spans="30:30" x14ac:dyDescent="0.25">
      <c r="AD46572"/>
    </row>
    <row r="46573" spans="30:30" x14ac:dyDescent="0.25">
      <c r="AD46573"/>
    </row>
    <row r="46574" spans="30:30" x14ac:dyDescent="0.25">
      <c r="AD46574"/>
    </row>
    <row r="46575" spans="30:30" x14ac:dyDescent="0.25">
      <c r="AD46575"/>
    </row>
    <row r="46576" spans="30:30" x14ac:dyDescent="0.25">
      <c r="AD46576"/>
    </row>
    <row r="46577" spans="30:30" x14ac:dyDescent="0.25">
      <c r="AD46577"/>
    </row>
    <row r="46578" spans="30:30" x14ac:dyDescent="0.25">
      <c r="AD46578"/>
    </row>
    <row r="46579" spans="30:30" x14ac:dyDescent="0.25">
      <c r="AD46579"/>
    </row>
    <row r="46580" spans="30:30" x14ac:dyDescent="0.25">
      <c r="AD46580"/>
    </row>
    <row r="46581" spans="30:30" x14ac:dyDescent="0.25">
      <c r="AD46581"/>
    </row>
    <row r="46582" spans="30:30" x14ac:dyDescent="0.25">
      <c r="AD46582"/>
    </row>
    <row r="46583" spans="30:30" x14ac:dyDescent="0.25">
      <c r="AD46583"/>
    </row>
    <row r="46584" spans="30:30" x14ac:dyDescent="0.25">
      <c r="AD46584"/>
    </row>
    <row r="46585" spans="30:30" x14ac:dyDescent="0.25">
      <c r="AD46585"/>
    </row>
    <row r="46586" spans="30:30" x14ac:dyDescent="0.25">
      <c r="AD46586"/>
    </row>
    <row r="46587" spans="30:30" x14ac:dyDescent="0.25">
      <c r="AD46587"/>
    </row>
    <row r="46588" spans="30:30" x14ac:dyDescent="0.25">
      <c r="AD46588"/>
    </row>
    <row r="46589" spans="30:30" x14ac:dyDescent="0.25">
      <c r="AD46589"/>
    </row>
    <row r="46590" spans="30:30" x14ac:dyDescent="0.25">
      <c r="AD46590"/>
    </row>
    <row r="46591" spans="30:30" x14ac:dyDescent="0.25">
      <c r="AD46591"/>
    </row>
    <row r="46592" spans="30:30" x14ac:dyDescent="0.25">
      <c r="AD46592"/>
    </row>
    <row r="46593" spans="30:30" x14ac:dyDescent="0.25">
      <c r="AD46593"/>
    </row>
    <row r="46594" spans="30:30" x14ac:dyDescent="0.25">
      <c r="AD46594"/>
    </row>
    <row r="46595" spans="30:30" x14ac:dyDescent="0.25">
      <c r="AD46595"/>
    </row>
    <row r="46596" spans="30:30" x14ac:dyDescent="0.25">
      <c r="AD46596"/>
    </row>
    <row r="46597" spans="30:30" x14ac:dyDescent="0.25">
      <c r="AD46597"/>
    </row>
    <row r="46598" spans="30:30" x14ac:dyDescent="0.25">
      <c r="AD46598"/>
    </row>
    <row r="46599" spans="30:30" x14ac:dyDescent="0.25">
      <c r="AD46599"/>
    </row>
    <row r="46600" spans="30:30" x14ac:dyDescent="0.25">
      <c r="AD46600"/>
    </row>
    <row r="46601" spans="30:30" x14ac:dyDescent="0.25">
      <c r="AD46601"/>
    </row>
    <row r="46602" spans="30:30" x14ac:dyDescent="0.25">
      <c r="AD46602"/>
    </row>
    <row r="46603" spans="30:30" x14ac:dyDescent="0.25">
      <c r="AD46603"/>
    </row>
    <row r="46604" spans="30:30" x14ac:dyDescent="0.25">
      <c r="AD46604"/>
    </row>
    <row r="46605" spans="30:30" x14ac:dyDescent="0.25">
      <c r="AD46605"/>
    </row>
    <row r="46606" spans="30:30" x14ac:dyDescent="0.25">
      <c r="AD46606"/>
    </row>
    <row r="46607" spans="30:30" x14ac:dyDescent="0.25">
      <c r="AD46607"/>
    </row>
    <row r="46608" spans="30:30" x14ac:dyDescent="0.25">
      <c r="AD46608"/>
    </row>
    <row r="46609" spans="30:30" x14ac:dyDescent="0.25">
      <c r="AD46609"/>
    </row>
    <row r="46610" spans="30:30" x14ac:dyDescent="0.25">
      <c r="AD46610"/>
    </row>
    <row r="46611" spans="30:30" x14ac:dyDescent="0.25">
      <c r="AD46611"/>
    </row>
    <row r="46612" spans="30:30" x14ac:dyDescent="0.25">
      <c r="AD46612"/>
    </row>
    <row r="46613" spans="30:30" x14ac:dyDescent="0.25">
      <c r="AD46613"/>
    </row>
    <row r="46614" spans="30:30" x14ac:dyDescent="0.25">
      <c r="AD46614"/>
    </row>
    <row r="46615" spans="30:30" x14ac:dyDescent="0.25">
      <c r="AD46615"/>
    </row>
    <row r="46616" spans="30:30" x14ac:dyDescent="0.25">
      <c r="AD46616"/>
    </row>
    <row r="46617" spans="30:30" x14ac:dyDescent="0.25">
      <c r="AD46617"/>
    </row>
    <row r="46618" spans="30:30" x14ac:dyDescent="0.25">
      <c r="AD46618"/>
    </row>
    <row r="46619" spans="30:30" x14ac:dyDescent="0.25">
      <c r="AD46619"/>
    </row>
    <row r="46620" spans="30:30" x14ac:dyDescent="0.25">
      <c r="AD46620"/>
    </row>
    <row r="46621" spans="30:30" x14ac:dyDescent="0.25">
      <c r="AD46621"/>
    </row>
    <row r="46622" spans="30:30" x14ac:dyDescent="0.25">
      <c r="AD46622"/>
    </row>
    <row r="46623" spans="30:30" x14ac:dyDescent="0.25">
      <c r="AD46623"/>
    </row>
    <row r="46624" spans="30:30" x14ac:dyDescent="0.25">
      <c r="AD46624"/>
    </row>
    <row r="46625" spans="30:30" x14ac:dyDescent="0.25">
      <c r="AD46625"/>
    </row>
    <row r="46626" spans="30:30" x14ac:dyDescent="0.25">
      <c r="AD46626"/>
    </row>
    <row r="46627" spans="30:30" x14ac:dyDescent="0.25">
      <c r="AD46627"/>
    </row>
    <row r="46628" spans="30:30" x14ac:dyDescent="0.25">
      <c r="AD46628"/>
    </row>
    <row r="46629" spans="30:30" x14ac:dyDescent="0.25">
      <c r="AD46629"/>
    </row>
    <row r="46630" spans="30:30" x14ac:dyDescent="0.25">
      <c r="AD46630"/>
    </row>
    <row r="46631" spans="30:30" x14ac:dyDescent="0.25">
      <c r="AD46631"/>
    </row>
    <row r="46632" spans="30:30" x14ac:dyDescent="0.25">
      <c r="AD46632"/>
    </row>
    <row r="46633" spans="30:30" x14ac:dyDescent="0.25">
      <c r="AD46633"/>
    </row>
    <row r="46634" spans="30:30" x14ac:dyDescent="0.25">
      <c r="AD46634"/>
    </row>
    <row r="46635" spans="30:30" x14ac:dyDescent="0.25">
      <c r="AD46635"/>
    </row>
    <row r="46636" spans="30:30" x14ac:dyDescent="0.25">
      <c r="AD46636"/>
    </row>
    <row r="46637" spans="30:30" x14ac:dyDescent="0.25">
      <c r="AD46637"/>
    </row>
    <row r="46638" spans="30:30" x14ac:dyDescent="0.25">
      <c r="AD46638"/>
    </row>
    <row r="46639" spans="30:30" x14ac:dyDescent="0.25">
      <c r="AD46639"/>
    </row>
    <row r="46640" spans="30:30" x14ac:dyDescent="0.25">
      <c r="AD46640"/>
    </row>
    <row r="46641" spans="30:30" x14ac:dyDescent="0.25">
      <c r="AD46641"/>
    </row>
    <row r="46642" spans="30:30" x14ac:dyDescent="0.25">
      <c r="AD46642"/>
    </row>
    <row r="46643" spans="30:30" x14ac:dyDescent="0.25">
      <c r="AD46643"/>
    </row>
    <row r="46644" spans="30:30" x14ac:dyDescent="0.25">
      <c r="AD46644"/>
    </row>
    <row r="46645" spans="30:30" x14ac:dyDescent="0.25">
      <c r="AD46645"/>
    </row>
    <row r="46646" spans="30:30" x14ac:dyDescent="0.25">
      <c r="AD46646"/>
    </row>
    <row r="46647" spans="30:30" x14ac:dyDescent="0.25">
      <c r="AD46647"/>
    </row>
    <row r="46648" spans="30:30" x14ac:dyDescent="0.25">
      <c r="AD46648"/>
    </row>
    <row r="46649" spans="30:30" x14ac:dyDescent="0.25">
      <c r="AD46649"/>
    </row>
    <row r="46650" spans="30:30" x14ac:dyDescent="0.25">
      <c r="AD46650"/>
    </row>
    <row r="46651" spans="30:30" x14ac:dyDescent="0.25">
      <c r="AD46651"/>
    </row>
    <row r="46652" spans="30:30" x14ac:dyDescent="0.25">
      <c r="AD46652"/>
    </row>
    <row r="46653" spans="30:30" x14ac:dyDescent="0.25">
      <c r="AD46653"/>
    </row>
    <row r="46654" spans="30:30" x14ac:dyDescent="0.25">
      <c r="AD46654"/>
    </row>
    <row r="46655" spans="30:30" x14ac:dyDescent="0.25">
      <c r="AD46655"/>
    </row>
    <row r="46656" spans="30:30" x14ac:dyDescent="0.25">
      <c r="AD46656"/>
    </row>
    <row r="46657" spans="30:30" x14ac:dyDescent="0.25">
      <c r="AD46657"/>
    </row>
    <row r="46658" spans="30:30" x14ac:dyDescent="0.25">
      <c r="AD46658"/>
    </row>
    <row r="46659" spans="30:30" x14ac:dyDescent="0.25">
      <c r="AD46659"/>
    </row>
    <row r="46660" spans="30:30" x14ac:dyDescent="0.25">
      <c r="AD46660"/>
    </row>
    <row r="46661" spans="30:30" x14ac:dyDescent="0.25">
      <c r="AD46661"/>
    </row>
    <row r="46662" spans="30:30" x14ac:dyDescent="0.25">
      <c r="AD46662"/>
    </row>
    <row r="46663" spans="30:30" x14ac:dyDescent="0.25">
      <c r="AD46663"/>
    </row>
    <row r="46664" spans="30:30" x14ac:dyDescent="0.25">
      <c r="AD46664"/>
    </row>
    <row r="46665" spans="30:30" x14ac:dyDescent="0.25">
      <c r="AD46665"/>
    </row>
    <row r="46666" spans="30:30" x14ac:dyDescent="0.25">
      <c r="AD46666"/>
    </row>
    <row r="46667" spans="30:30" x14ac:dyDescent="0.25">
      <c r="AD46667"/>
    </row>
    <row r="46668" spans="30:30" x14ac:dyDescent="0.25">
      <c r="AD46668"/>
    </row>
    <row r="46669" spans="30:30" x14ac:dyDescent="0.25">
      <c r="AD46669"/>
    </row>
    <row r="46670" spans="30:30" x14ac:dyDescent="0.25">
      <c r="AD46670"/>
    </row>
    <row r="46671" spans="30:30" x14ac:dyDescent="0.25">
      <c r="AD46671"/>
    </row>
    <row r="46672" spans="30:30" x14ac:dyDescent="0.25">
      <c r="AD46672"/>
    </row>
    <row r="46673" spans="30:30" x14ac:dyDescent="0.25">
      <c r="AD46673"/>
    </row>
    <row r="46674" spans="30:30" x14ac:dyDescent="0.25">
      <c r="AD46674"/>
    </row>
    <row r="46675" spans="30:30" x14ac:dyDescent="0.25">
      <c r="AD46675"/>
    </row>
    <row r="46676" spans="30:30" x14ac:dyDescent="0.25">
      <c r="AD46676"/>
    </row>
    <row r="46677" spans="30:30" x14ac:dyDescent="0.25">
      <c r="AD46677"/>
    </row>
    <row r="46678" spans="30:30" x14ac:dyDescent="0.25">
      <c r="AD46678"/>
    </row>
    <row r="46679" spans="30:30" x14ac:dyDescent="0.25">
      <c r="AD46679"/>
    </row>
    <row r="46680" spans="30:30" x14ac:dyDescent="0.25">
      <c r="AD46680"/>
    </row>
    <row r="46681" spans="30:30" x14ac:dyDescent="0.25">
      <c r="AD46681"/>
    </row>
    <row r="46682" spans="30:30" x14ac:dyDescent="0.25">
      <c r="AD46682"/>
    </row>
    <row r="46683" spans="30:30" x14ac:dyDescent="0.25">
      <c r="AD46683"/>
    </row>
    <row r="46684" spans="30:30" x14ac:dyDescent="0.25">
      <c r="AD46684"/>
    </row>
    <row r="46685" spans="30:30" x14ac:dyDescent="0.25">
      <c r="AD46685"/>
    </row>
    <row r="46686" spans="30:30" x14ac:dyDescent="0.25">
      <c r="AD46686"/>
    </row>
    <row r="46687" spans="30:30" x14ac:dyDescent="0.25">
      <c r="AD46687"/>
    </row>
    <row r="46688" spans="30:30" x14ac:dyDescent="0.25">
      <c r="AD46688"/>
    </row>
    <row r="46689" spans="30:30" x14ac:dyDescent="0.25">
      <c r="AD46689"/>
    </row>
    <row r="46690" spans="30:30" x14ac:dyDescent="0.25">
      <c r="AD46690"/>
    </row>
    <row r="46691" spans="30:30" x14ac:dyDescent="0.25">
      <c r="AD46691"/>
    </row>
    <row r="46692" spans="30:30" x14ac:dyDescent="0.25">
      <c r="AD46692"/>
    </row>
    <row r="46693" spans="30:30" x14ac:dyDescent="0.25">
      <c r="AD46693"/>
    </row>
    <row r="46694" spans="30:30" x14ac:dyDescent="0.25">
      <c r="AD46694"/>
    </row>
    <row r="46695" spans="30:30" x14ac:dyDescent="0.25">
      <c r="AD46695"/>
    </row>
    <row r="46696" spans="30:30" x14ac:dyDescent="0.25">
      <c r="AD46696"/>
    </row>
    <row r="46697" spans="30:30" x14ac:dyDescent="0.25">
      <c r="AD46697"/>
    </row>
    <row r="46698" spans="30:30" x14ac:dyDescent="0.25">
      <c r="AD46698"/>
    </row>
    <row r="46699" spans="30:30" x14ac:dyDescent="0.25">
      <c r="AD46699"/>
    </row>
    <row r="46700" spans="30:30" x14ac:dyDescent="0.25">
      <c r="AD46700"/>
    </row>
    <row r="46701" spans="30:30" x14ac:dyDescent="0.25">
      <c r="AD46701"/>
    </row>
    <row r="46702" spans="30:30" x14ac:dyDescent="0.25">
      <c r="AD46702"/>
    </row>
    <row r="46703" spans="30:30" x14ac:dyDescent="0.25">
      <c r="AD46703"/>
    </row>
    <row r="46704" spans="30:30" x14ac:dyDescent="0.25">
      <c r="AD46704"/>
    </row>
    <row r="46705" spans="30:30" x14ac:dyDescent="0.25">
      <c r="AD46705"/>
    </row>
    <row r="46706" spans="30:30" x14ac:dyDescent="0.25">
      <c r="AD46706"/>
    </row>
    <row r="46707" spans="30:30" x14ac:dyDescent="0.25">
      <c r="AD46707"/>
    </row>
    <row r="46708" spans="30:30" x14ac:dyDescent="0.25">
      <c r="AD46708"/>
    </row>
    <row r="46709" spans="30:30" x14ac:dyDescent="0.25">
      <c r="AD46709"/>
    </row>
    <row r="46710" spans="30:30" x14ac:dyDescent="0.25">
      <c r="AD467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8"/>
  <sheetViews>
    <sheetView workbookViewId="0">
      <selection activeCell="D8" sqref="D8"/>
    </sheetView>
  </sheetViews>
  <sheetFormatPr defaultRowHeight="15" x14ac:dyDescent="0.25"/>
  <cols>
    <col min="1" max="1" width="27.42578125" bestFit="1" customWidth="1"/>
    <col min="2" max="2" width="21.5703125" bestFit="1" customWidth="1"/>
    <col min="3" max="3" width="20.42578125" bestFit="1" customWidth="1"/>
    <col min="4" max="4" width="11.7109375" customWidth="1"/>
    <col min="5" max="5" width="17.28515625" bestFit="1" customWidth="1"/>
    <col min="6" max="6" width="10.85546875" bestFit="1" customWidth="1"/>
    <col min="7" max="7" width="6.5703125" bestFit="1" customWidth="1"/>
    <col min="9" max="9" width="12.85546875" style="3" customWidth="1"/>
    <col min="10" max="15" width="12.42578125" customWidth="1"/>
  </cols>
  <sheetData>
    <row r="1" spans="1:15" x14ac:dyDescent="0.25">
      <c r="A1" s="2">
        <f ca="1">TODAY()</f>
        <v>43370</v>
      </c>
      <c r="B1" s="22">
        <f ca="1">MONTH(EOMONTH(A1,-1))</f>
        <v>8</v>
      </c>
      <c r="C1" s="22">
        <f ca="1">MONTH(A1)</f>
        <v>9</v>
      </c>
    </row>
    <row r="2" spans="1:15" ht="15.75" thickBot="1" x14ac:dyDescent="0.3">
      <c r="A2" s="2"/>
      <c r="K2" s="25"/>
    </row>
    <row r="3" spans="1:15" x14ac:dyDescent="0.25">
      <c r="A3" s="5" t="s">
        <v>24</v>
      </c>
      <c r="B3" s="6" t="str">
        <f ca="1">TEXT(EOMONTH(A1,-2)+1,"MMMM")</f>
        <v>August</v>
      </c>
      <c r="C3" s="6" t="str">
        <f ca="1">TEXT(EOMONTH(A1,-1)+1,"MMMM")</f>
        <v>September</v>
      </c>
      <c r="D3" s="7" t="s">
        <v>29</v>
      </c>
      <c r="F3" s="2"/>
      <c r="I3" s="5" t="s">
        <v>20</v>
      </c>
      <c r="J3" s="6" t="s">
        <v>19</v>
      </c>
      <c r="K3" s="6" t="s">
        <v>11</v>
      </c>
      <c r="L3" s="6" t="s">
        <v>14</v>
      </c>
      <c r="M3" s="6" t="s">
        <v>15</v>
      </c>
      <c r="N3" s="6" t="s">
        <v>12</v>
      </c>
      <c r="O3" s="7" t="s">
        <v>22</v>
      </c>
    </row>
    <row r="4" spans="1:15" x14ac:dyDescent="0.25">
      <c r="A4" s="19" t="s">
        <v>0</v>
      </c>
      <c r="B4" s="11">
        <f ca="1">COUNTIF(Data!$AC:$AC,$B$1)</f>
        <v>0</v>
      </c>
      <c r="C4" s="11">
        <f ca="1">COUNTIF(Data!$AC:$AC,$C$1)</f>
        <v>0</v>
      </c>
      <c r="D4" s="15">
        <v>25000</v>
      </c>
      <c r="I4" s="9">
        <f ca="1">TODAY()-1</f>
        <v>43369</v>
      </c>
      <c r="J4" s="4">
        <f ca="1">COUNTIF(Data!AB:AB,DashBoard!I4)</f>
        <v>0</v>
      </c>
      <c r="K4" s="14" t="str">
        <f ca="1">IF(COUNTIFS(Data!$AB:$AB,$I4,Data!$AE:$AE,K$3)=0,"-",COUNTIFS(Data!$AB:$AB,$I4,Data!$AE:$AE,K$3)/$J4)</f>
        <v>-</v>
      </c>
      <c r="L4" s="14" t="str">
        <f ca="1">IF(COUNTIFS(Data!$AB:$AB,$I4,Data!$AE:$AE,L$3)=0,"-",COUNTIFS(Data!$AB:$AB,$I4,Data!$AE:$AE,L$3)/$J4 +IF(K4="-",0,K4))</f>
        <v>-</v>
      </c>
      <c r="M4" s="14" t="str">
        <f ca="1">IF(COUNTIFS(Data!$AB:$AB,$I4,Data!$AE:$AE,M$3)=0,"-",COUNTIFS(Data!$AB:$AB,$I4,Data!$AE:$AE,M$3)/$J4 +IF(L4="-",0,L4))</f>
        <v>-</v>
      </c>
      <c r="N4" s="14" t="str">
        <f ca="1">IF(COUNTIFS(Data!$AB:$AB,$I4,Data!$AE:$AE,N$3)=0,"-",COUNTIFS(Data!$AB:$AB,$I4,Data!$AE:$AE,N$3)/$J4 +IF(M4="-",0,M4))</f>
        <v>-</v>
      </c>
      <c r="O4" s="16" t="str">
        <f ca="1">IF(COUNTIFS(Data!$AB:$AB,$I4,Data!$AE:$AE,O$3)=0,"-",COUNTIFS(Data!$AB:$AB,$I4,Data!$AE:$AE,O$3)/$J4 +IF(N4="-",0,N4))</f>
        <v>-</v>
      </c>
    </row>
    <row r="5" spans="1:15" x14ac:dyDescent="0.25">
      <c r="A5" s="19" t="s">
        <v>18</v>
      </c>
      <c r="B5" s="12">
        <f ca="1">SUMIFS(Data!$I:$I,Data!$AC:$AC,B$1)/1000000</f>
        <v>0</v>
      </c>
      <c r="C5" s="12">
        <f ca="1">SUMIFS(Data!$I:$I,Data!$AC:$AC,C$1)/1000000</f>
        <v>0</v>
      </c>
      <c r="D5" s="15">
        <v>7.5</v>
      </c>
      <c r="I5" s="9">
        <f t="shared" ref="I5:I18" ca="1" si="0">+I4-1</f>
        <v>43368</v>
      </c>
      <c r="J5" s="4">
        <f ca="1">COUNTIF(Data!AB:AB,DashBoard!I5)</f>
        <v>0</v>
      </c>
      <c r="K5" s="14" t="str">
        <f ca="1">IF(COUNTIFS(Data!$AB:$AB,$I5,Data!$AE:$AE,K$3)=0,"-",COUNTIFS(Data!$AB:$AB,$I5,Data!$AE:$AE,K$3)/$J5)</f>
        <v>-</v>
      </c>
      <c r="L5" s="14" t="str">
        <f ca="1">IF(COUNTIFS(Data!$AB:$AB,$I5,Data!$AE:$AE,L$3)=0,"-",COUNTIFS(Data!$AB:$AB,$I5,Data!$AE:$AE,L$3)/$J5 +IF(K5="-",0,K5))</f>
        <v>-</v>
      </c>
      <c r="M5" s="14" t="str">
        <f ca="1">IF(COUNTIFS(Data!$AB:$AB,$I5,Data!$AE:$AE,M$3)=0,"-",COUNTIFS(Data!$AB:$AB,$I5,Data!$AE:$AE,M$3)/$J5 +IF(L5="-",0,L5))</f>
        <v>-</v>
      </c>
      <c r="N5" s="14" t="str">
        <f ca="1">IF(COUNTIFS(Data!$AB:$AB,$I5,Data!$AE:$AE,N$3)=0,"-",COUNTIFS(Data!$AB:$AB,$I5,Data!$AE:$AE,N$3)/$J5 +IF(M5="-",0,M5))</f>
        <v>-</v>
      </c>
      <c r="O5" s="16" t="str">
        <f ca="1">IF(COUNTIFS(Data!$AB:$AB,$I5,Data!$AE:$AE,O$3)=0,"-",COUNTIFS(Data!$AB:$AB,$I5,Data!$AE:$AE,O$3)/$J5 +IF(N5="-",0,N5))</f>
        <v>-</v>
      </c>
    </row>
    <row r="6" spans="1:15" x14ac:dyDescent="0.25">
      <c r="A6" s="19" t="s">
        <v>1</v>
      </c>
      <c r="B6" s="11">
        <f ca="1">COUNTIFS(Data!$AC:$AC,B$1,Data!$AA:$AA,"1")</f>
        <v>0</v>
      </c>
      <c r="C6" s="11">
        <f ca="1">COUNTIFS(Data!$AC:$AC,C$1,Data!$AA:$AA,"1")</f>
        <v>0</v>
      </c>
      <c r="D6" s="15"/>
      <c r="I6" s="9">
        <f t="shared" ca="1" si="0"/>
        <v>43367</v>
      </c>
      <c r="J6" s="4">
        <f ca="1">COUNTIF(Data!AB:AB,DashBoard!I6)</f>
        <v>0</v>
      </c>
      <c r="K6" s="14" t="str">
        <f ca="1">IF(COUNTIFS(Data!$AB:$AB,$I6,Data!$AE:$AE,K$3)=0,"-",COUNTIFS(Data!$AB:$AB,$I6,Data!$AE:$AE,K$3)/$J6)</f>
        <v>-</v>
      </c>
      <c r="L6" s="14" t="str">
        <f ca="1">IF(COUNTIFS(Data!$AB:$AB,$I6,Data!$AE:$AE,L$3)=0,"-",COUNTIFS(Data!$AB:$AB,$I6,Data!$AE:$AE,L$3)/$J6 +IF(K6="-",0,K6))</f>
        <v>-</v>
      </c>
      <c r="M6" s="14" t="str">
        <f ca="1">IF(COUNTIFS(Data!$AB:$AB,$I6,Data!$AE:$AE,M$3)=0,"-",COUNTIFS(Data!$AB:$AB,$I6,Data!$AE:$AE,M$3)/$J6 +IF(L6="-",0,L6))</f>
        <v>-</v>
      </c>
      <c r="N6" s="14" t="str">
        <f ca="1">IF(COUNTIFS(Data!$AB:$AB,$I6,Data!$AE:$AE,N$3)=0,"-",COUNTIFS(Data!$AB:$AB,$I6,Data!$AE:$AE,N$3)/$J6 +IF(M6="-",0,M6))</f>
        <v>-</v>
      </c>
      <c r="O6" s="16" t="str">
        <f ca="1">IF(COUNTIFS(Data!$AB:$AB,$I6,Data!$AE:$AE,O$3)=0,"-",COUNTIFS(Data!$AB:$AB,$I6,Data!$AE:$AE,O$3)/$J6 +IF(N6="-",0,N6))</f>
        <v>-</v>
      </c>
    </row>
    <row r="7" spans="1:15" x14ac:dyDescent="0.25">
      <c r="A7" s="19" t="s">
        <v>2</v>
      </c>
      <c r="B7" s="12">
        <f ca="1">SUMIFS(Data!$I:$I,Data!$AC:$AC,B$1,Data!$AA:$AA,"1")/1000000</f>
        <v>0</v>
      </c>
      <c r="C7" s="12">
        <f ca="1">SUMIFS(Data!$I:$I,Data!$AC:$AC,C$1,Data!$AA:$AA,"1")/1000000</f>
        <v>0</v>
      </c>
      <c r="D7" s="15"/>
      <c r="I7" s="9">
        <f t="shared" ca="1" si="0"/>
        <v>43366</v>
      </c>
      <c r="J7" s="4">
        <f ca="1">COUNTIF(Data!AB:AB,DashBoard!I7)</f>
        <v>0</v>
      </c>
      <c r="K7" s="14" t="str">
        <f ca="1">IF(COUNTIFS(Data!$AB:$AB,$I7,Data!$AE:$AE,K$3)=0,"-",COUNTIFS(Data!$AB:$AB,$I7,Data!$AE:$AE,K$3)/$J7)</f>
        <v>-</v>
      </c>
      <c r="L7" s="14" t="str">
        <f ca="1">IF(COUNTIFS(Data!$AB:$AB,$I7,Data!$AE:$AE,L$3)=0,"-",COUNTIFS(Data!$AB:$AB,$I7,Data!$AE:$AE,L$3)/$J7 +IF(K7="-",0,K7))</f>
        <v>-</v>
      </c>
      <c r="M7" s="14" t="str">
        <f ca="1">IF(COUNTIFS(Data!$AB:$AB,$I7,Data!$AE:$AE,M$3)=0,"-",COUNTIFS(Data!$AB:$AB,$I7,Data!$AE:$AE,M$3)/$J7 +IF(L7="-",0,L7))</f>
        <v>-</v>
      </c>
      <c r="N7" s="14" t="str">
        <f ca="1">IF(COUNTIFS(Data!$AB:$AB,$I7,Data!$AE:$AE,N$3)=0,"-",COUNTIFS(Data!$AB:$AB,$I7,Data!$AE:$AE,N$3)/$J7 +IF(M7="-",0,M7))</f>
        <v>-</v>
      </c>
      <c r="O7" s="16" t="str">
        <f ca="1">IF(COUNTIFS(Data!$AB:$AB,$I7,Data!$AE:$AE,O$3)=0,"-",COUNTIFS(Data!$AB:$AB,$I7,Data!$AE:$AE,O$3)/$J7 +IF(N7="-",0,N7))</f>
        <v>-</v>
      </c>
    </row>
    <row r="8" spans="1:15" x14ac:dyDescent="0.25">
      <c r="A8" s="19" t="s">
        <v>21</v>
      </c>
      <c r="B8" s="13" t="e">
        <f ca="1">B7/B5</f>
        <v>#DIV/0!</v>
      </c>
      <c r="C8" s="13" t="e">
        <f ca="1">C7/C5</f>
        <v>#DIV/0!</v>
      </c>
      <c r="D8" s="16">
        <v>0.9</v>
      </c>
      <c r="E8" s="1"/>
      <c r="I8" s="9">
        <f t="shared" ca="1" si="0"/>
        <v>43365</v>
      </c>
      <c r="J8" s="4">
        <f ca="1">COUNTIF(Data!AB:AB,DashBoard!I8)</f>
        <v>0</v>
      </c>
      <c r="K8" s="14" t="str">
        <f ca="1">IF(COUNTIFS(Data!$AB:$AB,$I8,Data!$AE:$AE,K$3)=0,"-",COUNTIFS(Data!$AB:$AB,$I8,Data!$AE:$AE,K$3)/$J8)</f>
        <v>-</v>
      </c>
      <c r="L8" s="14" t="str">
        <f ca="1">IF(COUNTIFS(Data!$AB:$AB,$I8,Data!$AE:$AE,L$3)=0,"-",COUNTIFS(Data!$AB:$AB,$I8,Data!$AE:$AE,L$3)/$J8 +IF(K8="-",0,K8))</f>
        <v>-</v>
      </c>
      <c r="M8" s="14" t="str">
        <f ca="1">IF(COUNTIFS(Data!$AB:$AB,$I8,Data!$AE:$AE,M$3)=0,"-",COUNTIFS(Data!$AB:$AB,$I8,Data!$AE:$AE,M$3)/$J8 +IF(L8="-",0,L8))</f>
        <v>-</v>
      </c>
      <c r="N8" s="14" t="str">
        <f ca="1">IF(COUNTIFS(Data!$AB:$AB,$I8,Data!$AE:$AE,N$3)=0,"-",COUNTIFS(Data!$AB:$AB,$I8,Data!$AE:$AE,N$3)/$J8 +IF(M8="-",0,M8))</f>
        <v>-</v>
      </c>
      <c r="O8" s="16" t="str">
        <f ca="1">IF(COUNTIFS(Data!$AB:$AB,$I8,Data!$AE:$AE,O$3)=0,"-",COUNTIFS(Data!$AB:$AB,$I8,Data!$AE:$AE,O$3)/$J8 +IF(N8="-",0,N8))</f>
        <v>-</v>
      </c>
    </row>
    <row r="9" spans="1:15" x14ac:dyDescent="0.25">
      <c r="A9" s="19" t="s">
        <v>3</v>
      </c>
      <c r="B9" s="13" t="e">
        <f ca="1">(SUMIFS(Data!$I:$I,Data!$AC:$AC,B$1,Data!$AA:$AA,"1",Data!$AD:$AD,"24_Hours")/1000000)/B$5</f>
        <v>#DIV/0!</v>
      </c>
      <c r="C9" s="13" t="e">
        <f ca="1">(SUMIFS(Data!$I:$I,Data!$AC:$AC,C$1,Data!$AA:$AA,"1",Data!$AD:$AD,"24_Hours")/1000000)/C$5</f>
        <v>#DIV/0!</v>
      </c>
      <c r="D9" s="16">
        <v>0.25</v>
      </c>
      <c r="I9" s="9">
        <f t="shared" ca="1" si="0"/>
        <v>43364</v>
      </c>
      <c r="J9" s="4">
        <f ca="1">COUNTIF(Data!AB:AB,DashBoard!I9)</f>
        <v>0</v>
      </c>
      <c r="K9" s="14" t="str">
        <f ca="1">IF(COUNTIFS(Data!$AB:$AB,$I9,Data!$AE:$AE,K$3)=0,"-",COUNTIFS(Data!$AB:$AB,$I9,Data!$AE:$AE,K$3)/$J9)</f>
        <v>-</v>
      </c>
      <c r="L9" s="14" t="str">
        <f ca="1">IF(COUNTIFS(Data!$AB:$AB,$I9,Data!$AE:$AE,L$3)=0,"-",COUNTIFS(Data!$AB:$AB,$I9,Data!$AE:$AE,L$3)/$J9 +IF(K9="-",0,K9))</f>
        <v>-</v>
      </c>
      <c r="M9" s="14" t="str">
        <f ca="1">IF(COUNTIFS(Data!$AB:$AB,$I9,Data!$AE:$AE,M$3)=0,"-",COUNTIFS(Data!$AB:$AB,$I9,Data!$AE:$AE,M$3)/$J9 +IF(L9="-",0,L9))</f>
        <v>-</v>
      </c>
      <c r="N9" s="14" t="str">
        <f ca="1">IF(COUNTIFS(Data!$AB:$AB,$I9,Data!$AE:$AE,N$3)=0,"-",COUNTIFS(Data!$AB:$AB,$I9,Data!$AE:$AE,N$3)/$J9 +IF(M9="-",0,M9))</f>
        <v>-</v>
      </c>
      <c r="O9" s="16" t="str">
        <f ca="1">IF(COUNTIFS(Data!$AB:$AB,$I9,Data!$AE:$AE,O$3)=0,"-",COUNTIFS(Data!$AB:$AB,$I9,Data!$AE:$AE,O$3)/$J9 +IF(N9="-",0,N9))</f>
        <v>-</v>
      </c>
    </row>
    <row r="10" spans="1:15" x14ac:dyDescent="0.25">
      <c r="A10" s="19" t="s">
        <v>4</v>
      </c>
      <c r="B10" s="13" t="e">
        <f ca="1">(SUMIFS(Data!$I:$I,Data!$AC:$AC,B$1,Data!$AA:$AA,"1",Data!$AD:$AD,"48_Hours")/1000000)/B$5+B9</f>
        <v>#DIV/0!</v>
      </c>
      <c r="C10" s="13" t="e">
        <f ca="1">(SUMIFS(Data!$I:$I,Data!$AC:$AC,C$1,Data!$AA:$AA,"1",Data!$AD:$AD,"48_Hours")/1000000)/C$5+C9</f>
        <v>#DIV/0!</v>
      </c>
      <c r="D10" s="16">
        <v>0.5</v>
      </c>
      <c r="I10" s="9">
        <f t="shared" ca="1" si="0"/>
        <v>43363</v>
      </c>
      <c r="J10" s="4">
        <f ca="1">COUNTIF(Data!AB:AB,DashBoard!I10)</f>
        <v>0</v>
      </c>
      <c r="K10" s="14" t="str">
        <f ca="1">IF(COUNTIFS(Data!$AB:$AB,$I10,Data!$AE:$AE,K$3)=0,"-",COUNTIFS(Data!$AB:$AB,$I10,Data!$AE:$AE,K$3)/$J10)</f>
        <v>-</v>
      </c>
      <c r="L10" s="14" t="str">
        <f ca="1">IF(COUNTIFS(Data!$AB:$AB,$I10,Data!$AE:$AE,L$3)=0,"-",COUNTIFS(Data!$AB:$AB,$I10,Data!$AE:$AE,L$3)/$J10 +IF(K10="-",0,K10))</f>
        <v>-</v>
      </c>
      <c r="M10" s="14" t="str">
        <f ca="1">IF(COUNTIFS(Data!$AB:$AB,$I10,Data!$AE:$AE,M$3)=0,"-",COUNTIFS(Data!$AB:$AB,$I10,Data!$AE:$AE,M$3)/$J10 +IF(L10="-",0,L10))</f>
        <v>-</v>
      </c>
      <c r="N10" s="14" t="str">
        <f ca="1">IF(COUNTIFS(Data!$AB:$AB,$I10,Data!$AE:$AE,N$3)=0,"-",COUNTIFS(Data!$AB:$AB,$I10,Data!$AE:$AE,N$3)/$J10 +IF(M10="-",0,M10))</f>
        <v>-</v>
      </c>
      <c r="O10" s="16" t="str">
        <f ca="1">IF(COUNTIFS(Data!$AB:$AB,$I10,Data!$AE:$AE,O$3)=0,"-",COUNTIFS(Data!$AB:$AB,$I10,Data!$AE:$AE,O$3)/$J10 +IF(N10="-",0,N10))</f>
        <v>-</v>
      </c>
    </row>
    <row r="11" spans="1:15" x14ac:dyDescent="0.25">
      <c r="A11" s="19" t="s">
        <v>5</v>
      </c>
      <c r="B11" s="13" t="e">
        <f ca="1">(SUMIFS(Data!$I:$I,Data!$AC:$AC,B$1,Data!$AA:$AA,"1",Data!$AD:$AD,"Less_Than_72_Hours")/1000000)/B$5+B10</f>
        <v>#DIV/0!</v>
      </c>
      <c r="C11" s="13" t="e">
        <f ca="1">(SUMIFS(Data!$I:$I,Data!$AC:$AC,C$1,Data!$AA:$AA,"1",Data!$AD:$AD,"Less_Than_72_Hours")/1000000)/C$5+C10</f>
        <v>#DIV/0!</v>
      </c>
      <c r="D11" s="16">
        <v>0.75</v>
      </c>
      <c r="I11" s="9">
        <f t="shared" ca="1" si="0"/>
        <v>43362</v>
      </c>
      <c r="J11" s="4">
        <f ca="1">COUNTIF(Data!AB:AB,DashBoard!I11)</f>
        <v>0</v>
      </c>
      <c r="K11" s="14" t="str">
        <f ca="1">IF(COUNTIFS(Data!$AB:$AB,$I11,Data!$AE:$AE,K$3)=0,"-",COUNTIFS(Data!$AB:$AB,$I11,Data!$AE:$AE,K$3)/$J11)</f>
        <v>-</v>
      </c>
      <c r="L11" s="14" t="str">
        <f ca="1">IF(COUNTIFS(Data!$AB:$AB,$I11,Data!$AE:$AE,L$3)=0,"-",COUNTIFS(Data!$AB:$AB,$I11,Data!$AE:$AE,L$3)/$J11 +IF(K11="-",0,K11))</f>
        <v>-</v>
      </c>
      <c r="M11" s="14" t="str">
        <f ca="1">IF(COUNTIFS(Data!$AB:$AB,$I11,Data!$AE:$AE,M$3)=0,"-",COUNTIFS(Data!$AB:$AB,$I11,Data!$AE:$AE,M$3)/$J11 +IF(L11="-",0,L11))</f>
        <v>-</v>
      </c>
      <c r="N11" s="14" t="str">
        <f ca="1">IF(COUNTIFS(Data!$AB:$AB,$I11,Data!$AE:$AE,N$3)=0,"-",COUNTIFS(Data!$AB:$AB,$I11,Data!$AE:$AE,N$3)/$J11 +IF(M11="-",0,M11))</f>
        <v>-</v>
      </c>
      <c r="O11" s="16" t="str">
        <f ca="1">IF(COUNTIFS(Data!$AB:$AB,$I11,Data!$AE:$AE,O$3)=0,"-",COUNTIFS(Data!$AB:$AB,$I11,Data!$AE:$AE,O$3)/$J11 +IF(N11="-",0,N11))</f>
        <v>-</v>
      </c>
    </row>
    <row r="12" spans="1:15" x14ac:dyDescent="0.25">
      <c r="A12" s="19" t="s">
        <v>6</v>
      </c>
      <c r="B12" s="13" t="e">
        <f ca="1">(SUMIFS(Data!$I:$I,Data!$AC:$AC,B$1,Data!$AA:$AA,"1",Data!$AD:$AD,"Less_Than_5_Days")/1000000)/B$5+B11</f>
        <v>#DIV/0!</v>
      </c>
      <c r="C12" s="13" t="e">
        <f ca="1">(SUMIFS(Data!$I:$I,Data!$AC:$AC,C$1,Data!$AA:$AA,"1",Data!$AD:$AD,"Less_Than_5_Days")/1000000)/C$5+C11</f>
        <v>#DIV/0!</v>
      </c>
      <c r="D12" s="16">
        <v>0.9</v>
      </c>
      <c r="I12" s="9">
        <f t="shared" ca="1" si="0"/>
        <v>43361</v>
      </c>
      <c r="J12" s="4">
        <f ca="1">COUNTIF(Data!AB:AB,DashBoard!I12)</f>
        <v>0</v>
      </c>
      <c r="K12" s="14" t="str">
        <f ca="1">IF(COUNTIFS(Data!$AB:$AB,$I12,Data!$AE:$AE,K$3)=0,"-",COUNTIFS(Data!$AB:$AB,$I12,Data!$AE:$AE,K$3)/$J12)</f>
        <v>-</v>
      </c>
      <c r="L12" s="14" t="str">
        <f ca="1">IF(COUNTIFS(Data!$AB:$AB,$I12,Data!$AE:$AE,L$3)=0,"-",COUNTIFS(Data!$AB:$AB,$I12,Data!$AE:$AE,L$3)/$J12 +IF(K12="-",0,K12))</f>
        <v>-</v>
      </c>
      <c r="M12" s="14" t="str">
        <f ca="1">IF(COUNTIFS(Data!$AB:$AB,$I12,Data!$AE:$AE,M$3)=0,"-",COUNTIFS(Data!$AB:$AB,$I12,Data!$AE:$AE,M$3)/$J12 +IF(L12="-",0,L12))</f>
        <v>-</v>
      </c>
      <c r="N12" s="14" t="str">
        <f ca="1">IF(COUNTIFS(Data!$AB:$AB,$I12,Data!$AE:$AE,N$3)=0,"-",COUNTIFS(Data!$AB:$AB,$I12,Data!$AE:$AE,N$3)/$J12 +IF(M12="-",0,M12))</f>
        <v>-</v>
      </c>
      <c r="O12" s="16" t="str">
        <f ca="1">IF(COUNTIFS(Data!$AB:$AB,$I12,Data!$AE:$AE,O$3)=0,"-",COUNTIFS(Data!$AB:$AB,$I12,Data!$AE:$AE,O$3)/$J12 +IF(N12="-",0,N12))</f>
        <v>-</v>
      </c>
    </row>
    <row r="13" spans="1:15" ht="15.75" thickBot="1" x14ac:dyDescent="0.3">
      <c r="A13" s="20" t="s">
        <v>10</v>
      </c>
      <c r="B13" s="17" t="e">
        <f ca="1">B8-B12</f>
        <v>#DIV/0!</v>
      </c>
      <c r="C13" s="17" t="e">
        <f ca="1">C8-C12</f>
        <v>#DIV/0!</v>
      </c>
      <c r="D13" s="18">
        <v>0</v>
      </c>
      <c r="I13" s="9">
        <f t="shared" ca="1" si="0"/>
        <v>43360</v>
      </c>
      <c r="J13" s="4">
        <f ca="1">COUNTIF(Data!AB:AB,DashBoard!I13)</f>
        <v>0</v>
      </c>
      <c r="K13" s="14" t="str">
        <f ca="1">IF(COUNTIFS(Data!$AB:$AB,$I13,Data!$AE:$AE,K$3)=0,"-",COUNTIFS(Data!$AB:$AB,$I13,Data!$AE:$AE,K$3)/$J13)</f>
        <v>-</v>
      </c>
      <c r="L13" s="14" t="str">
        <f ca="1">IF(COUNTIFS(Data!$AB:$AB,$I13,Data!$AE:$AE,L$3)=0,"-",COUNTIFS(Data!$AB:$AB,$I13,Data!$AE:$AE,L$3)/$J13 +IF(K13="-",0,K13))</f>
        <v>-</v>
      </c>
      <c r="M13" s="14" t="str">
        <f ca="1">IF(COUNTIFS(Data!$AB:$AB,$I13,Data!$AE:$AE,M$3)=0,"-",COUNTIFS(Data!$AB:$AB,$I13,Data!$AE:$AE,M$3)/$J13 +IF(L13="-",0,L13))</f>
        <v>-</v>
      </c>
      <c r="N13" s="14" t="str">
        <f ca="1">IF(COUNTIFS(Data!$AB:$AB,$I13,Data!$AE:$AE,N$3)=0,"-",COUNTIFS(Data!$AB:$AB,$I13,Data!$AE:$AE,N$3)/$J13 +IF(M13="-",0,M13))</f>
        <v>-</v>
      </c>
      <c r="O13" s="16" t="str">
        <f ca="1">IF(COUNTIFS(Data!$AB:$AB,$I13,Data!$AE:$AE,O$3)=0,"-",COUNTIFS(Data!$AB:$AB,$I13,Data!$AE:$AE,O$3)/$J13 +IF(N13="-",0,N13))</f>
        <v>-</v>
      </c>
    </row>
    <row r="14" spans="1:15" x14ac:dyDescent="0.25">
      <c r="I14" s="9">
        <f t="shared" ca="1" si="0"/>
        <v>43359</v>
      </c>
      <c r="J14" s="4">
        <f ca="1">COUNTIF(Data!AB:AB,DashBoard!I14)</f>
        <v>0</v>
      </c>
      <c r="K14" s="14" t="str">
        <f ca="1">IF(COUNTIFS(Data!$AB:$AB,$I14,Data!$AE:$AE,K$3)=0,"-",COUNTIFS(Data!$AB:$AB,$I14,Data!$AE:$AE,K$3)/$J14)</f>
        <v>-</v>
      </c>
      <c r="L14" s="14" t="str">
        <f ca="1">IF(COUNTIFS(Data!$AB:$AB,$I14,Data!$AE:$AE,L$3)=0,"-",COUNTIFS(Data!$AB:$AB,$I14,Data!$AE:$AE,L$3)/$J14 +IF(K14="-",0,K14))</f>
        <v>-</v>
      </c>
      <c r="M14" s="14" t="str">
        <f ca="1">IF(COUNTIFS(Data!$AB:$AB,$I14,Data!$AE:$AE,M$3)=0,"-",COUNTIFS(Data!$AB:$AB,$I14,Data!$AE:$AE,M$3)/$J14 +IF(L14="-",0,L14))</f>
        <v>-</v>
      </c>
      <c r="N14" s="14" t="str">
        <f ca="1">IF(COUNTIFS(Data!$AB:$AB,$I14,Data!$AE:$AE,N$3)=0,"-",COUNTIFS(Data!$AB:$AB,$I14,Data!$AE:$AE,N$3)/$J14 +IF(M14="-",0,M14))</f>
        <v>-</v>
      </c>
      <c r="O14" s="16" t="str">
        <f ca="1">IF(COUNTIFS(Data!$AB:$AB,$I14,Data!$AE:$AE,O$3)=0,"-",COUNTIFS(Data!$AB:$AB,$I14,Data!$AE:$AE,O$3)/$J14 +IF(N14="-",0,N14))</f>
        <v>-</v>
      </c>
    </row>
    <row r="15" spans="1:15" x14ac:dyDescent="0.25">
      <c r="I15" s="9">
        <f t="shared" ca="1" si="0"/>
        <v>43358</v>
      </c>
      <c r="J15" s="4">
        <f ca="1">COUNTIF(Data!AB:AB,DashBoard!I15)</f>
        <v>0</v>
      </c>
      <c r="K15" s="14" t="str">
        <f ca="1">IF(COUNTIFS(Data!$AB:$AB,$I15,Data!$AE:$AE,K$3)=0,"-",COUNTIFS(Data!$AB:$AB,$I15,Data!$AE:$AE,K$3)/$J15)</f>
        <v>-</v>
      </c>
      <c r="L15" s="14" t="str">
        <f ca="1">IF(COUNTIFS(Data!$AB:$AB,$I15,Data!$AE:$AE,L$3)=0,"-",COUNTIFS(Data!$AB:$AB,$I15,Data!$AE:$AE,L$3)/$J15 +IF(K15="-",0,K15))</f>
        <v>-</v>
      </c>
      <c r="M15" s="14" t="str">
        <f ca="1">IF(COUNTIFS(Data!$AB:$AB,$I15,Data!$AE:$AE,M$3)=0,"-",COUNTIFS(Data!$AB:$AB,$I15,Data!$AE:$AE,M$3)/$J15 +IF(L15="-",0,L15))</f>
        <v>-</v>
      </c>
      <c r="N15" s="14" t="str">
        <f ca="1">IF(COUNTIFS(Data!$AB:$AB,$I15,Data!$AE:$AE,N$3)=0,"-",COUNTIFS(Data!$AB:$AB,$I15,Data!$AE:$AE,N$3)/$J15 +IF(M15="-",0,M15))</f>
        <v>-</v>
      </c>
      <c r="O15" s="16" t="str">
        <f ca="1">IF(COUNTIFS(Data!$AB:$AB,$I15,Data!$AE:$AE,O$3)=0,"-",COUNTIFS(Data!$AB:$AB,$I15,Data!$AE:$AE,O$3)/$J15 +IF(N15="-",0,N15))</f>
        <v>-</v>
      </c>
    </row>
    <row r="16" spans="1:15" x14ac:dyDescent="0.25">
      <c r="I16" s="9">
        <f t="shared" ca="1" si="0"/>
        <v>43357</v>
      </c>
      <c r="J16" s="4">
        <f ca="1">COUNTIF(Data!AB:AB,DashBoard!I16)</f>
        <v>0</v>
      </c>
      <c r="K16" s="14" t="str">
        <f ca="1">IF(COUNTIFS(Data!$AB:$AB,$I16,Data!$AE:$AE,K$3)=0,"-",COUNTIFS(Data!$AB:$AB,$I16,Data!$AE:$AE,K$3)/$J16)</f>
        <v>-</v>
      </c>
      <c r="L16" s="14" t="str">
        <f ca="1">IF(COUNTIFS(Data!$AB:$AB,$I16,Data!$AE:$AE,L$3)=0,"-",COUNTIFS(Data!$AB:$AB,$I16,Data!$AE:$AE,L$3)/$J16 +IF(K16="-",0,K16))</f>
        <v>-</v>
      </c>
      <c r="M16" s="14" t="str">
        <f ca="1">IF(COUNTIFS(Data!$AB:$AB,$I16,Data!$AE:$AE,M$3)=0,"-",COUNTIFS(Data!$AB:$AB,$I16,Data!$AE:$AE,M$3)/$J16 +IF(L16="-",0,L16))</f>
        <v>-</v>
      </c>
      <c r="N16" s="14" t="str">
        <f ca="1">IF(COUNTIFS(Data!$AB:$AB,$I16,Data!$AE:$AE,N$3)=0,"-",COUNTIFS(Data!$AB:$AB,$I16,Data!$AE:$AE,N$3)/$J16 +IF(M16="-",0,M16))</f>
        <v>-</v>
      </c>
      <c r="O16" s="16" t="str">
        <f ca="1">IF(COUNTIFS(Data!$AB:$AB,$I16,Data!$AE:$AE,O$3)=0,"-",COUNTIFS(Data!$AB:$AB,$I16,Data!$AE:$AE,O$3)/$J16 +IF(N16="-",0,N16))</f>
        <v>-</v>
      </c>
    </row>
    <row r="17" spans="9:15" x14ac:dyDescent="0.25">
      <c r="I17" s="9">
        <f t="shared" ca="1" si="0"/>
        <v>43356</v>
      </c>
      <c r="J17" s="4">
        <f ca="1">COUNTIF(Data!AB:AB,DashBoard!I17)</f>
        <v>0</v>
      </c>
      <c r="K17" s="14" t="str">
        <f ca="1">IF(COUNTIFS(Data!$AB:$AB,$I17,Data!$AE:$AE,K$3)=0,"-",COUNTIFS(Data!$AB:$AB,$I17,Data!$AE:$AE,K$3)/$J17)</f>
        <v>-</v>
      </c>
      <c r="L17" s="14" t="str">
        <f ca="1">IF(COUNTIFS(Data!$AB:$AB,$I17,Data!$AE:$AE,L$3)=0,"-",COUNTIFS(Data!$AB:$AB,$I17,Data!$AE:$AE,L$3)/$J17 +IF(K17="-",0,K17))</f>
        <v>-</v>
      </c>
      <c r="M17" s="14" t="str">
        <f ca="1">IF(COUNTIFS(Data!$AB:$AB,$I17,Data!$AE:$AE,M$3)=0,"-",COUNTIFS(Data!$AB:$AB,$I17,Data!$AE:$AE,M$3)/$J17 +IF(L17="-",0,L17))</f>
        <v>-</v>
      </c>
      <c r="N17" s="14" t="str">
        <f ca="1">IF(COUNTIFS(Data!$AB:$AB,$I17,Data!$AE:$AE,N$3)=0,"-",COUNTIFS(Data!$AB:$AB,$I17,Data!$AE:$AE,N$3)/$J17 +IF(M17="-",0,M17))</f>
        <v>-</v>
      </c>
      <c r="O17" s="16" t="str">
        <f ca="1">IF(COUNTIFS(Data!$AB:$AB,$I17,Data!$AE:$AE,O$3)=0,"-",COUNTIFS(Data!$AB:$AB,$I17,Data!$AE:$AE,O$3)/$J17 +IF(N17="-",0,N17))</f>
        <v>-</v>
      </c>
    </row>
    <row r="18" spans="9:15" ht="15.75" thickBot="1" x14ac:dyDescent="0.3">
      <c r="I18" s="10">
        <f t="shared" ca="1" si="0"/>
        <v>43355</v>
      </c>
      <c r="J18" s="8">
        <f ca="1">COUNTIF(Data!AB:AB,DashBoard!I18)</f>
        <v>0</v>
      </c>
      <c r="K18" s="17" t="str">
        <f ca="1">IF(COUNTIFS(Data!$AB:$AB,$I18,Data!$AE:$AE,K$3)=0,"-",COUNTIFS(Data!$AB:$AB,$I18,Data!$AE:$AE,K$3)/$J18)</f>
        <v>-</v>
      </c>
      <c r="L18" s="14" t="str">
        <f ca="1">IF(COUNTIFS(Data!$AB:$AB,$I18,Data!$AE:$AE,L$3)=0,"-",COUNTIFS(Data!$AB:$AB,$I18,Data!$AE:$AE,L$3)/$J18 +IF(K18="-",0,K18))</f>
        <v>-</v>
      </c>
      <c r="M18" s="14" t="str">
        <f ca="1">IF(COUNTIFS(Data!$AB:$AB,$I18,Data!$AE:$AE,M$3)=0,"-",COUNTIFS(Data!$AB:$AB,$I18,Data!$AE:$AE,M$3)/$J18 +IF(L18="-",0,L18))</f>
        <v>-</v>
      </c>
      <c r="N18" s="14" t="str">
        <f ca="1">IF(COUNTIFS(Data!$AB:$AB,$I18,Data!$AE:$AE,N$3)=0,"-",COUNTIFS(Data!$AB:$AB,$I18,Data!$AE:$AE,N$3)/$J18 +IF(M18="-",0,M18))</f>
        <v>-</v>
      </c>
      <c r="O18" s="16" t="str">
        <f ca="1">IF(COUNTIFS(Data!$AB:$AB,$I18,Data!$AE:$AE,O$3)=0,"-",COUNTIFS(Data!$AB:$AB,$I18,Data!$AE:$AE,O$3)/$J18 +IF(N18="-",0,N18))</f>
        <v>-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D1:G7"/>
  <sheetViews>
    <sheetView workbookViewId="0">
      <selection activeCell="G7" sqref="G7"/>
    </sheetView>
  </sheetViews>
  <sheetFormatPr defaultRowHeight="15" x14ac:dyDescent="0.25"/>
  <cols>
    <col min="7" max="7" width="22.5703125" bestFit="1" customWidth="1"/>
  </cols>
  <sheetData>
    <row r="1" spans="4:7" x14ac:dyDescent="0.25">
      <c r="D1" t="s">
        <v>7</v>
      </c>
      <c r="G1" t="s">
        <v>13</v>
      </c>
    </row>
    <row r="2" spans="4:7" x14ac:dyDescent="0.25">
      <c r="D2" t="s">
        <v>8</v>
      </c>
      <c r="G2">
        <v>0</v>
      </c>
    </row>
    <row r="3" spans="4:7" x14ac:dyDescent="0.25">
      <c r="D3" t="s">
        <v>16</v>
      </c>
      <c r="G3" t="s">
        <v>14</v>
      </c>
    </row>
    <row r="4" spans="4:7" x14ac:dyDescent="0.25">
      <c r="D4" t="s">
        <v>17</v>
      </c>
      <c r="G4" t="s">
        <v>12</v>
      </c>
    </row>
    <row r="5" spans="4:7" x14ac:dyDescent="0.25">
      <c r="D5" t="s">
        <v>9</v>
      </c>
      <c r="G5" t="s">
        <v>11</v>
      </c>
    </row>
    <row r="6" spans="4:7" x14ac:dyDescent="0.25">
      <c r="G6" t="s">
        <v>15</v>
      </c>
    </row>
    <row r="7" spans="4:7" x14ac:dyDescent="0.25">
      <c r="G7" t="s">
        <v>22</v>
      </c>
    </row>
  </sheetData>
  <autoFilter ref="G1:G7" xr:uid="{2559325E-AEAF-48EC-AB24-AFBFB4E8B10A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8349C-C1FC-4C8D-B76E-57527C87ADAE}">
  <sheetPr codeName="Sheet1"/>
  <dimension ref="A2:C9"/>
  <sheetViews>
    <sheetView tabSelected="1" topLeftCell="A2" workbookViewId="0">
      <selection activeCell="D16" sqref="D16"/>
    </sheetView>
  </sheetViews>
  <sheetFormatPr defaultRowHeight="15" x14ac:dyDescent="0.25"/>
  <sheetData>
    <row r="2" spans="1:3" x14ac:dyDescent="0.25">
      <c r="B2" t="s">
        <v>23</v>
      </c>
      <c r="C2" s="23" t="s">
        <v>28</v>
      </c>
    </row>
    <row r="7" spans="1:3" x14ac:dyDescent="0.25">
      <c r="A7" t="s">
        <v>25</v>
      </c>
      <c r="B7" s="24"/>
      <c r="C7" s="24"/>
    </row>
    <row r="8" spans="1:3" x14ac:dyDescent="0.25">
      <c r="A8" t="s">
        <v>26</v>
      </c>
    </row>
    <row r="9" spans="1:3" x14ac:dyDescent="0.25">
      <c r="A9" t="s">
        <v>27</v>
      </c>
      <c r="B9" s="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DashBoard</vt:lpstr>
      <vt:lpstr>Sheet3</vt:lpstr>
      <vt:lpstr>Control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Anshul</dc:creator>
  <cp:lastModifiedBy>Harpreet Singh</cp:lastModifiedBy>
  <dcterms:created xsi:type="dcterms:W3CDTF">2017-12-17T14:48:00Z</dcterms:created>
  <dcterms:modified xsi:type="dcterms:W3CDTF">2018-09-27T08:10:52Z</dcterms:modified>
</cp:coreProperties>
</file>